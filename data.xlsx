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Transactions_PAC" sheetId="3" state="visible" r:id="rId3"/>
    <sheet xmlns:r="http://schemas.openxmlformats.org/officeDocument/2006/relationships" name="Transactions_Manual" sheetId="4" state="visible" r:id="rId4"/>
    <sheet xmlns:r="http://schemas.openxmlformats.org/officeDocument/2006/relationships" name="Month_End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€ #,##0.00;[Red](€ #,##0.00);-"/>
    <numFmt numFmtId="165" formatCode="dd/mm/yyyy"/>
    <numFmt numFmtId="166" formatCode="mmm/yy"/>
    <numFmt numFmtId="167" formatCode="0.0%;[Red](0.0%);-"/>
    <numFmt numFmtId="168" formatCode="0.0%;[Red](0.0%)"/>
    <numFmt numFmtId="169" formatCode="yyyy-mm-dd h:mm:ss"/>
    <numFmt numFmtId="170" formatCode="€ #,##0.00;[Red](€ #,##0.00)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color rgb="00000000"/>
    </font>
    <font>
      <b val="1"/>
      <sz val="16"/>
    </font>
    <font>
      <b val="1"/>
    </font>
    <font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C9C9C9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2" borderId="0" pivotButton="0" quotePrefix="0" xfId="0"/>
    <xf numFmtId="164" fontId="4" fillId="3" borderId="0" pivotButton="0" quotePrefix="0" xfId="0"/>
    <xf numFmtId="0" fontId="2" fillId="4" borderId="0" pivotButton="0" quotePrefix="0" xfId="0"/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4" fontId="0" fillId="3" borderId="0" pivotButton="0" quotePrefix="0" xfId="0"/>
    <xf numFmtId="0" fontId="3" fillId="2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0" fontId="3" fillId="2" borderId="0" pivotButton="0" quotePrefix="0" xfId="0"/>
    <xf numFmtId="167" fontId="0" fillId="3" borderId="0" pivotButton="0" quotePrefix="0" xfId="0"/>
    <xf numFmtId="0" fontId="5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6" fillId="0" borderId="0" pivotButton="0" quotePrefix="0" xfId="0"/>
    <xf numFmtId="166" fontId="3" fillId="2" borderId="0" pivotButton="0" quotePrefix="0" xfId="0"/>
    <xf numFmtId="0" fontId="2" fillId="4" borderId="1" pivotButton="0" quotePrefix="0" xfId="0"/>
    <xf numFmtId="0" fontId="6" fillId="5" borderId="1" pivotButton="0" quotePrefix="0" xfId="0"/>
    <xf numFmtId="164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7" fontId="0" fillId="0" borderId="1" pivotButton="0" quotePrefix="0" xfId="0"/>
    <xf numFmtId="167" fontId="0" fillId="3" borderId="1" pivotButton="0" quotePrefix="0" xfId="0"/>
    <xf numFmtId="165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7" fontId="0" fillId="3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7" fontId="0" fillId="0" borderId="1" pivotButton="0" quotePrefix="0" xfId="0"/>
    <xf numFmtId="167" fontId="0" fillId="3" borderId="1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165" fontId="3" fillId="2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8" fontId="0" fillId="3" borderId="0" pivotButton="0" quotePrefix="0" xfId="0"/>
    <xf numFmtId="165" fontId="0" fillId="0" borderId="0" pivotButton="0" quotePrefix="0" xfId="0"/>
    <xf numFmtId="165" fontId="3" fillId="2" borderId="0" pivotButton="0" quotePrefix="0" xfId="0"/>
    <xf numFmtId="0" fontId="7" fillId="0" borderId="0" pivotButton="0" quotePrefix="0" xfId="0"/>
    <xf numFmtId="170" fontId="0" fillId="0" borderId="0" pivotButton="0" quotePrefix="0" xfId="0"/>
    <xf numFmtId="168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ETF vs Savings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'Dashboard'!$H$12:$H$13</f>
            </numRef>
          </cat>
          <val>
            <numRef>
              <f>'Dashboard'!$I$12:$I$13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Trend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'Dashboard'!$J$2:$J$37</f>
            </numRef>
          </cat>
          <val>
            <numRef>
              <f>'Dashboard'!$K$2:$K$37</f>
            </numRef>
          </val>
        </ser>
        <ser>
          <idx val="1"/>
          <order val="1"/>
          <tx>
            <strRef>
              <f>'Dashboard'!L1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'Dashboard'!$J$2:$J$37</f>
            </numRef>
          </cat>
          <val>
            <numRef>
              <f>'Dashboard'!$L$2:$L$37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F1" authorId="0" shapeId="0">
      <text>
        <t>Change only the monthly PAC amounts here. Weekly PAC is calculated automatically.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F1" authorId="0" shapeId="0">
      <text>
        <t>Auto = use planned weekly PAC; No = skip; Edited = use Actual_Amount.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1" authorId="0" shapeId="0">
      <text>
        <t>At each month-end, fill only this column for Savings + every ETF.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16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Simple portfolio tracker - historical data loaded through Mar/26</t>
        </is>
      </c>
    </row>
    <row r="3">
      <c r="A3" s="36" t="inlineStr">
        <is>
          <t>1) Assets: from Apr/26 onward, write your current MONTHLY PAC in column F. Savings are NOT part of PAC.</t>
        </is>
      </c>
    </row>
    <row r="4">
      <c r="A4" s="36" t="inlineStr">
        <is>
          <t>2) Transactions_PAC: from Apr/26 onward, each ETF has 1 planned MONTHLY PAC row per month.</t>
        </is>
      </c>
    </row>
    <row r="5">
      <c r="A5" s="36" t="inlineStr">
        <is>
          <t>3) In Transactions_PAC, Status works like this:</t>
        </is>
      </c>
    </row>
    <row r="6">
      <c r="A6" s="36" t="inlineStr">
        <is>
          <t xml:space="preserve">   - Auto = use the planned monthly PAC</t>
        </is>
      </c>
    </row>
    <row r="7">
      <c r="A7" s="36" t="inlineStr">
        <is>
          <t xml:space="preserve">   - No = skip that month</t>
        </is>
      </c>
    </row>
    <row r="8">
      <c r="A8" s="36" t="inlineStr">
        <is>
          <t xml:space="preserve">   - Edited = write your real amount in Actual_Amount</t>
        </is>
      </c>
    </row>
    <row r="9">
      <c r="A9" s="36" t="inlineStr">
        <is>
          <t>4) Transactions_Manual: use only for extra buys/sells outside the normal PAC.</t>
        </is>
      </c>
    </row>
    <row r="10">
      <c r="A10" s="36" t="inlineStr">
        <is>
          <t>5) Month_End: at month end, update Savings + each ETF value.</t>
        </is>
      </c>
    </row>
    <row r="11">
      <c r="A11" s="36" t="n"/>
    </row>
    <row r="12">
      <c r="A12" s="36" t="n"/>
    </row>
    <row r="13">
      <c r="A13" s="36" t="n"/>
    </row>
    <row r="14">
      <c r="A14" s="37" t="n"/>
    </row>
    <row r="15">
      <c r="A15" s="3" t="n"/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0" customWidth="1" min="5" max="5"/>
    <col width="14" customWidth="1" min="6" max="6"/>
    <col width="42" customWidth="1" min="7" max="7"/>
  </cols>
  <sheetData>
    <row r="1">
      <c r="A1" s="4" t="inlineStr">
        <is>
          <t>Asset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Bucket</t>
        </is>
      </c>
      <c r="E1" s="4" t="inlineStr">
        <is>
          <t>Active?</t>
        </is>
      </c>
      <c r="F1" s="4" t="inlineStr">
        <is>
          <t>Monthly_PAC</t>
        </is>
      </c>
      <c r="G1" s="4" t="inlineStr">
        <is>
          <t>Note</t>
        </is>
      </c>
      <c r="I1" t="inlineStr">
        <is>
          <t>Note</t>
        </is>
      </c>
    </row>
    <row r="2">
      <c r="A2" t="inlineStr">
        <is>
          <t>Core MSCI World</t>
        </is>
      </c>
      <c r="B2" t="inlineStr">
        <is>
          <t>ETF</t>
        </is>
      </c>
      <c r="C2" t="inlineStr">
        <is>
          <t>ETF Stock</t>
        </is>
      </c>
      <c r="D2" t="inlineStr">
        <is>
          <t>Stocks</t>
        </is>
      </c>
      <c r="E2" t="inlineStr">
        <is>
          <t>Yes</t>
        </is>
      </c>
      <c r="F2" s="18" t="n">
        <v>0</v>
      </c>
      <c r="G2" s="18" t="inlineStr">
        <is>
          <t>Set Apr/26 onward monthly PAC here once finalized</t>
        </is>
      </c>
      <c r="I2" s="2" t="n"/>
    </row>
    <row r="3">
      <c r="A3" t="inlineStr">
        <is>
          <t>AI &amp; Big Data</t>
        </is>
      </c>
      <c r="B3" t="inlineStr">
        <is>
          <t>ETF</t>
        </is>
      </c>
      <c r="C3" t="inlineStr">
        <is>
          <t>ETF Stock</t>
        </is>
      </c>
      <c r="D3" t="inlineStr">
        <is>
          <t>Stocks</t>
        </is>
      </c>
      <c r="E3" t="inlineStr">
        <is>
          <t>Yes</t>
        </is>
      </c>
      <c r="F3" s="18" t="n">
        <v>0</v>
      </c>
      <c r="G3" s="18" t="n"/>
    </row>
    <row r="4">
      <c r="A4" t="inlineStr">
        <is>
          <t>Physical Gold</t>
        </is>
      </c>
      <c r="B4" t="inlineStr">
        <is>
          <t>ETF</t>
        </is>
      </c>
      <c r="C4" t="inlineStr">
        <is>
          <t>ETF Gold</t>
        </is>
      </c>
      <c r="D4" t="inlineStr">
        <is>
          <t>Defensive</t>
        </is>
      </c>
      <c r="E4" t="inlineStr">
        <is>
          <t>Yes</t>
        </is>
      </c>
      <c r="F4" s="18" t="n">
        <v>0</v>
      </c>
      <c r="G4" s="18" t="n"/>
    </row>
    <row r="5">
      <c r="A5" t="inlineStr">
        <is>
          <t>Global Gov Bond</t>
        </is>
      </c>
      <c r="B5" t="inlineStr">
        <is>
          <t>ETF</t>
        </is>
      </c>
      <c r="C5" t="inlineStr">
        <is>
          <t>ETF Bond</t>
        </is>
      </c>
      <c r="D5" t="inlineStr">
        <is>
          <t>Defensive</t>
        </is>
      </c>
      <c r="E5" t="inlineStr">
        <is>
          <t>Yes</t>
        </is>
      </c>
      <c r="F5" s="18" t="n">
        <v>0</v>
      </c>
      <c r="G5" s="18" t="n"/>
    </row>
    <row r="6">
      <c r="A6" t="inlineStr">
        <is>
          <t>Core EUR Corp Bond</t>
        </is>
      </c>
      <c r="B6" t="inlineStr">
        <is>
          <t>ETF</t>
        </is>
      </c>
      <c r="C6" t="inlineStr">
        <is>
          <t>ETF Bond</t>
        </is>
      </c>
      <c r="D6" t="inlineStr">
        <is>
          <t>Defensive</t>
        </is>
      </c>
      <c r="E6" t="inlineStr">
        <is>
          <t>Yes</t>
        </is>
      </c>
      <c r="F6" s="18" t="n">
        <v>0</v>
      </c>
      <c r="G6" s="18" t="n"/>
    </row>
    <row r="7">
      <c r="A7" t="inlineStr">
        <is>
          <t>MSCI World Value</t>
        </is>
      </c>
      <c r="B7" t="inlineStr">
        <is>
          <t>ETF</t>
        </is>
      </c>
      <c r="C7" t="inlineStr">
        <is>
          <t>ETF Stock</t>
        </is>
      </c>
      <c r="D7" t="inlineStr">
        <is>
          <t>Stocks</t>
        </is>
      </c>
      <c r="E7" t="inlineStr">
        <is>
          <t>Yes</t>
        </is>
      </c>
      <c r="F7" s="18" t="n">
        <v>0</v>
      </c>
      <c r="G7" s="18" t="n"/>
    </row>
    <row r="8">
      <c r="A8" t="inlineStr">
        <is>
          <t>MSCI EM</t>
        </is>
      </c>
      <c r="B8" t="inlineStr">
        <is>
          <t>ETF</t>
        </is>
      </c>
      <c r="C8" t="inlineStr">
        <is>
          <t>ETF Stock</t>
        </is>
      </c>
      <c r="D8" t="inlineStr">
        <is>
          <t>Stocks</t>
        </is>
      </c>
      <c r="E8" t="inlineStr">
        <is>
          <t>Yes</t>
        </is>
      </c>
      <c r="F8" s="18" t="n">
        <v>0</v>
      </c>
      <c r="G8" s="18" t="n"/>
    </row>
    <row r="9">
      <c r="A9" t="inlineStr">
        <is>
          <t>Defence Tech</t>
        </is>
      </c>
      <c r="B9" t="inlineStr">
        <is>
          <t>ETF</t>
        </is>
      </c>
      <c r="C9" t="inlineStr">
        <is>
          <t>ETF Stock</t>
        </is>
      </c>
      <c r="D9" t="inlineStr">
        <is>
          <t>Stocks</t>
        </is>
      </c>
      <c r="E9" t="inlineStr">
        <is>
          <t>Yes</t>
        </is>
      </c>
      <c r="F9" s="18" t="n">
        <v>0</v>
      </c>
      <c r="G9" s="18" t="n"/>
    </row>
    <row r="10">
      <c r="A10" t="inlineStr">
        <is>
          <t>Savings</t>
        </is>
      </c>
      <c r="B10" t="inlineStr">
        <is>
          <t>Savings</t>
        </is>
      </c>
      <c r="C10" t="inlineStr">
        <is>
          <t>Savings TR</t>
        </is>
      </c>
      <c r="D10" t="inlineStr">
        <is>
          <t>Savings</t>
        </is>
      </c>
      <c r="E10" t="inlineStr">
        <is>
          <t>Yes</t>
        </is>
      </c>
      <c r="F10" s="18" t="n">
        <v>0</v>
      </c>
      <c r="G10" s="1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4" customWidth="1" min="8" max="8"/>
    <col width="26" customWidth="1" min="9" max="9"/>
  </cols>
  <sheetData>
    <row r="1">
      <c r="A1" s="8" t="inlineStr">
        <is>
          <t>Tx_Date</t>
        </is>
      </c>
      <c r="B1" s="8" t="inlineStr">
        <is>
          <t>Month</t>
        </is>
      </c>
      <c r="C1" s="8" t="inlineStr">
        <is>
          <t>Asset</t>
        </is>
      </c>
      <c r="D1" s="8" t="inlineStr">
        <is>
          <t>Tx_Type</t>
        </is>
      </c>
      <c r="E1" s="8" t="inlineStr">
        <is>
          <t>Planned_Amount</t>
        </is>
      </c>
      <c r="F1" s="8" t="inlineStr">
        <is>
          <t>Status</t>
        </is>
      </c>
      <c r="G1" s="8" t="inlineStr">
        <is>
          <t>Actual_Amount</t>
        </is>
      </c>
      <c r="H1" s="8" t="inlineStr">
        <is>
          <t>Flow_Used</t>
        </is>
      </c>
      <c r="I1" s="8" t="inlineStr">
        <is>
          <t>Notes</t>
        </is>
      </c>
    </row>
    <row r="2">
      <c r="A2" s="41" t="n">
        <v>46113</v>
      </c>
      <c r="B2" s="32">
        <f>DATE(YEAR(A2),MONTH(A2),1)</f>
        <v/>
      </c>
      <c r="C2" t="inlineStr">
        <is>
          <t>Core MSCI World</t>
        </is>
      </c>
      <c r="D2" t="inlineStr">
        <is>
          <t>PAC</t>
        </is>
      </c>
      <c r="E2" s="44">
        <f>IFERROR(VLOOKUP(C2,Assets!$A:$F,6,FALSE),0)</f>
        <v/>
      </c>
      <c r="F2" t="inlineStr">
        <is>
          <t>Auto</t>
        </is>
      </c>
      <c r="G2" s="44" t="n"/>
      <c r="H2" s="44">
        <f>IF(F2="No",0,IF(F2="Edited",IF(G2="",E2,G2),E2))</f>
        <v/>
      </c>
    </row>
    <row r="3">
      <c r="A3" s="41" t="n">
        <v>46113</v>
      </c>
      <c r="B3" s="32">
        <f>DATE(YEAR(A3),MONTH(A3),1)</f>
        <v/>
      </c>
      <c r="C3" t="inlineStr">
        <is>
          <t>AI &amp; Big Data</t>
        </is>
      </c>
      <c r="D3" t="inlineStr">
        <is>
          <t>PAC</t>
        </is>
      </c>
      <c r="E3" s="44">
        <f>IFERROR(VLOOKUP(C3,Assets!$A:$F,6,FALSE),0)</f>
        <v/>
      </c>
      <c r="F3" t="inlineStr">
        <is>
          <t>Auto</t>
        </is>
      </c>
      <c r="G3" s="44" t="n"/>
      <c r="H3" s="44">
        <f>IF(F3="No",0,IF(F3="Edited",IF(G3="",E3,G3),E3))</f>
        <v/>
      </c>
    </row>
    <row r="4">
      <c r="A4" s="41" t="n">
        <v>46113</v>
      </c>
      <c r="B4" s="32">
        <f>DATE(YEAR(A4),MONTH(A4),1)</f>
        <v/>
      </c>
      <c r="C4" t="inlineStr">
        <is>
          <t>Physical Gold</t>
        </is>
      </c>
      <c r="D4" t="inlineStr">
        <is>
          <t>PAC</t>
        </is>
      </c>
      <c r="E4" s="44">
        <f>IFERROR(VLOOKUP(C4,Assets!$A:$F,6,FALSE),0)</f>
        <v/>
      </c>
      <c r="F4" t="inlineStr">
        <is>
          <t>Auto</t>
        </is>
      </c>
      <c r="G4" s="44" t="n"/>
      <c r="H4" s="44">
        <f>IF(F4="No",0,IF(F4="Edited",IF(G4="",E4,G4),E4))</f>
        <v/>
      </c>
    </row>
    <row r="5">
      <c r="A5" s="41" t="n">
        <v>46113</v>
      </c>
      <c r="B5" s="32">
        <f>DATE(YEAR(A5),MONTH(A5),1)</f>
        <v/>
      </c>
      <c r="C5" t="inlineStr">
        <is>
          <t>Global Gov Bond</t>
        </is>
      </c>
      <c r="D5" t="inlineStr">
        <is>
          <t>PAC</t>
        </is>
      </c>
      <c r="E5" s="44">
        <f>IFERROR(VLOOKUP(C5,Assets!$A:$F,6,FALSE),0)</f>
        <v/>
      </c>
      <c r="F5" t="inlineStr">
        <is>
          <t>Auto</t>
        </is>
      </c>
      <c r="G5" s="44" t="n"/>
      <c r="H5" s="44">
        <f>IF(F5="No",0,IF(F5="Edited",IF(G5="",E5,G5),E5))</f>
        <v/>
      </c>
    </row>
    <row r="6">
      <c r="A6" s="41" t="n">
        <v>46113</v>
      </c>
      <c r="B6" s="32">
        <f>DATE(YEAR(A6),MONTH(A6),1)</f>
        <v/>
      </c>
      <c r="C6" t="inlineStr">
        <is>
          <t>Core EUR Corp Bond</t>
        </is>
      </c>
      <c r="D6" t="inlineStr">
        <is>
          <t>PAC</t>
        </is>
      </c>
      <c r="E6" s="44">
        <f>IFERROR(VLOOKUP(C6,Assets!$A:$F,6,FALSE),0)</f>
        <v/>
      </c>
      <c r="F6" t="inlineStr">
        <is>
          <t>Auto</t>
        </is>
      </c>
      <c r="G6" s="44" t="n"/>
      <c r="H6" s="44">
        <f>IF(F6="No",0,IF(F6="Edited",IF(G6="",E6,G6),E6))</f>
        <v/>
      </c>
    </row>
    <row r="7">
      <c r="A7" s="41" t="n">
        <v>46113</v>
      </c>
      <c r="B7" s="32">
        <f>DATE(YEAR(A7),MONTH(A7),1)</f>
        <v/>
      </c>
      <c r="C7" t="inlineStr">
        <is>
          <t>MSCI World Value</t>
        </is>
      </c>
      <c r="D7" t="inlineStr">
        <is>
          <t>PAC</t>
        </is>
      </c>
      <c r="E7" s="44">
        <f>IFERROR(VLOOKUP(C7,Assets!$A:$F,6,FALSE),0)</f>
        <v/>
      </c>
      <c r="F7" t="inlineStr">
        <is>
          <t>Auto</t>
        </is>
      </c>
      <c r="G7" s="44" t="n"/>
      <c r="H7" s="44">
        <f>IF(F7="No",0,IF(F7="Edited",IF(G7="",E7,G7),E7))</f>
        <v/>
      </c>
    </row>
    <row r="8">
      <c r="A8" s="41" t="n">
        <v>46113</v>
      </c>
      <c r="B8" s="32">
        <f>DATE(YEAR(A8),MONTH(A8),1)</f>
        <v/>
      </c>
      <c r="C8" t="inlineStr">
        <is>
          <t>MSCI EM</t>
        </is>
      </c>
      <c r="D8" t="inlineStr">
        <is>
          <t>PAC</t>
        </is>
      </c>
      <c r="E8" s="44">
        <f>IFERROR(VLOOKUP(C8,Assets!$A:$F,6,FALSE),0)</f>
        <v/>
      </c>
      <c r="F8" t="inlineStr">
        <is>
          <t>Auto</t>
        </is>
      </c>
      <c r="G8" s="44" t="n"/>
      <c r="H8" s="44">
        <f>IF(F8="No",0,IF(F8="Edited",IF(G8="",E8,G8),E8))</f>
        <v/>
      </c>
    </row>
    <row r="9">
      <c r="A9" s="41" t="n">
        <v>46113</v>
      </c>
      <c r="B9" s="32">
        <f>DATE(YEAR(A9),MONTH(A9),1)</f>
        <v/>
      </c>
      <c r="C9" t="inlineStr">
        <is>
          <t>Defence Tech</t>
        </is>
      </c>
      <c r="D9" t="inlineStr">
        <is>
          <t>PAC</t>
        </is>
      </c>
      <c r="E9" s="44">
        <f>IFERROR(VLOOKUP(C9,Assets!$A:$F,6,FALSE),0)</f>
        <v/>
      </c>
      <c r="F9" t="inlineStr">
        <is>
          <t>Auto</t>
        </is>
      </c>
      <c r="G9" s="44" t="n"/>
      <c r="H9" s="44">
        <f>IF(F9="No",0,IF(F9="Edited",IF(G9="",E9,G9),E9))</f>
        <v/>
      </c>
    </row>
    <row r="10">
      <c r="A10" s="41" t="n">
        <v>46143</v>
      </c>
      <c r="B10" s="32">
        <f>DATE(YEAR(A10),MONTH(A10),1)</f>
        <v/>
      </c>
      <c r="C10" t="inlineStr">
        <is>
          <t>Core MSCI World</t>
        </is>
      </c>
      <c r="D10" t="inlineStr">
        <is>
          <t>PAC</t>
        </is>
      </c>
      <c r="E10" s="44">
        <f>IFERROR(VLOOKUP(C10,Assets!$A:$F,6,FALSE),0)</f>
        <v/>
      </c>
      <c r="F10" t="inlineStr">
        <is>
          <t>Auto</t>
        </is>
      </c>
      <c r="G10" s="44" t="n"/>
      <c r="H10" s="44">
        <f>IF(F10="No",0,IF(F10="Edited",IF(G10="",E10,G10),E10))</f>
        <v/>
      </c>
    </row>
    <row r="11">
      <c r="A11" s="41" t="n">
        <v>46143</v>
      </c>
      <c r="B11" s="32">
        <f>DATE(YEAR(A11),MONTH(A11),1)</f>
        <v/>
      </c>
      <c r="C11" t="inlineStr">
        <is>
          <t>AI &amp; Big Data</t>
        </is>
      </c>
      <c r="D11" t="inlineStr">
        <is>
          <t>PAC</t>
        </is>
      </c>
      <c r="E11" s="44">
        <f>IFERROR(VLOOKUP(C11,Assets!$A:$F,6,FALSE),0)</f>
        <v/>
      </c>
      <c r="F11" t="inlineStr">
        <is>
          <t>Auto</t>
        </is>
      </c>
      <c r="G11" s="44" t="n"/>
      <c r="H11" s="44">
        <f>IF(F11="No",0,IF(F11="Edited",IF(G11="",E11,G11),E11))</f>
        <v/>
      </c>
    </row>
    <row r="12">
      <c r="A12" s="41" t="n">
        <v>46143</v>
      </c>
      <c r="B12" s="32">
        <f>DATE(YEAR(A12),MONTH(A12),1)</f>
        <v/>
      </c>
      <c r="C12" t="inlineStr">
        <is>
          <t>Physical Gold</t>
        </is>
      </c>
      <c r="D12" t="inlineStr">
        <is>
          <t>PAC</t>
        </is>
      </c>
      <c r="E12" s="44">
        <f>IFERROR(VLOOKUP(C12,Assets!$A:$F,6,FALSE),0)</f>
        <v/>
      </c>
      <c r="F12" t="inlineStr">
        <is>
          <t>Auto</t>
        </is>
      </c>
      <c r="G12" s="44" t="n"/>
      <c r="H12" s="44">
        <f>IF(F12="No",0,IF(F12="Edited",IF(G12="",E12,G12),E12))</f>
        <v/>
      </c>
    </row>
    <row r="13">
      <c r="A13" s="41" t="n">
        <v>46143</v>
      </c>
      <c r="B13" s="32">
        <f>DATE(YEAR(A13),MONTH(A13),1)</f>
        <v/>
      </c>
      <c r="C13" t="inlineStr">
        <is>
          <t>Global Gov Bond</t>
        </is>
      </c>
      <c r="D13" t="inlineStr">
        <is>
          <t>PAC</t>
        </is>
      </c>
      <c r="E13" s="44">
        <f>IFERROR(VLOOKUP(C13,Assets!$A:$F,6,FALSE),0)</f>
        <v/>
      </c>
      <c r="F13" t="inlineStr">
        <is>
          <t>Auto</t>
        </is>
      </c>
      <c r="G13" s="44" t="n"/>
      <c r="H13" s="44">
        <f>IF(F13="No",0,IF(F13="Edited",IF(G13="",E13,G13),E13))</f>
        <v/>
      </c>
    </row>
    <row r="14">
      <c r="A14" s="41" t="n">
        <v>46143</v>
      </c>
      <c r="B14" s="32">
        <f>DATE(YEAR(A14),MONTH(A14),1)</f>
        <v/>
      </c>
      <c r="C14" t="inlineStr">
        <is>
          <t>Core EUR Corp Bond</t>
        </is>
      </c>
      <c r="D14" t="inlineStr">
        <is>
          <t>PAC</t>
        </is>
      </c>
      <c r="E14" s="44">
        <f>IFERROR(VLOOKUP(C14,Assets!$A:$F,6,FALSE),0)</f>
        <v/>
      </c>
      <c r="F14" t="inlineStr">
        <is>
          <t>Auto</t>
        </is>
      </c>
      <c r="G14" s="44" t="n"/>
      <c r="H14" s="44">
        <f>IF(F14="No",0,IF(F14="Edited",IF(G14="",E14,G14),E14))</f>
        <v/>
      </c>
    </row>
    <row r="15">
      <c r="A15" s="41" t="n">
        <v>46143</v>
      </c>
      <c r="B15" s="32">
        <f>DATE(YEAR(A15),MONTH(A15),1)</f>
        <v/>
      </c>
      <c r="C15" t="inlineStr">
        <is>
          <t>MSCI World Value</t>
        </is>
      </c>
      <c r="D15" t="inlineStr">
        <is>
          <t>PAC</t>
        </is>
      </c>
      <c r="E15" s="44">
        <f>IFERROR(VLOOKUP(C15,Assets!$A:$F,6,FALSE),0)</f>
        <v/>
      </c>
      <c r="F15" t="inlineStr">
        <is>
          <t>Auto</t>
        </is>
      </c>
      <c r="G15" s="44" t="n"/>
      <c r="H15" s="44">
        <f>IF(F15="No",0,IF(F15="Edited",IF(G15="",E15,G15),E15))</f>
        <v/>
      </c>
    </row>
    <row r="16">
      <c r="A16" s="41" t="n">
        <v>46143</v>
      </c>
      <c r="B16" s="32">
        <f>DATE(YEAR(A16),MONTH(A16),1)</f>
        <v/>
      </c>
      <c r="C16" t="inlineStr">
        <is>
          <t>MSCI EM</t>
        </is>
      </c>
      <c r="D16" t="inlineStr">
        <is>
          <t>PAC</t>
        </is>
      </c>
      <c r="E16" s="44">
        <f>IFERROR(VLOOKUP(C16,Assets!$A:$F,6,FALSE),0)</f>
        <v/>
      </c>
      <c r="F16" t="inlineStr">
        <is>
          <t>Auto</t>
        </is>
      </c>
      <c r="G16" s="44" t="n"/>
      <c r="H16" s="44">
        <f>IF(F16="No",0,IF(F16="Edited",IF(G16="",E16,G16),E16))</f>
        <v/>
      </c>
    </row>
    <row r="17">
      <c r="A17" s="41" t="n">
        <v>46143</v>
      </c>
      <c r="B17" s="32">
        <f>DATE(YEAR(A17),MONTH(A17),1)</f>
        <v/>
      </c>
      <c r="C17" t="inlineStr">
        <is>
          <t>Defence Tech</t>
        </is>
      </c>
      <c r="D17" t="inlineStr">
        <is>
          <t>PAC</t>
        </is>
      </c>
      <c r="E17" s="44">
        <f>IFERROR(VLOOKUP(C17,Assets!$A:$F,6,FALSE),0)</f>
        <v/>
      </c>
      <c r="F17" t="inlineStr">
        <is>
          <t>Auto</t>
        </is>
      </c>
      <c r="G17" s="44" t="n"/>
      <c r="H17" s="44">
        <f>IF(F17="No",0,IF(F17="Edited",IF(G17="",E17,G17),E17))</f>
        <v/>
      </c>
    </row>
    <row r="18">
      <c r="A18" s="41" t="n">
        <v>46174</v>
      </c>
      <c r="B18" s="32">
        <f>DATE(YEAR(A18),MONTH(A18),1)</f>
        <v/>
      </c>
      <c r="C18" t="inlineStr">
        <is>
          <t>Core MSCI World</t>
        </is>
      </c>
      <c r="D18" t="inlineStr">
        <is>
          <t>PAC</t>
        </is>
      </c>
      <c r="E18" s="44">
        <f>IFERROR(VLOOKUP(C18,Assets!$A:$F,6,FALSE),0)</f>
        <v/>
      </c>
      <c r="F18" t="inlineStr">
        <is>
          <t>Auto</t>
        </is>
      </c>
      <c r="G18" s="44" t="n"/>
      <c r="H18" s="44">
        <f>IF(F18="No",0,IF(F18="Edited",IF(G18="",E18,G18),E18))</f>
        <v/>
      </c>
    </row>
    <row r="19">
      <c r="A19" s="41" t="n">
        <v>46174</v>
      </c>
      <c r="B19" s="32">
        <f>DATE(YEAR(A19),MONTH(A19),1)</f>
        <v/>
      </c>
      <c r="C19" t="inlineStr">
        <is>
          <t>AI &amp; Big Data</t>
        </is>
      </c>
      <c r="D19" t="inlineStr">
        <is>
          <t>PAC</t>
        </is>
      </c>
      <c r="E19" s="44">
        <f>IFERROR(VLOOKUP(C19,Assets!$A:$F,6,FALSE),0)</f>
        <v/>
      </c>
      <c r="F19" t="inlineStr">
        <is>
          <t>Auto</t>
        </is>
      </c>
      <c r="G19" s="44" t="n"/>
      <c r="H19" s="44">
        <f>IF(F19="No",0,IF(F19="Edited",IF(G19="",E19,G19),E19))</f>
        <v/>
      </c>
    </row>
    <row r="20">
      <c r="A20" s="41" t="n">
        <v>46174</v>
      </c>
      <c r="B20" s="32">
        <f>DATE(YEAR(A20),MONTH(A20),1)</f>
        <v/>
      </c>
      <c r="C20" t="inlineStr">
        <is>
          <t>Physical Gold</t>
        </is>
      </c>
      <c r="D20" t="inlineStr">
        <is>
          <t>PAC</t>
        </is>
      </c>
      <c r="E20" s="44">
        <f>IFERROR(VLOOKUP(C20,Assets!$A:$F,6,FALSE),0)</f>
        <v/>
      </c>
      <c r="F20" t="inlineStr">
        <is>
          <t>Auto</t>
        </is>
      </c>
      <c r="G20" s="44" t="n"/>
      <c r="H20" s="44">
        <f>IF(F20="No",0,IF(F20="Edited",IF(G20="",E20,G20),E20))</f>
        <v/>
      </c>
    </row>
    <row r="21">
      <c r="A21" s="41" t="n">
        <v>46174</v>
      </c>
      <c r="B21" s="32">
        <f>DATE(YEAR(A21),MONTH(A21),1)</f>
        <v/>
      </c>
      <c r="C21" t="inlineStr">
        <is>
          <t>Global Gov Bond</t>
        </is>
      </c>
      <c r="D21" t="inlineStr">
        <is>
          <t>PAC</t>
        </is>
      </c>
      <c r="E21" s="44">
        <f>IFERROR(VLOOKUP(C21,Assets!$A:$F,6,FALSE),0)</f>
        <v/>
      </c>
      <c r="F21" t="inlineStr">
        <is>
          <t>Auto</t>
        </is>
      </c>
      <c r="G21" s="44" t="n"/>
      <c r="H21" s="44">
        <f>IF(F21="No",0,IF(F21="Edited",IF(G21="",E21,G21),E21))</f>
        <v/>
      </c>
    </row>
    <row r="22">
      <c r="A22" s="41" t="n">
        <v>46174</v>
      </c>
      <c r="B22" s="32">
        <f>DATE(YEAR(A22),MONTH(A22),1)</f>
        <v/>
      </c>
      <c r="C22" t="inlineStr">
        <is>
          <t>Core EUR Corp Bond</t>
        </is>
      </c>
      <c r="D22" t="inlineStr">
        <is>
          <t>PAC</t>
        </is>
      </c>
      <c r="E22" s="44">
        <f>IFERROR(VLOOKUP(C22,Assets!$A:$F,6,FALSE),0)</f>
        <v/>
      </c>
      <c r="F22" t="inlineStr">
        <is>
          <t>Auto</t>
        </is>
      </c>
      <c r="G22" s="44" t="n"/>
      <c r="H22" s="44">
        <f>IF(F22="No",0,IF(F22="Edited",IF(G22="",E22,G22),E22))</f>
        <v/>
      </c>
    </row>
    <row r="23">
      <c r="A23" s="41" t="n">
        <v>46174</v>
      </c>
      <c r="B23" s="32">
        <f>DATE(YEAR(A23),MONTH(A23),1)</f>
        <v/>
      </c>
      <c r="C23" t="inlineStr">
        <is>
          <t>MSCI World Value</t>
        </is>
      </c>
      <c r="D23" t="inlineStr">
        <is>
          <t>PAC</t>
        </is>
      </c>
      <c r="E23" s="44">
        <f>IFERROR(VLOOKUP(C23,Assets!$A:$F,6,FALSE),0)</f>
        <v/>
      </c>
      <c r="F23" t="inlineStr">
        <is>
          <t>Auto</t>
        </is>
      </c>
      <c r="G23" s="44" t="n"/>
      <c r="H23" s="44">
        <f>IF(F23="No",0,IF(F23="Edited",IF(G23="",E23,G23),E23))</f>
        <v/>
      </c>
    </row>
    <row r="24">
      <c r="A24" s="41" t="n">
        <v>46174</v>
      </c>
      <c r="B24" s="32">
        <f>DATE(YEAR(A24),MONTH(A24),1)</f>
        <v/>
      </c>
      <c r="C24" t="inlineStr">
        <is>
          <t>MSCI EM</t>
        </is>
      </c>
      <c r="D24" t="inlineStr">
        <is>
          <t>PAC</t>
        </is>
      </c>
      <c r="E24" s="44">
        <f>IFERROR(VLOOKUP(C24,Assets!$A:$F,6,FALSE),0)</f>
        <v/>
      </c>
      <c r="F24" t="inlineStr">
        <is>
          <t>Auto</t>
        </is>
      </c>
      <c r="G24" s="44" t="n"/>
      <c r="H24" s="44">
        <f>IF(F24="No",0,IF(F24="Edited",IF(G24="",E24,G24),E24))</f>
        <v/>
      </c>
    </row>
    <row r="25">
      <c r="A25" s="41" t="n">
        <v>46174</v>
      </c>
      <c r="B25" s="32">
        <f>DATE(YEAR(A25),MONTH(A25),1)</f>
        <v/>
      </c>
      <c r="C25" t="inlineStr">
        <is>
          <t>Defence Tech</t>
        </is>
      </c>
      <c r="D25" t="inlineStr">
        <is>
          <t>PAC</t>
        </is>
      </c>
      <c r="E25" s="44">
        <f>IFERROR(VLOOKUP(C25,Assets!$A:$F,6,FALSE),0)</f>
        <v/>
      </c>
      <c r="F25" t="inlineStr">
        <is>
          <t>Auto</t>
        </is>
      </c>
      <c r="G25" s="44" t="n"/>
      <c r="H25" s="44">
        <f>IF(F25="No",0,IF(F25="Edited",IF(G25="",E25,G25),E25))</f>
        <v/>
      </c>
    </row>
    <row r="26">
      <c r="A26" s="41" t="n">
        <v>46204</v>
      </c>
      <c r="B26" s="32">
        <f>DATE(YEAR(A26),MONTH(A26),1)</f>
        <v/>
      </c>
      <c r="C26" t="inlineStr">
        <is>
          <t>Core MSCI World</t>
        </is>
      </c>
      <c r="D26" t="inlineStr">
        <is>
          <t>PAC</t>
        </is>
      </c>
      <c r="E26" s="44">
        <f>IFERROR(VLOOKUP(C26,Assets!$A:$F,6,FALSE),0)</f>
        <v/>
      </c>
      <c r="F26" t="inlineStr">
        <is>
          <t>Auto</t>
        </is>
      </c>
      <c r="G26" s="44" t="n"/>
      <c r="H26" s="44">
        <f>IF(F26="No",0,IF(F26="Edited",IF(G26="",E26,G26),E26))</f>
        <v/>
      </c>
    </row>
    <row r="27">
      <c r="A27" s="41" t="n">
        <v>46204</v>
      </c>
      <c r="B27" s="32">
        <f>DATE(YEAR(A27),MONTH(A27),1)</f>
        <v/>
      </c>
      <c r="C27" t="inlineStr">
        <is>
          <t>AI &amp; Big Data</t>
        </is>
      </c>
      <c r="D27" t="inlineStr">
        <is>
          <t>PAC</t>
        </is>
      </c>
      <c r="E27" s="44">
        <f>IFERROR(VLOOKUP(C27,Assets!$A:$F,6,FALSE),0)</f>
        <v/>
      </c>
      <c r="F27" t="inlineStr">
        <is>
          <t>Auto</t>
        </is>
      </c>
      <c r="G27" s="44" t="n"/>
      <c r="H27" s="44">
        <f>IF(F27="No",0,IF(F27="Edited",IF(G27="",E27,G27),E27))</f>
        <v/>
      </c>
    </row>
    <row r="28">
      <c r="A28" s="41" t="n">
        <v>46204</v>
      </c>
      <c r="B28" s="32">
        <f>DATE(YEAR(A28),MONTH(A28),1)</f>
        <v/>
      </c>
      <c r="C28" t="inlineStr">
        <is>
          <t>Physical Gold</t>
        </is>
      </c>
      <c r="D28" t="inlineStr">
        <is>
          <t>PAC</t>
        </is>
      </c>
      <c r="E28" s="44">
        <f>IFERROR(VLOOKUP(C28,Assets!$A:$F,6,FALSE),0)</f>
        <v/>
      </c>
      <c r="F28" t="inlineStr">
        <is>
          <t>Auto</t>
        </is>
      </c>
      <c r="G28" s="44" t="n"/>
      <c r="H28" s="44">
        <f>IF(F28="No",0,IF(F28="Edited",IF(G28="",E28,G28),E28))</f>
        <v/>
      </c>
    </row>
    <row r="29">
      <c r="A29" s="41" t="n">
        <v>46204</v>
      </c>
      <c r="B29" s="32">
        <f>DATE(YEAR(A29),MONTH(A29),1)</f>
        <v/>
      </c>
      <c r="C29" t="inlineStr">
        <is>
          <t>Global Gov Bond</t>
        </is>
      </c>
      <c r="D29" t="inlineStr">
        <is>
          <t>PAC</t>
        </is>
      </c>
      <c r="E29" s="44">
        <f>IFERROR(VLOOKUP(C29,Assets!$A:$F,6,FALSE),0)</f>
        <v/>
      </c>
      <c r="F29" t="inlineStr">
        <is>
          <t>Auto</t>
        </is>
      </c>
      <c r="G29" s="44" t="n"/>
      <c r="H29" s="44">
        <f>IF(F29="No",0,IF(F29="Edited",IF(G29="",E29,G29),E29))</f>
        <v/>
      </c>
    </row>
    <row r="30">
      <c r="A30" s="41" t="n">
        <v>46204</v>
      </c>
      <c r="B30" s="32">
        <f>DATE(YEAR(A30),MONTH(A30),1)</f>
        <v/>
      </c>
      <c r="C30" t="inlineStr">
        <is>
          <t>Core EUR Corp Bond</t>
        </is>
      </c>
      <c r="D30" t="inlineStr">
        <is>
          <t>PAC</t>
        </is>
      </c>
      <c r="E30" s="44">
        <f>IFERROR(VLOOKUP(C30,Assets!$A:$F,6,FALSE),0)</f>
        <v/>
      </c>
      <c r="F30" t="inlineStr">
        <is>
          <t>Auto</t>
        </is>
      </c>
      <c r="G30" s="44" t="n"/>
      <c r="H30" s="44">
        <f>IF(F30="No",0,IF(F30="Edited",IF(G30="",E30,G30),E30))</f>
        <v/>
      </c>
    </row>
    <row r="31">
      <c r="A31" s="41" t="n">
        <v>46204</v>
      </c>
      <c r="B31" s="32">
        <f>DATE(YEAR(A31),MONTH(A31),1)</f>
        <v/>
      </c>
      <c r="C31" t="inlineStr">
        <is>
          <t>MSCI World Value</t>
        </is>
      </c>
      <c r="D31" t="inlineStr">
        <is>
          <t>PAC</t>
        </is>
      </c>
      <c r="E31" s="44">
        <f>IFERROR(VLOOKUP(C31,Assets!$A:$F,6,FALSE),0)</f>
        <v/>
      </c>
      <c r="F31" t="inlineStr">
        <is>
          <t>Auto</t>
        </is>
      </c>
      <c r="G31" s="44" t="n"/>
      <c r="H31" s="44">
        <f>IF(F31="No",0,IF(F31="Edited",IF(G31="",E31,G31),E31))</f>
        <v/>
      </c>
    </row>
    <row r="32">
      <c r="A32" s="41" t="n">
        <v>46204</v>
      </c>
      <c r="B32" s="32">
        <f>DATE(YEAR(A32),MONTH(A32),1)</f>
        <v/>
      </c>
      <c r="C32" t="inlineStr">
        <is>
          <t>MSCI EM</t>
        </is>
      </c>
      <c r="D32" t="inlineStr">
        <is>
          <t>PAC</t>
        </is>
      </c>
      <c r="E32" s="44">
        <f>IFERROR(VLOOKUP(C32,Assets!$A:$F,6,FALSE),0)</f>
        <v/>
      </c>
      <c r="F32" t="inlineStr">
        <is>
          <t>Auto</t>
        </is>
      </c>
      <c r="G32" s="44" t="n"/>
      <c r="H32" s="44">
        <f>IF(F32="No",0,IF(F32="Edited",IF(G32="",E32,G32),E32))</f>
        <v/>
      </c>
    </row>
    <row r="33">
      <c r="A33" s="41" t="n">
        <v>46204</v>
      </c>
      <c r="B33" s="32">
        <f>DATE(YEAR(A33),MONTH(A33),1)</f>
        <v/>
      </c>
      <c r="C33" t="inlineStr">
        <is>
          <t>Defence Tech</t>
        </is>
      </c>
      <c r="D33" t="inlineStr">
        <is>
          <t>PAC</t>
        </is>
      </c>
      <c r="E33" s="44">
        <f>IFERROR(VLOOKUP(C33,Assets!$A:$F,6,FALSE),0)</f>
        <v/>
      </c>
      <c r="F33" t="inlineStr">
        <is>
          <t>Auto</t>
        </is>
      </c>
      <c r="G33" s="44" t="n"/>
      <c r="H33" s="44">
        <f>IF(F33="No",0,IF(F33="Edited",IF(G33="",E33,G33),E33))</f>
        <v/>
      </c>
    </row>
    <row r="34">
      <c r="A34" s="41" t="n">
        <v>46235</v>
      </c>
      <c r="B34" s="32">
        <f>DATE(YEAR(A34),MONTH(A34),1)</f>
        <v/>
      </c>
      <c r="C34" t="inlineStr">
        <is>
          <t>Core MSCI World</t>
        </is>
      </c>
      <c r="D34" t="inlineStr">
        <is>
          <t>PAC</t>
        </is>
      </c>
      <c r="E34" s="44">
        <f>IFERROR(VLOOKUP(C34,Assets!$A:$F,6,FALSE),0)</f>
        <v/>
      </c>
      <c r="F34" t="inlineStr">
        <is>
          <t>Auto</t>
        </is>
      </c>
      <c r="G34" s="44" t="n"/>
      <c r="H34" s="44">
        <f>IF(F34="No",0,IF(F34="Edited",IF(G34="",E34,G34),E34))</f>
        <v/>
      </c>
    </row>
    <row r="35">
      <c r="A35" s="41" t="n">
        <v>46235</v>
      </c>
      <c r="B35" s="32">
        <f>DATE(YEAR(A35),MONTH(A35),1)</f>
        <v/>
      </c>
      <c r="C35" t="inlineStr">
        <is>
          <t>AI &amp; Big Data</t>
        </is>
      </c>
      <c r="D35" t="inlineStr">
        <is>
          <t>PAC</t>
        </is>
      </c>
      <c r="E35" s="44">
        <f>IFERROR(VLOOKUP(C35,Assets!$A:$F,6,FALSE),0)</f>
        <v/>
      </c>
      <c r="F35" t="inlineStr">
        <is>
          <t>Auto</t>
        </is>
      </c>
      <c r="G35" s="44" t="n"/>
      <c r="H35" s="44">
        <f>IF(F35="No",0,IF(F35="Edited",IF(G35="",E35,G35),E35))</f>
        <v/>
      </c>
    </row>
    <row r="36">
      <c r="A36" s="41" t="n">
        <v>46235</v>
      </c>
      <c r="B36" s="32">
        <f>DATE(YEAR(A36),MONTH(A36),1)</f>
        <v/>
      </c>
      <c r="C36" t="inlineStr">
        <is>
          <t>Physical Gold</t>
        </is>
      </c>
      <c r="D36" t="inlineStr">
        <is>
          <t>PAC</t>
        </is>
      </c>
      <c r="E36" s="44">
        <f>IFERROR(VLOOKUP(C36,Assets!$A:$F,6,FALSE),0)</f>
        <v/>
      </c>
      <c r="F36" t="inlineStr">
        <is>
          <t>Auto</t>
        </is>
      </c>
      <c r="G36" s="44" t="n"/>
      <c r="H36" s="44">
        <f>IF(F36="No",0,IF(F36="Edited",IF(G36="",E36,G36),E36))</f>
        <v/>
      </c>
    </row>
    <row r="37">
      <c r="A37" s="41" t="n">
        <v>46235</v>
      </c>
      <c r="B37" s="32">
        <f>DATE(YEAR(A37),MONTH(A37),1)</f>
        <v/>
      </c>
      <c r="C37" t="inlineStr">
        <is>
          <t>Global Gov Bond</t>
        </is>
      </c>
      <c r="D37" t="inlineStr">
        <is>
          <t>PAC</t>
        </is>
      </c>
      <c r="E37" s="44">
        <f>IFERROR(VLOOKUP(C37,Assets!$A:$F,6,FALSE),0)</f>
        <v/>
      </c>
      <c r="F37" t="inlineStr">
        <is>
          <t>Auto</t>
        </is>
      </c>
      <c r="G37" s="44" t="n"/>
      <c r="H37" s="44">
        <f>IF(F37="No",0,IF(F37="Edited",IF(G37="",E37,G37),E37))</f>
        <v/>
      </c>
    </row>
    <row r="38">
      <c r="A38" s="41" t="n">
        <v>46235</v>
      </c>
      <c r="B38" s="32">
        <f>DATE(YEAR(A38),MONTH(A38),1)</f>
        <v/>
      </c>
      <c r="C38" t="inlineStr">
        <is>
          <t>Core EUR Corp Bond</t>
        </is>
      </c>
      <c r="D38" t="inlineStr">
        <is>
          <t>PAC</t>
        </is>
      </c>
      <c r="E38" s="44">
        <f>IFERROR(VLOOKUP(C38,Assets!$A:$F,6,FALSE),0)</f>
        <v/>
      </c>
      <c r="F38" t="inlineStr">
        <is>
          <t>Auto</t>
        </is>
      </c>
      <c r="G38" s="44" t="n"/>
      <c r="H38" s="44">
        <f>IF(F38="No",0,IF(F38="Edited",IF(G38="",E38,G38),E38))</f>
        <v/>
      </c>
    </row>
    <row r="39">
      <c r="A39" s="41" t="n">
        <v>46235</v>
      </c>
      <c r="B39" s="32">
        <f>DATE(YEAR(A39),MONTH(A39),1)</f>
        <v/>
      </c>
      <c r="C39" t="inlineStr">
        <is>
          <t>MSCI World Value</t>
        </is>
      </c>
      <c r="D39" t="inlineStr">
        <is>
          <t>PAC</t>
        </is>
      </c>
      <c r="E39" s="44">
        <f>IFERROR(VLOOKUP(C39,Assets!$A:$F,6,FALSE),0)</f>
        <v/>
      </c>
      <c r="F39" t="inlineStr">
        <is>
          <t>Auto</t>
        </is>
      </c>
      <c r="G39" s="44" t="n"/>
      <c r="H39" s="44">
        <f>IF(F39="No",0,IF(F39="Edited",IF(G39="",E39,G39),E39))</f>
        <v/>
      </c>
    </row>
    <row r="40">
      <c r="A40" s="41" t="n">
        <v>46235</v>
      </c>
      <c r="B40" s="32">
        <f>DATE(YEAR(A40),MONTH(A40),1)</f>
        <v/>
      </c>
      <c r="C40" t="inlineStr">
        <is>
          <t>MSCI EM</t>
        </is>
      </c>
      <c r="D40" t="inlineStr">
        <is>
          <t>PAC</t>
        </is>
      </c>
      <c r="E40" s="44">
        <f>IFERROR(VLOOKUP(C40,Assets!$A:$F,6,FALSE),0)</f>
        <v/>
      </c>
      <c r="F40" t="inlineStr">
        <is>
          <t>Auto</t>
        </is>
      </c>
      <c r="G40" s="44" t="n"/>
      <c r="H40" s="44">
        <f>IF(F40="No",0,IF(F40="Edited",IF(G40="",E40,G40),E40))</f>
        <v/>
      </c>
    </row>
    <row r="41">
      <c r="A41" s="41" t="n">
        <v>46235</v>
      </c>
      <c r="B41" s="32">
        <f>DATE(YEAR(A41),MONTH(A41),1)</f>
        <v/>
      </c>
      <c r="C41" t="inlineStr">
        <is>
          <t>Defence Tech</t>
        </is>
      </c>
      <c r="D41" t="inlineStr">
        <is>
          <t>PAC</t>
        </is>
      </c>
      <c r="E41" s="44">
        <f>IFERROR(VLOOKUP(C41,Assets!$A:$F,6,FALSE),0)</f>
        <v/>
      </c>
      <c r="F41" t="inlineStr">
        <is>
          <t>Auto</t>
        </is>
      </c>
      <c r="G41" s="44" t="n"/>
      <c r="H41" s="44">
        <f>IF(F41="No",0,IF(F41="Edited",IF(G41="",E41,G41),E41))</f>
        <v/>
      </c>
    </row>
    <row r="42">
      <c r="A42" s="41" t="n">
        <v>46266</v>
      </c>
      <c r="B42" s="32">
        <f>DATE(YEAR(A42),MONTH(A42),1)</f>
        <v/>
      </c>
      <c r="C42" t="inlineStr">
        <is>
          <t>Core MSCI World</t>
        </is>
      </c>
      <c r="D42" t="inlineStr">
        <is>
          <t>PAC</t>
        </is>
      </c>
      <c r="E42" s="44">
        <f>IFERROR(VLOOKUP(C42,Assets!$A:$F,6,FALSE),0)</f>
        <v/>
      </c>
      <c r="F42" t="inlineStr">
        <is>
          <t>Auto</t>
        </is>
      </c>
      <c r="G42" s="44" t="n"/>
      <c r="H42" s="44">
        <f>IF(F42="No",0,IF(F42="Edited",IF(G42="",E42,G42),E42))</f>
        <v/>
      </c>
    </row>
    <row r="43">
      <c r="A43" s="41" t="n">
        <v>46266</v>
      </c>
      <c r="B43" s="32">
        <f>DATE(YEAR(A43),MONTH(A43),1)</f>
        <v/>
      </c>
      <c r="C43" t="inlineStr">
        <is>
          <t>AI &amp; Big Data</t>
        </is>
      </c>
      <c r="D43" t="inlineStr">
        <is>
          <t>PAC</t>
        </is>
      </c>
      <c r="E43" s="44">
        <f>IFERROR(VLOOKUP(C43,Assets!$A:$F,6,FALSE),0)</f>
        <v/>
      </c>
      <c r="F43" t="inlineStr">
        <is>
          <t>Auto</t>
        </is>
      </c>
      <c r="G43" s="44" t="n"/>
      <c r="H43" s="44">
        <f>IF(F43="No",0,IF(F43="Edited",IF(G43="",E43,G43),E43))</f>
        <v/>
      </c>
    </row>
    <row r="44">
      <c r="A44" s="41" t="n">
        <v>46266</v>
      </c>
      <c r="B44" s="32">
        <f>DATE(YEAR(A44),MONTH(A44),1)</f>
        <v/>
      </c>
      <c r="C44" t="inlineStr">
        <is>
          <t>Physical Gold</t>
        </is>
      </c>
      <c r="D44" t="inlineStr">
        <is>
          <t>PAC</t>
        </is>
      </c>
      <c r="E44" s="44">
        <f>IFERROR(VLOOKUP(C44,Assets!$A:$F,6,FALSE),0)</f>
        <v/>
      </c>
      <c r="F44" t="inlineStr">
        <is>
          <t>Auto</t>
        </is>
      </c>
      <c r="G44" s="44" t="n"/>
      <c r="H44" s="44">
        <f>IF(F44="No",0,IF(F44="Edited",IF(G44="",E44,G44),E44))</f>
        <v/>
      </c>
    </row>
    <row r="45">
      <c r="A45" s="41" t="n">
        <v>46266</v>
      </c>
      <c r="B45" s="32">
        <f>DATE(YEAR(A45),MONTH(A45),1)</f>
        <v/>
      </c>
      <c r="C45" t="inlineStr">
        <is>
          <t>Global Gov Bond</t>
        </is>
      </c>
      <c r="D45" t="inlineStr">
        <is>
          <t>PAC</t>
        </is>
      </c>
      <c r="E45" s="44">
        <f>IFERROR(VLOOKUP(C45,Assets!$A:$F,6,FALSE),0)</f>
        <v/>
      </c>
      <c r="F45" t="inlineStr">
        <is>
          <t>Auto</t>
        </is>
      </c>
      <c r="G45" s="44" t="n"/>
      <c r="H45" s="44">
        <f>IF(F45="No",0,IF(F45="Edited",IF(G45="",E45,G45),E45))</f>
        <v/>
      </c>
    </row>
    <row r="46">
      <c r="A46" s="41" t="n">
        <v>46266</v>
      </c>
      <c r="B46" s="32">
        <f>DATE(YEAR(A46),MONTH(A46),1)</f>
        <v/>
      </c>
      <c r="C46" t="inlineStr">
        <is>
          <t>Core EUR Corp Bond</t>
        </is>
      </c>
      <c r="D46" t="inlineStr">
        <is>
          <t>PAC</t>
        </is>
      </c>
      <c r="E46" s="44">
        <f>IFERROR(VLOOKUP(C46,Assets!$A:$F,6,FALSE),0)</f>
        <v/>
      </c>
      <c r="F46" t="inlineStr">
        <is>
          <t>Auto</t>
        </is>
      </c>
      <c r="G46" s="44" t="n"/>
      <c r="H46" s="44">
        <f>IF(F46="No",0,IF(F46="Edited",IF(G46="",E46,G46),E46))</f>
        <v/>
      </c>
    </row>
    <row r="47">
      <c r="A47" s="41" t="n">
        <v>46266</v>
      </c>
      <c r="B47" s="32">
        <f>DATE(YEAR(A47),MONTH(A47),1)</f>
        <v/>
      </c>
      <c r="C47" t="inlineStr">
        <is>
          <t>MSCI World Value</t>
        </is>
      </c>
      <c r="D47" t="inlineStr">
        <is>
          <t>PAC</t>
        </is>
      </c>
      <c r="E47" s="44">
        <f>IFERROR(VLOOKUP(C47,Assets!$A:$F,6,FALSE),0)</f>
        <v/>
      </c>
      <c r="F47" t="inlineStr">
        <is>
          <t>Auto</t>
        </is>
      </c>
      <c r="G47" s="44" t="n"/>
      <c r="H47" s="44">
        <f>IF(F47="No",0,IF(F47="Edited",IF(G47="",E47,G47),E47))</f>
        <v/>
      </c>
    </row>
    <row r="48">
      <c r="A48" s="41" t="n">
        <v>46266</v>
      </c>
      <c r="B48" s="32">
        <f>DATE(YEAR(A48),MONTH(A48),1)</f>
        <v/>
      </c>
      <c r="C48" t="inlineStr">
        <is>
          <t>MSCI EM</t>
        </is>
      </c>
      <c r="D48" t="inlineStr">
        <is>
          <t>PAC</t>
        </is>
      </c>
      <c r="E48" s="44">
        <f>IFERROR(VLOOKUP(C48,Assets!$A:$F,6,FALSE),0)</f>
        <v/>
      </c>
      <c r="F48" t="inlineStr">
        <is>
          <t>Auto</t>
        </is>
      </c>
      <c r="G48" s="44" t="n"/>
      <c r="H48" s="44">
        <f>IF(F48="No",0,IF(F48="Edited",IF(G48="",E48,G48),E48))</f>
        <v/>
      </c>
    </row>
    <row r="49">
      <c r="A49" s="41" t="n">
        <v>46266</v>
      </c>
      <c r="B49" s="32">
        <f>DATE(YEAR(A49),MONTH(A49),1)</f>
        <v/>
      </c>
      <c r="C49" t="inlineStr">
        <is>
          <t>Defence Tech</t>
        </is>
      </c>
      <c r="D49" t="inlineStr">
        <is>
          <t>PAC</t>
        </is>
      </c>
      <c r="E49" s="44">
        <f>IFERROR(VLOOKUP(C49,Assets!$A:$F,6,FALSE),0)</f>
        <v/>
      </c>
      <c r="F49" t="inlineStr">
        <is>
          <t>Auto</t>
        </is>
      </c>
      <c r="G49" s="44" t="n"/>
      <c r="H49" s="44">
        <f>IF(F49="No",0,IF(F49="Edited",IF(G49="",E49,G49),E49))</f>
        <v/>
      </c>
    </row>
    <row r="50">
      <c r="A50" s="41" t="n">
        <v>46296</v>
      </c>
      <c r="B50" s="32">
        <f>DATE(YEAR(A50),MONTH(A50),1)</f>
        <v/>
      </c>
      <c r="C50" t="inlineStr">
        <is>
          <t>Core MSCI World</t>
        </is>
      </c>
      <c r="D50" t="inlineStr">
        <is>
          <t>PAC</t>
        </is>
      </c>
      <c r="E50" s="44">
        <f>IFERROR(VLOOKUP(C50,Assets!$A:$F,6,FALSE),0)</f>
        <v/>
      </c>
      <c r="F50" t="inlineStr">
        <is>
          <t>Auto</t>
        </is>
      </c>
      <c r="G50" s="44" t="n"/>
      <c r="H50" s="44">
        <f>IF(F50="No",0,IF(F50="Edited",IF(G50="",E50,G50),E50))</f>
        <v/>
      </c>
    </row>
    <row r="51">
      <c r="A51" s="41" t="n">
        <v>46296</v>
      </c>
      <c r="B51" s="32">
        <f>DATE(YEAR(A51),MONTH(A51),1)</f>
        <v/>
      </c>
      <c r="C51" t="inlineStr">
        <is>
          <t>AI &amp; Big Data</t>
        </is>
      </c>
      <c r="D51" t="inlineStr">
        <is>
          <t>PAC</t>
        </is>
      </c>
      <c r="E51" s="44">
        <f>IFERROR(VLOOKUP(C51,Assets!$A:$F,6,FALSE),0)</f>
        <v/>
      </c>
      <c r="F51" t="inlineStr">
        <is>
          <t>Auto</t>
        </is>
      </c>
      <c r="G51" s="44" t="n"/>
      <c r="H51" s="44">
        <f>IF(F51="No",0,IF(F51="Edited",IF(G51="",E51,G51),E51))</f>
        <v/>
      </c>
    </row>
    <row r="52">
      <c r="A52" s="41" t="n">
        <v>46296</v>
      </c>
      <c r="B52" s="32">
        <f>DATE(YEAR(A52),MONTH(A52),1)</f>
        <v/>
      </c>
      <c r="C52" t="inlineStr">
        <is>
          <t>Physical Gold</t>
        </is>
      </c>
      <c r="D52" t="inlineStr">
        <is>
          <t>PAC</t>
        </is>
      </c>
      <c r="E52" s="44">
        <f>IFERROR(VLOOKUP(C52,Assets!$A:$F,6,FALSE),0)</f>
        <v/>
      </c>
      <c r="F52" t="inlineStr">
        <is>
          <t>Auto</t>
        </is>
      </c>
      <c r="G52" s="44" t="n"/>
      <c r="H52" s="44">
        <f>IF(F52="No",0,IF(F52="Edited",IF(G52="",E52,G52),E52))</f>
        <v/>
      </c>
    </row>
    <row r="53">
      <c r="A53" s="41" t="n">
        <v>46296</v>
      </c>
      <c r="B53" s="32">
        <f>DATE(YEAR(A53),MONTH(A53),1)</f>
        <v/>
      </c>
      <c r="C53" t="inlineStr">
        <is>
          <t>Global Gov Bond</t>
        </is>
      </c>
      <c r="D53" t="inlineStr">
        <is>
          <t>PAC</t>
        </is>
      </c>
      <c r="E53" s="44">
        <f>IFERROR(VLOOKUP(C53,Assets!$A:$F,6,FALSE),0)</f>
        <v/>
      </c>
      <c r="F53" t="inlineStr">
        <is>
          <t>Auto</t>
        </is>
      </c>
      <c r="G53" s="44" t="n"/>
      <c r="H53" s="44">
        <f>IF(F53="No",0,IF(F53="Edited",IF(G53="",E53,G53),E53))</f>
        <v/>
      </c>
    </row>
    <row r="54">
      <c r="A54" s="41" t="n">
        <v>46296</v>
      </c>
      <c r="B54" s="32">
        <f>DATE(YEAR(A54),MONTH(A54),1)</f>
        <v/>
      </c>
      <c r="C54" t="inlineStr">
        <is>
          <t>Core EUR Corp Bond</t>
        </is>
      </c>
      <c r="D54" t="inlineStr">
        <is>
          <t>PAC</t>
        </is>
      </c>
      <c r="E54" s="44">
        <f>IFERROR(VLOOKUP(C54,Assets!$A:$F,6,FALSE),0)</f>
        <v/>
      </c>
      <c r="F54" t="inlineStr">
        <is>
          <t>Auto</t>
        </is>
      </c>
      <c r="G54" s="44" t="n"/>
      <c r="H54" s="44">
        <f>IF(F54="No",0,IF(F54="Edited",IF(G54="",E54,G54),E54))</f>
        <v/>
      </c>
    </row>
    <row r="55">
      <c r="A55" s="41" t="n">
        <v>46296</v>
      </c>
      <c r="B55" s="32">
        <f>DATE(YEAR(A55),MONTH(A55),1)</f>
        <v/>
      </c>
      <c r="C55" t="inlineStr">
        <is>
          <t>MSCI World Value</t>
        </is>
      </c>
      <c r="D55" t="inlineStr">
        <is>
          <t>PAC</t>
        </is>
      </c>
      <c r="E55" s="44">
        <f>IFERROR(VLOOKUP(C55,Assets!$A:$F,6,FALSE),0)</f>
        <v/>
      </c>
      <c r="F55" t="inlineStr">
        <is>
          <t>Auto</t>
        </is>
      </c>
      <c r="G55" s="44" t="n"/>
      <c r="H55" s="44">
        <f>IF(F55="No",0,IF(F55="Edited",IF(G55="",E55,G55),E55))</f>
        <v/>
      </c>
    </row>
    <row r="56">
      <c r="A56" s="41" t="n">
        <v>46296</v>
      </c>
      <c r="B56" s="32">
        <f>DATE(YEAR(A56),MONTH(A56),1)</f>
        <v/>
      </c>
      <c r="C56" t="inlineStr">
        <is>
          <t>MSCI EM</t>
        </is>
      </c>
      <c r="D56" t="inlineStr">
        <is>
          <t>PAC</t>
        </is>
      </c>
      <c r="E56" s="44">
        <f>IFERROR(VLOOKUP(C56,Assets!$A:$F,6,FALSE),0)</f>
        <v/>
      </c>
      <c r="F56" t="inlineStr">
        <is>
          <t>Auto</t>
        </is>
      </c>
      <c r="G56" s="44" t="n"/>
      <c r="H56" s="44">
        <f>IF(F56="No",0,IF(F56="Edited",IF(G56="",E56,G56),E56))</f>
        <v/>
      </c>
    </row>
    <row r="57">
      <c r="A57" s="41" t="n">
        <v>46296</v>
      </c>
      <c r="B57" s="32">
        <f>DATE(YEAR(A57),MONTH(A57),1)</f>
        <v/>
      </c>
      <c r="C57" t="inlineStr">
        <is>
          <t>Defence Tech</t>
        </is>
      </c>
      <c r="D57" t="inlineStr">
        <is>
          <t>PAC</t>
        </is>
      </c>
      <c r="E57" s="44">
        <f>IFERROR(VLOOKUP(C57,Assets!$A:$F,6,FALSE),0)</f>
        <v/>
      </c>
      <c r="F57" t="inlineStr">
        <is>
          <t>Auto</t>
        </is>
      </c>
      <c r="G57" s="44" t="n"/>
      <c r="H57" s="44">
        <f>IF(F57="No",0,IF(F57="Edited",IF(G57="",E57,G57),E57))</f>
        <v/>
      </c>
    </row>
    <row r="58">
      <c r="A58" s="41" t="n">
        <v>46327</v>
      </c>
      <c r="B58" s="32">
        <f>DATE(YEAR(A58),MONTH(A58),1)</f>
        <v/>
      </c>
      <c r="C58" t="inlineStr">
        <is>
          <t>Core MSCI World</t>
        </is>
      </c>
      <c r="D58" t="inlineStr">
        <is>
          <t>PAC</t>
        </is>
      </c>
      <c r="E58" s="44">
        <f>IFERROR(VLOOKUP(C58,Assets!$A:$F,6,FALSE),0)</f>
        <v/>
      </c>
      <c r="F58" t="inlineStr">
        <is>
          <t>Auto</t>
        </is>
      </c>
      <c r="G58" s="44" t="n"/>
      <c r="H58" s="44">
        <f>IF(F58="No",0,IF(F58="Edited",IF(G58="",E58,G58),E58))</f>
        <v/>
      </c>
    </row>
    <row r="59">
      <c r="A59" s="41" t="n">
        <v>46327</v>
      </c>
      <c r="B59" s="32">
        <f>DATE(YEAR(A59),MONTH(A59),1)</f>
        <v/>
      </c>
      <c r="C59" t="inlineStr">
        <is>
          <t>AI &amp; Big Data</t>
        </is>
      </c>
      <c r="D59" t="inlineStr">
        <is>
          <t>PAC</t>
        </is>
      </c>
      <c r="E59" s="44">
        <f>IFERROR(VLOOKUP(C59,Assets!$A:$F,6,FALSE),0)</f>
        <v/>
      </c>
      <c r="F59" t="inlineStr">
        <is>
          <t>Auto</t>
        </is>
      </c>
      <c r="G59" s="44" t="n"/>
      <c r="H59" s="44">
        <f>IF(F59="No",0,IF(F59="Edited",IF(G59="",E59,G59),E59))</f>
        <v/>
      </c>
    </row>
    <row r="60">
      <c r="A60" s="41" t="n">
        <v>46327</v>
      </c>
      <c r="B60" s="32">
        <f>DATE(YEAR(A60),MONTH(A60),1)</f>
        <v/>
      </c>
      <c r="C60" t="inlineStr">
        <is>
          <t>Physical Gold</t>
        </is>
      </c>
      <c r="D60" t="inlineStr">
        <is>
          <t>PAC</t>
        </is>
      </c>
      <c r="E60" s="44">
        <f>IFERROR(VLOOKUP(C60,Assets!$A:$F,6,FALSE),0)</f>
        <v/>
      </c>
      <c r="F60" t="inlineStr">
        <is>
          <t>Auto</t>
        </is>
      </c>
      <c r="G60" s="44" t="n"/>
      <c r="H60" s="44">
        <f>IF(F60="No",0,IF(F60="Edited",IF(G60="",E60,G60),E60))</f>
        <v/>
      </c>
    </row>
    <row r="61">
      <c r="A61" s="41" t="n">
        <v>46327</v>
      </c>
      <c r="B61" s="32">
        <f>DATE(YEAR(A61),MONTH(A61),1)</f>
        <v/>
      </c>
      <c r="C61" t="inlineStr">
        <is>
          <t>Global Gov Bond</t>
        </is>
      </c>
      <c r="D61" t="inlineStr">
        <is>
          <t>PAC</t>
        </is>
      </c>
      <c r="E61" s="44">
        <f>IFERROR(VLOOKUP(C61,Assets!$A:$F,6,FALSE),0)</f>
        <v/>
      </c>
      <c r="F61" t="inlineStr">
        <is>
          <t>Auto</t>
        </is>
      </c>
      <c r="G61" s="44" t="n"/>
      <c r="H61" s="44">
        <f>IF(F61="No",0,IF(F61="Edited",IF(G61="",E61,G61),E61))</f>
        <v/>
      </c>
    </row>
    <row r="62">
      <c r="A62" s="41" t="n">
        <v>46327</v>
      </c>
      <c r="B62" s="32">
        <f>DATE(YEAR(A62),MONTH(A62),1)</f>
        <v/>
      </c>
      <c r="C62" t="inlineStr">
        <is>
          <t>Core EUR Corp Bond</t>
        </is>
      </c>
      <c r="D62" t="inlineStr">
        <is>
          <t>PAC</t>
        </is>
      </c>
      <c r="E62" s="44">
        <f>IFERROR(VLOOKUP(C62,Assets!$A:$F,6,FALSE),0)</f>
        <v/>
      </c>
      <c r="F62" t="inlineStr">
        <is>
          <t>Auto</t>
        </is>
      </c>
      <c r="G62" s="44" t="n"/>
      <c r="H62" s="44">
        <f>IF(F62="No",0,IF(F62="Edited",IF(G62="",E62,G62),E62))</f>
        <v/>
      </c>
    </row>
    <row r="63">
      <c r="A63" s="41" t="n">
        <v>46327</v>
      </c>
      <c r="B63" s="32">
        <f>DATE(YEAR(A63),MONTH(A63),1)</f>
        <v/>
      </c>
      <c r="C63" t="inlineStr">
        <is>
          <t>MSCI World Value</t>
        </is>
      </c>
      <c r="D63" t="inlineStr">
        <is>
          <t>PAC</t>
        </is>
      </c>
      <c r="E63" s="44">
        <f>IFERROR(VLOOKUP(C63,Assets!$A:$F,6,FALSE),0)</f>
        <v/>
      </c>
      <c r="F63" t="inlineStr">
        <is>
          <t>Auto</t>
        </is>
      </c>
      <c r="G63" s="44" t="n"/>
      <c r="H63" s="44">
        <f>IF(F63="No",0,IF(F63="Edited",IF(G63="",E63,G63),E63))</f>
        <v/>
      </c>
    </row>
    <row r="64">
      <c r="A64" s="41" t="n">
        <v>46327</v>
      </c>
      <c r="B64" s="32">
        <f>DATE(YEAR(A64),MONTH(A64),1)</f>
        <v/>
      </c>
      <c r="C64" t="inlineStr">
        <is>
          <t>MSCI EM</t>
        </is>
      </c>
      <c r="D64" t="inlineStr">
        <is>
          <t>PAC</t>
        </is>
      </c>
      <c r="E64" s="44">
        <f>IFERROR(VLOOKUP(C64,Assets!$A:$F,6,FALSE),0)</f>
        <v/>
      </c>
      <c r="F64" t="inlineStr">
        <is>
          <t>Auto</t>
        </is>
      </c>
      <c r="G64" s="44" t="n"/>
      <c r="H64" s="44">
        <f>IF(F64="No",0,IF(F64="Edited",IF(G64="",E64,G64),E64))</f>
        <v/>
      </c>
    </row>
    <row r="65">
      <c r="A65" s="41" t="n">
        <v>46327</v>
      </c>
      <c r="B65" s="32">
        <f>DATE(YEAR(A65),MONTH(A65),1)</f>
        <v/>
      </c>
      <c r="C65" t="inlineStr">
        <is>
          <t>Defence Tech</t>
        </is>
      </c>
      <c r="D65" t="inlineStr">
        <is>
          <t>PAC</t>
        </is>
      </c>
      <c r="E65" s="44">
        <f>IFERROR(VLOOKUP(C65,Assets!$A:$F,6,FALSE),0)</f>
        <v/>
      </c>
      <c r="F65" t="inlineStr">
        <is>
          <t>Auto</t>
        </is>
      </c>
      <c r="G65" s="44" t="n"/>
      <c r="H65" s="44">
        <f>IF(F65="No",0,IF(F65="Edited",IF(G65="",E65,G65),E65))</f>
        <v/>
      </c>
    </row>
    <row r="66">
      <c r="A66" s="41" t="n">
        <v>46357</v>
      </c>
      <c r="B66" s="32">
        <f>DATE(YEAR(A66),MONTH(A66),1)</f>
        <v/>
      </c>
      <c r="C66" t="inlineStr">
        <is>
          <t>Core MSCI World</t>
        </is>
      </c>
      <c r="D66" t="inlineStr">
        <is>
          <t>PAC</t>
        </is>
      </c>
      <c r="E66" s="44">
        <f>IFERROR(VLOOKUP(C66,Assets!$A:$F,6,FALSE),0)</f>
        <v/>
      </c>
      <c r="F66" t="inlineStr">
        <is>
          <t>Auto</t>
        </is>
      </c>
      <c r="G66" s="44" t="n"/>
      <c r="H66" s="44">
        <f>IF(F66="No",0,IF(F66="Edited",IF(G66="",E66,G66),E66))</f>
        <v/>
      </c>
    </row>
    <row r="67">
      <c r="A67" s="41" t="n">
        <v>46357</v>
      </c>
      <c r="B67" s="32">
        <f>DATE(YEAR(A67),MONTH(A67),1)</f>
        <v/>
      </c>
      <c r="C67" t="inlineStr">
        <is>
          <t>AI &amp; Big Data</t>
        </is>
      </c>
      <c r="D67" t="inlineStr">
        <is>
          <t>PAC</t>
        </is>
      </c>
      <c r="E67" s="44">
        <f>IFERROR(VLOOKUP(C67,Assets!$A:$F,6,FALSE),0)</f>
        <v/>
      </c>
      <c r="F67" t="inlineStr">
        <is>
          <t>Auto</t>
        </is>
      </c>
      <c r="G67" s="44" t="n"/>
      <c r="H67" s="44">
        <f>IF(F67="No",0,IF(F67="Edited",IF(G67="",E67,G67),E67))</f>
        <v/>
      </c>
    </row>
    <row r="68">
      <c r="A68" s="41" t="n">
        <v>46357</v>
      </c>
      <c r="B68" s="32">
        <f>DATE(YEAR(A68),MONTH(A68),1)</f>
        <v/>
      </c>
      <c r="C68" t="inlineStr">
        <is>
          <t>Physical Gold</t>
        </is>
      </c>
      <c r="D68" t="inlineStr">
        <is>
          <t>PAC</t>
        </is>
      </c>
      <c r="E68" s="44">
        <f>IFERROR(VLOOKUP(C68,Assets!$A:$F,6,FALSE),0)</f>
        <v/>
      </c>
      <c r="F68" t="inlineStr">
        <is>
          <t>Auto</t>
        </is>
      </c>
      <c r="G68" s="44" t="n"/>
      <c r="H68" s="44">
        <f>IF(F68="No",0,IF(F68="Edited",IF(G68="",E68,G68),E68))</f>
        <v/>
      </c>
    </row>
    <row r="69">
      <c r="A69" s="41" t="n">
        <v>46357</v>
      </c>
      <c r="B69" s="32">
        <f>DATE(YEAR(A69),MONTH(A69),1)</f>
        <v/>
      </c>
      <c r="C69" t="inlineStr">
        <is>
          <t>Global Gov Bond</t>
        </is>
      </c>
      <c r="D69" t="inlineStr">
        <is>
          <t>PAC</t>
        </is>
      </c>
      <c r="E69" s="44">
        <f>IFERROR(VLOOKUP(C69,Assets!$A:$F,6,FALSE),0)</f>
        <v/>
      </c>
      <c r="F69" t="inlineStr">
        <is>
          <t>Auto</t>
        </is>
      </c>
      <c r="G69" s="44" t="n"/>
      <c r="H69" s="44">
        <f>IF(F69="No",0,IF(F69="Edited",IF(G69="",E69,G69),E69))</f>
        <v/>
      </c>
    </row>
    <row r="70">
      <c r="A70" s="41" t="n">
        <v>46357</v>
      </c>
      <c r="B70" s="32">
        <f>DATE(YEAR(A70),MONTH(A70),1)</f>
        <v/>
      </c>
      <c r="C70" t="inlineStr">
        <is>
          <t>Core EUR Corp Bond</t>
        </is>
      </c>
      <c r="D70" t="inlineStr">
        <is>
          <t>PAC</t>
        </is>
      </c>
      <c r="E70" s="44">
        <f>IFERROR(VLOOKUP(C70,Assets!$A:$F,6,FALSE),0)</f>
        <v/>
      </c>
      <c r="F70" t="inlineStr">
        <is>
          <t>Auto</t>
        </is>
      </c>
      <c r="G70" s="44" t="n"/>
      <c r="H70" s="44">
        <f>IF(F70="No",0,IF(F70="Edited",IF(G70="",E70,G70),E70))</f>
        <v/>
      </c>
    </row>
    <row r="71">
      <c r="A71" s="41" t="n">
        <v>46357</v>
      </c>
      <c r="B71" s="32">
        <f>DATE(YEAR(A71),MONTH(A71),1)</f>
        <v/>
      </c>
      <c r="C71" t="inlineStr">
        <is>
          <t>MSCI World Value</t>
        </is>
      </c>
      <c r="D71" t="inlineStr">
        <is>
          <t>PAC</t>
        </is>
      </c>
      <c r="E71" s="44">
        <f>IFERROR(VLOOKUP(C71,Assets!$A:$F,6,FALSE),0)</f>
        <v/>
      </c>
      <c r="F71" t="inlineStr">
        <is>
          <t>Auto</t>
        </is>
      </c>
      <c r="G71" s="44" t="n"/>
      <c r="H71" s="44">
        <f>IF(F71="No",0,IF(F71="Edited",IF(G71="",E71,G71),E71))</f>
        <v/>
      </c>
    </row>
    <row r="72">
      <c r="A72" s="41" t="n">
        <v>46357</v>
      </c>
      <c r="B72" s="32">
        <f>DATE(YEAR(A72),MONTH(A72),1)</f>
        <v/>
      </c>
      <c r="C72" t="inlineStr">
        <is>
          <t>MSCI EM</t>
        </is>
      </c>
      <c r="D72" t="inlineStr">
        <is>
          <t>PAC</t>
        </is>
      </c>
      <c r="E72" s="44">
        <f>IFERROR(VLOOKUP(C72,Assets!$A:$F,6,FALSE),0)</f>
        <v/>
      </c>
      <c r="F72" t="inlineStr">
        <is>
          <t>Auto</t>
        </is>
      </c>
      <c r="G72" s="44" t="n"/>
      <c r="H72" s="44">
        <f>IF(F72="No",0,IF(F72="Edited",IF(G72="",E72,G72),E72))</f>
        <v/>
      </c>
    </row>
    <row r="73">
      <c r="A73" s="41" t="n">
        <v>46357</v>
      </c>
      <c r="B73" s="32">
        <f>DATE(YEAR(A73),MONTH(A73),1)</f>
        <v/>
      </c>
      <c r="C73" t="inlineStr">
        <is>
          <t>Defence Tech</t>
        </is>
      </c>
      <c r="D73" t="inlineStr">
        <is>
          <t>PAC</t>
        </is>
      </c>
      <c r="E73" s="44">
        <f>IFERROR(VLOOKUP(C73,Assets!$A:$F,6,FALSE),0)</f>
        <v/>
      </c>
      <c r="F73" t="inlineStr">
        <is>
          <t>Auto</t>
        </is>
      </c>
      <c r="G73" s="44" t="n"/>
      <c r="H73" s="44">
        <f>IF(F73="No",0,IF(F73="Edited",IF(G73="",E73,G73),E73))</f>
        <v/>
      </c>
    </row>
    <row r="74">
      <c r="A74" s="41" t="n">
        <v>46388</v>
      </c>
      <c r="B74" s="32">
        <f>DATE(YEAR(A74),MONTH(A74),1)</f>
        <v/>
      </c>
      <c r="C74" t="inlineStr">
        <is>
          <t>Core MSCI World</t>
        </is>
      </c>
      <c r="D74" t="inlineStr">
        <is>
          <t>PAC</t>
        </is>
      </c>
      <c r="E74" s="44">
        <f>IFERROR(VLOOKUP(C74,Assets!$A:$F,6,FALSE),0)</f>
        <v/>
      </c>
      <c r="F74" t="inlineStr">
        <is>
          <t>Auto</t>
        </is>
      </c>
      <c r="G74" s="44" t="n"/>
      <c r="H74" s="44">
        <f>IF(F74="No",0,IF(F74="Edited",IF(G74="",E74,G74),E74))</f>
        <v/>
      </c>
    </row>
    <row r="75">
      <c r="A75" s="41" t="n">
        <v>46388</v>
      </c>
      <c r="B75" s="32">
        <f>DATE(YEAR(A75),MONTH(A75),1)</f>
        <v/>
      </c>
      <c r="C75" t="inlineStr">
        <is>
          <t>AI &amp; Big Data</t>
        </is>
      </c>
      <c r="D75" t="inlineStr">
        <is>
          <t>PAC</t>
        </is>
      </c>
      <c r="E75" s="44">
        <f>IFERROR(VLOOKUP(C75,Assets!$A:$F,6,FALSE),0)</f>
        <v/>
      </c>
      <c r="F75" t="inlineStr">
        <is>
          <t>Auto</t>
        </is>
      </c>
      <c r="G75" s="44" t="n"/>
      <c r="H75" s="44">
        <f>IF(F75="No",0,IF(F75="Edited",IF(G75="",E75,G75),E75))</f>
        <v/>
      </c>
    </row>
    <row r="76">
      <c r="A76" s="41" t="n">
        <v>46388</v>
      </c>
      <c r="B76" s="32">
        <f>DATE(YEAR(A76),MONTH(A76),1)</f>
        <v/>
      </c>
      <c r="C76" t="inlineStr">
        <is>
          <t>Physical Gold</t>
        </is>
      </c>
      <c r="D76" t="inlineStr">
        <is>
          <t>PAC</t>
        </is>
      </c>
      <c r="E76" s="44">
        <f>IFERROR(VLOOKUP(C76,Assets!$A:$F,6,FALSE),0)</f>
        <v/>
      </c>
      <c r="F76" t="inlineStr">
        <is>
          <t>Auto</t>
        </is>
      </c>
      <c r="G76" s="44" t="n"/>
      <c r="H76" s="44">
        <f>IF(F76="No",0,IF(F76="Edited",IF(G76="",E76,G76),E76))</f>
        <v/>
      </c>
    </row>
    <row r="77">
      <c r="A77" s="41" t="n">
        <v>46388</v>
      </c>
      <c r="B77" s="32">
        <f>DATE(YEAR(A77),MONTH(A77),1)</f>
        <v/>
      </c>
      <c r="C77" t="inlineStr">
        <is>
          <t>Global Gov Bond</t>
        </is>
      </c>
      <c r="D77" t="inlineStr">
        <is>
          <t>PAC</t>
        </is>
      </c>
      <c r="E77" s="44">
        <f>IFERROR(VLOOKUP(C77,Assets!$A:$F,6,FALSE),0)</f>
        <v/>
      </c>
      <c r="F77" t="inlineStr">
        <is>
          <t>Auto</t>
        </is>
      </c>
      <c r="G77" s="44" t="n"/>
      <c r="H77" s="44">
        <f>IF(F77="No",0,IF(F77="Edited",IF(G77="",E77,G77),E77))</f>
        <v/>
      </c>
    </row>
    <row r="78">
      <c r="A78" s="41" t="n">
        <v>46388</v>
      </c>
      <c r="B78" s="32">
        <f>DATE(YEAR(A78),MONTH(A78),1)</f>
        <v/>
      </c>
      <c r="C78" t="inlineStr">
        <is>
          <t>Core EUR Corp Bond</t>
        </is>
      </c>
      <c r="D78" t="inlineStr">
        <is>
          <t>PAC</t>
        </is>
      </c>
      <c r="E78" s="44">
        <f>IFERROR(VLOOKUP(C78,Assets!$A:$F,6,FALSE),0)</f>
        <v/>
      </c>
      <c r="F78" t="inlineStr">
        <is>
          <t>Auto</t>
        </is>
      </c>
      <c r="G78" s="44" t="n"/>
      <c r="H78" s="44">
        <f>IF(F78="No",0,IF(F78="Edited",IF(G78="",E78,G78),E78))</f>
        <v/>
      </c>
    </row>
    <row r="79">
      <c r="A79" s="41" t="n">
        <v>46388</v>
      </c>
      <c r="B79" s="32">
        <f>DATE(YEAR(A79),MONTH(A79),1)</f>
        <v/>
      </c>
      <c r="C79" t="inlineStr">
        <is>
          <t>MSCI World Value</t>
        </is>
      </c>
      <c r="D79" t="inlineStr">
        <is>
          <t>PAC</t>
        </is>
      </c>
      <c r="E79" s="44">
        <f>IFERROR(VLOOKUP(C79,Assets!$A:$F,6,FALSE),0)</f>
        <v/>
      </c>
      <c r="F79" t="inlineStr">
        <is>
          <t>Auto</t>
        </is>
      </c>
      <c r="G79" s="44" t="n"/>
      <c r="H79" s="44">
        <f>IF(F79="No",0,IF(F79="Edited",IF(G79="",E79,G79),E79))</f>
        <v/>
      </c>
    </row>
    <row r="80">
      <c r="A80" s="41" t="n">
        <v>46388</v>
      </c>
      <c r="B80" s="32">
        <f>DATE(YEAR(A80),MONTH(A80),1)</f>
        <v/>
      </c>
      <c r="C80" t="inlineStr">
        <is>
          <t>MSCI EM</t>
        </is>
      </c>
      <c r="D80" t="inlineStr">
        <is>
          <t>PAC</t>
        </is>
      </c>
      <c r="E80" s="44">
        <f>IFERROR(VLOOKUP(C80,Assets!$A:$F,6,FALSE),0)</f>
        <v/>
      </c>
      <c r="F80" t="inlineStr">
        <is>
          <t>Auto</t>
        </is>
      </c>
      <c r="G80" s="44" t="n"/>
      <c r="H80" s="44">
        <f>IF(F80="No",0,IF(F80="Edited",IF(G80="",E80,G80),E80))</f>
        <v/>
      </c>
    </row>
    <row r="81">
      <c r="A81" s="41" t="n">
        <v>46388</v>
      </c>
      <c r="B81" s="32">
        <f>DATE(YEAR(A81),MONTH(A81),1)</f>
        <v/>
      </c>
      <c r="C81" t="inlineStr">
        <is>
          <t>Defence Tech</t>
        </is>
      </c>
      <c r="D81" t="inlineStr">
        <is>
          <t>PAC</t>
        </is>
      </c>
      <c r="E81" s="44">
        <f>IFERROR(VLOOKUP(C81,Assets!$A:$F,6,FALSE),0)</f>
        <v/>
      </c>
      <c r="F81" t="inlineStr">
        <is>
          <t>Auto</t>
        </is>
      </c>
      <c r="G81" s="44" t="n"/>
      <c r="H81" s="44">
        <f>IF(F81="No",0,IF(F81="Edited",IF(G81="",E81,G81),E81))</f>
        <v/>
      </c>
    </row>
    <row r="82">
      <c r="A82" s="41" t="n">
        <v>46419</v>
      </c>
      <c r="B82" s="32">
        <f>DATE(YEAR(A82),MONTH(A82),1)</f>
        <v/>
      </c>
      <c r="C82" t="inlineStr">
        <is>
          <t>Core MSCI World</t>
        </is>
      </c>
      <c r="D82" t="inlineStr">
        <is>
          <t>PAC</t>
        </is>
      </c>
      <c r="E82" s="44">
        <f>IFERROR(VLOOKUP(C82,Assets!$A:$F,6,FALSE),0)</f>
        <v/>
      </c>
      <c r="F82" t="inlineStr">
        <is>
          <t>Auto</t>
        </is>
      </c>
      <c r="G82" s="44" t="n"/>
      <c r="H82" s="44">
        <f>IF(F82="No",0,IF(F82="Edited",IF(G82="",E82,G82),E82))</f>
        <v/>
      </c>
    </row>
    <row r="83">
      <c r="A83" s="41" t="n">
        <v>46419</v>
      </c>
      <c r="B83" s="32">
        <f>DATE(YEAR(A83),MONTH(A83),1)</f>
        <v/>
      </c>
      <c r="C83" t="inlineStr">
        <is>
          <t>AI &amp; Big Data</t>
        </is>
      </c>
      <c r="D83" t="inlineStr">
        <is>
          <t>PAC</t>
        </is>
      </c>
      <c r="E83" s="44">
        <f>IFERROR(VLOOKUP(C83,Assets!$A:$F,6,FALSE),0)</f>
        <v/>
      </c>
      <c r="F83" t="inlineStr">
        <is>
          <t>Auto</t>
        </is>
      </c>
      <c r="G83" s="44" t="n"/>
      <c r="H83" s="44">
        <f>IF(F83="No",0,IF(F83="Edited",IF(G83="",E83,G83),E83))</f>
        <v/>
      </c>
    </row>
    <row r="84">
      <c r="A84" s="41" t="n">
        <v>46419</v>
      </c>
      <c r="B84" s="32">
        <f>DATE(YEAR(A84),MONTH(A84),1)</f>
        <v/>
      </c>
      <c r="C84" t="inlineStr">
        <is>
          <t>Physical Gold</t>
        </is>
      </c>
      <c r="D84" t="inlineStr">
        <is>
          <t>PAC</t>
        </is>
      </c>
      <c r="E84" s="44">
        <f>IFERROR(VLOOKUP(C84,Assets!$A:$F,6,FALSE),0)</f>
        <v/>
      </c>
      <c r="F84" t="inlineStr">
        <is>
          <t>Auto</t>
        </is>
      </c>
      <c r="G84" s="44" t="n"/>
      <c r="H84" s="44">
        <f>IF(F84="No",0,IF(F84="Edited",IF(G84="",E84,G84),E84))</f>
        <v/>
      </c>
    </row>
    <row r="85">
      <c r="A85" s="41" t="n">
        <v>46419</v>
      </c>
      <c r="B85" s="32">
        <f>DATE(YEAR(A85),MONTH(A85),1)</f>
        <v/>
      </c>
      <c r="C85" t="inlineStr">
        <is>
          <t>Global Gov Bond</t>
        </is>
      </c>
      <c r="D85" t="inlineStr">
        <is>
          <t>PAC</t>
        </is>
      </c>
      <c r="E85" s="44">
        <f>IFERROR(VLOOKUP(C85,Assets!$A:$F,6,FALSE),0)</f>
        <v/>
      </c>
      <c r="F85" t="inlineStr">
        <is>
          <t>Auto</t>
        </is>
      </c>
      <c r="G85" s="44" t="n"/>
      <c r="H85" s="44">
        <f>IF(F85="No",0,IF(F85="Edited",IF(G85="",E85,G85),E85))</f>
        <v/>
      </c>
    </row>
    <row r="86">
      <c r="A86" s="41" t="n">
        <v>46419</v>
      </c>
      <c r="B86" s="32">
        <f>DATE(YEAR(A86),MONTH(A86),1)</f>
        <v/>
      </c>
      <c r="C86" t="inlineStr">
        <is>
          <t>Core EUR Corp Bond</t>
        </is>
      </c>
      <c r="D86" t="inlineStr">
        <is>
          <t>PAC</t>
        </is>
      </c>
      <c r="E86" s="44">
        <f>IFERROR(VLOOKUP(C86,Assets!$A:$F,6,FALSE),0)</f>
        <v/>
      </c>
      <c r="F86" t="inlineStr">
        <is>
          <t>Auto</t>
        </is>
      </c>
      <c r="G86" s="44" t="n"/>
      <c r="H86" s="44">
        <f>IF(F86="No",0,IF(F86="Edited",IF(G86="",E86,G86),E86))</f>
        <v/>
      </c>
    </row>
    <row r="87">
      <c r="A87" s="41" t="n">
        <v>46419</v>
      </c>
      <c r="B87" s="32">
        <f>DATE(YEAR(A87),MONTH(A87),1)</f>
        <v/>
      </c>
      <c r="C87" t="inlineStr">
        <is>
          <t>MSCI World Value</t>
        </is>
      </c>
      <c r="D87" t="inlineStr">
        <is>
          <t>PAC</t>
        </is>
      </c>
      <c r="E87" s="44">
        <f>IFERROR(VLOOKUP(C87,Assets!$A:$F,6,FALSE),0)</f>
        <v/>
      </c>
      <c r="F87" t="inlineStr">
        <is>
          <t>Auto</t>
        </is>
      </c>
      <c r="G87" s="44" t="n"/>
      <c r="H87" s="44">
        <f>IF(F87="No",0,IF(F87="Edited",IF(G87="",E87,G87),E87))</f>
        <v/>
      </c>
    </row>
    <row r="88">
      <c r="A88" s="41" t="n">
        <v>46419</v>
      </c>
      <c r="B88" s="32">
        <f>DATE(YEAR(A88),MONTH(A88),1)</f>
        <v/>
      </c>
      <c r="C88" t="inlineStr">
        <is>
          <t>MSCI EM</t>
        </is>
      </c>
      <c r="D88" t="inlineStr">
        <is>
          <t>PAC</t>
        </is>
      </c>
      <c r="E88" s="44">
        <f>IFERROR(VLOOKUP(C88,Assets!$A:$F,6,FALSE),0)</f>
        <v/>
      </c>
      <c r="F88" t="inlineStr">
        <is>
          <t>Auto</t>
        </is>
      </c>
      <c r="G88" s="44" t="n"/>
      <c r="H88" s="44">
        <f>IF(F88="No",0,IF(F88="Edited",IF(G88="",E88,G88),E88))</f>
        <v/>
      </c>
    </row>
    <row r="89">
      <c r="A89" s="41" t="n">
        <v>46419</v>
      </c>
      <c r="B89" s="32">
        <f>DATE(YEAR(A89),MONTH(A89),1)</f>
        <v/>
      </c>
      <c r="C89" t="inlineStr">
        <is>
          <t>Defence Tech</t>
        </is>
      </c>
      <c r="D89" t="inlineStr">
        <is>
          <t>PAC</t>
        </is>
      </c>
      <c r="E89" s="44">
        <f>IFERROR(VLOOKUP(C89,Assets!$A:$F,6,FALSE),0)</f>
        <v/>
      </c>
      <c r="F89" t="inlineStr">
        <is>
          <t>Auto</t>
        </is>
      </c>
      <c r="G89" s="44" t="n"/>
      <c r="H89" s="44">
        <f>IF(F89="No",0,IF(F89="Edited",IF(G89="",E89,G89),E89))</f>
        <v/>
      </c>
    </row>
    <row r="90">
      <c r="A90" s="41" t="n">
        <v>46447</v>
      </c>
      <c r="B90" s="32">
        <f>DATE(YEAR(A90),MONTH(A90),1)</f>
        <v/>
      </c>
      <c r="C90" t="inlineStr">
        <is>
          <t>Core MSCI World</t>
        </is>
      </c>
      <c r="D90" t="inlineStr">
        <is>
          <t>PAC</t>
        </is>
      </c>
      <c r="E90" s="44">
        <f>IFERROR(VLOOKUP(C90,Assets!$A:$F,6,FALSE),0)</f>
        <v/>
      </c>
      <c r="F90" t="inlineStr">
        <is>
          <t>Auto</t>
        </is>
      </c>
      <c r="G90" s="44" t="n"/>
      <c r="H90" s="44">
        <f>IF(F90="No",0,IF(F90="Edited",IF(G90="",E90,G90),E90))</f>
        <v/>
      </c>
    </row>
    <row r="91">
      <c r="A91" s="41" t="n">
        <v>46447</v>
      </c>
      <c r="B91" s="32">
        <f>DATE(YEAR(A91),MONTH(A91),1)</f>
        <v/>
      </c>
      <c r="C91" t="inlineStr">
        <is>
          <t>AI &amp; Big Data</t>
        </is>
      </c>
      <c r="D91" t="inlineStr">
        <is>
          <t>PAC</t>
        </is>
      </c>
      <c r="E91" s="44">
        <f>IFERROR(VLOOKUP(C91,Assets!$A:$F,6,FALSE),0)</f>
        <v/>
      </c>
      <c r="F91" t="inlineStr">
        <is>
          <t>Auto</t>
        </is>
      </c>
      <c r="G91" s="44" t="n"/>
      <c r="H91" s="44">
        <f>IF(F91="No",0,IF(F91="Edited",IF(G91="",E91,G91),E91))</f>
        <v/>
      </c>
    </row>
    <row r="92">
      <c r="A92" s="41" t="n">
        <v>46447</v>
      </c>
      <c r="B92" s="32">
        <f>DATE(YEAR(A92),MONTH(A92),1)</f>
        <v/>
      </c>
      <c r="C92" t="inlineStr">
        <is>
          <t>Physical Gold</t>
        </is>
      </c>
      <c r="D92" t="inlineStr">
        <is>
          <t>PAC</t>
        </is>
      </c>
      <c r="E92" s="44">
        <f>IFERROR(VLOOKUP(C92,Assets!$A:$F,6,FALSE),0)</f>
        <v/>
      </c>
      <c r="F92" t="inlineStr">
        <is>
          <t>Auto</t>
        </is>
      </c>
      <c r="G92" s="44" t="n"/>
      <c r="H92" s="44">
        <f>IF(F92="No",0,IF(F92="Edited",IF(G92="",E92,G92),E92))</f>
        <v/>
      </c>
    </row>
    <row r="93">
      <c r="A93" s="41" t="n">
        <v>46447</v>
      </c>
      <c r="B93" s="32">
        <f>DATE(YEAR(A93),MONTH(A93),1)</f>
        <v/>
      </c>
      <c r="C93" t="inlineStr">
        <is>
          <t>Global Gov Bond</t>
        </is>
      </c>
      <c r="D93" t="inlineStr">
        <is>
          <t>PAC</t>
        </is>
      </c>
      <c r="E93" s="44">
        <f>IFERROR(VLOOKUP(C93,Assets!$A:$F,6,FALSE),0)</f>
        <v/>
      </c>
      <c r="F93" t="inlineStr">
        <is>
          <t>Auto</t>
        </is>
      </c>
      <c r="G93" s="44" t="n"/>
      <c r="H93" s="44">
        <f>IF(F93="No",0,IF(F93="Edited",IF(G93="",E93,G93),E93))</f>
        <v/>
      </c>
    </row>
    <row r="94">
      <c r="A94" s="41" t="n">
        <v>46447</v>
      </c>
      <c r="B94" s="32">
        <f>DATE(YEAR(A94),MONTH(A94),1)</f>
        <v/>
      </c>
      <c r="C94" t="inlineStr">
        <is>
          <t>Core EUR Corp Bond</t>
        </is>
      </c>
      <c r="D94" t="inlineStr">
        <is>
          <t>PAC</t>
        </is>
      </c>
      <c r="E94" s="44">
        <f>IFERROR(VLOOKUP(C94,Assets!$A:$F,6,FALSE),0)</f>
        <v/>
      </c>
      <c r="F94" t="inlineStr">
        <is>
          <t>Auto</t>
        </is>
      </c>
      <c r="G94" s="44" t="n"/>
      <c r="H94" s="44">
        <f>IF(F94="No",0,IF(F94="Edited",IF(G94="",E94,G94),E94))</f>
        <v/>
      </c>
    </row>
    <row r="95">
      <c r="A95" s="41" t="n">
        <v>46447</v>
      </c>
      <c r="B95" s="32">
        <f>DATE(YEAR(A95),MONTH(A95),1)</f>
        <v/>
      </c>
      <c r="C95" t="inlineStr">
        <is>
          <t>MSCI World Value</t>
        </is>
      </c>
      <c r="D95" t="inlineStr">
        <is>
          <t>PAC</t>
        </is>
      </c>
      <c r="E95" s="44">
        <f>IFERROR(VLOOKUP(C95,Assets!$A:$F,6,FALSE),0)</f>
        <v/>
      </c>
      <c r="F95" t="inlineStr">
        <is>
          <t>Auto</t>
        </is>
      </c>
      <c r="G95" s="44" t="n"/>
      <c r="H95" s="44">
        <f>IF(F95="No",0,IF(F95="Edited",IF(G95="",E95,G95),E95))</f>
        <v/>
      </c>
    </row>
    <row r="96">
      <c r="A96" s="41" t="n">
        <v>46447</v>
      </c>
      <c r="B96" s="32">
        <f>DATE(YEAR(A96),MONTH(A96),1)</f>
        <v/>
      </c>
      <c r="C96" t="inlineStr">
        <is>
          <t>MSCI EM</t>
        </is>
      </c>
      <c r="D96" t="inlineStr">
        <is>
          <t>PAC</t>
        </is>
      </c>
      <c r="E96" s="44">
        <f>IFERROR(VLOOKUP(C96,Assets!$A:$F,6,FALSE),0)</f>
        <v/>
      </c>
      <c r="F96" t="inlineStr">
        <is>
          <t>Auto</t>
        </is>
      </c>
      <c r="G96" s="44" t="n"/>
      <c r="H96" s="44">
        <f>IF(F96="No",0,IF(F96="Edited",IF(G96="",E96,G96),E96))</f>
        <v/>
      </c>
    </row>
    <row r="97">
      <c r="A97" s="41" t="n">
        <v>46447</v>
      </c>
      <c r="B97" s="32">
        <f>DATE(YEAR(A97),MONTH(A97),1)</f>
        <v/>
      </c>
      <c r="C97" t="inlineStr">
        <is>
          <t>Defence Tech</t>
        </is>
      </c>
      <c r="D97" t="inlineStr">
        <is>
          <t>PAC</t>
        </is>
      </c>
      <c r="E97" s="44">
        <f>IFERROR(VLOOKUP(C97,Assets!$A:$F,6,FALSE),0)</f>
        <v/>
      </c>
      <c r="F97" t="inlineStr">
        <is>
          <t>Auto</t>
        </is>
      </c>
      <c r="G97" s="44" t="n"/>
      <c r="H97" s="44">
        <f>IF(F97="No",0,IF(F97="Edited",IF(G97="",E97,G97),E97))</f>
        <v/>
      </c>
    </row>
    <row r="98">
      <c r="A98" s="41" t="n">
        <v>46478</v>
      </c>
      <c r="B98" s="32">
        <f>DATE(YEAR(A98),MONTH(A98),1)</f>
        <v/>
      </c>
      <c r="C98" t="inlineStr">
        <is>
          <t>Core MSCI World</t>
        </is>
      </c>
      <c r="D98" t="inlineStr">
        <is>
          <t>PAC</t>
        </is>
      </c>
      <c r="E98" s="44">
        <f>IFERROR(VLOOKUP(C98,Assets!$A:$F,6,FALSE),0)</f>
        <v/>
      </c>
      <c r="F98" t="inlineStr">
        <is>
          <t>Auto</t>
        </is>
      </c>
      <c r="G98" s="44" t="n"/>
      <c r="H98" s="44">
        <f>IF(F98="No",0,IF(F98="Edited",IF(G98="",E98,G98),E98))</f>
        <v/>
      </c>
    </row>
    <row r="99">
      <c r="A99" s="41" t="n">
        <v>46478</v>
      </c>
      <c r="B99" s="32">
        <f>DATE(YEAR(A99),MONTH(A99),1)</f>
        <v/>
      </c>
      <c r="C99" t="inlineStr">
        <is>
          <t>AI &amp; Big Data</t>
        </is>
      </c>
      <c r="D99" t="inlineStr">
        <is>
          <t>PAC</t>
        </is>
      </c>
      <c r="E99" s="44">
        <f>IFERROR(VLOOKUP(C99,Assets!$A:$F,6,FALSE),0)</f>
        <v/>
      </c>
      <c r="F99" t="inlineStr">
        <is>
          <t>Auto</t>
        </is>
      </c>
      <c r="G99" s="44" t="n"/>
      <c r="H99" s="44">
        <f>IF(F99="No",0,IF(F99="Edited",IF(G99="",E99,G99),E99))</f>
        <v/>
      </c>
    </row>
    <row r="100">
      <c r="A100" s="41" t="n">
        <v>46478</v>
      </c>
      <c r="B100" s="32">
        <f>DATE(YEAR(A100),MONTH(A100),1)</f>
        <v/>
      </c>
      <c r="C100" t="inlineStr">
        <is>
          <t>Physical Gold</t>
        </is>
      </c>
      <c r="D100" t="inlineStr">
        <is>
          <t>PAC</t>
        </is>
      </c>
      <c r="E100" s="44">
        <f>IFERROR(VLOOKUP(C100,Assets!$A:$F,6,FALSE),0)</f>
        <v/>
      </c>
      <c r="F100" t="inlineStr">
        <is>
          <t>Auto</t>
        </is>
      </c>
      <c r="G100" s="44" t="n"/>
      <c r="H100" s="44">
        <f>IF(F100="No",0,IF(F100="Edited",IF(G100="",E100,G100),E100))</f>
        <v/>
      </c>
    </row>
    <row r="101">
      <c r="A101" s="41" t="n">
        <v>46478</v>
      </c>
      <c r="B101" s="32">
        <f>DATE(YEAR(A101),MONTH(A101),1)</f>
        <v/>
      </c>
      <c r="C101" t="inlineStr">
        <is>
          <t>Global Gov Bond</t>
        </is>
      </c>
      <c r="D101" t="inlineStr">
        <is>
          <t>PAC</t>
        </is>
      </c>
      <c r="E101" s="44">
        <f>IFERROR(VLOOKUP(C101,Assets!$A:$F,6,FALSE),0)</f>
        <v/>
      </c>
      <c r="F101" t="inlineStr">
        <is>
          <t>Auto</t>
        </is>
      </c>
      <c r="G101" s="44" t="n"/>
      <c r="H101" s="44">
        <f>IF(F101="No",0,IF(F101="Edited",IF(G101="",E101,G101),E101))</f>
        <v/>
      </c>
    </row>
    <row r="102">
      <c r="A102" s="41" t="n">
        <v>46478</v>
      </c>
      <c r="B102" s="32">
        <f>DATE(YEAR(A102),MONTH(A102),1)</f>
        <v/>
      </c>
      <c r="C102" t="inlineStr">
        <is>
          <t>Core EUR Corp Bond</t>
        </is>
      </c>
      <c r="D102" t="inlineStr">
        <is>
          <t>PAC</t>
        </is>
      </c>
      <c r="E102" s="44">
        <f>IFERROR(VLOOKUP(C102,Assets!$A:$F,6,FALSE),0)</f>
        <v/>
      </c>
      <c r="F102" t="inlineStr">
        <is>
          <t>Auto</t>
        </is>
      </c>
      <c r="G102" s="44" t="n"/>
      <c r="H102" s="44">
        <f>IF(F102="No",0,IF(F102="Edited",IF(G102="",E102,G102),E102))</f>
        <v/>
      </c>
    </row>
    <row r="103">
      <c r="A103" s="41" t="n">
        <v>46478</v>
      </c>
      <c r="B103" s="32">
        <f>DATE(YEAR(A103),MONTH(A103),1)</f>
        <v/>
      </c>
      <c r="C103" t="inlineStr">
        <is>
          <t>MSCI World Value</t>
        </is>
      </c>
      <c r="D103" t="inlineStr">
        <is>
          <t>PAC</t>
        </is>
      </c>
      <c r="E103" s="44">
        <f>IFERROR(VLOOKUP(C103,Assets!$A:$F,6,FALSE),0)</f>
        <v/>
      </c>
      <c r="F103" t="inlineStr">
        <is>
          <t>Auto</t>
        </is>
      </c>
      <c r="G103" s="44" t="n"/>
      <c r="H103" s="44">
        <f>IF(F103="No",0,IF(F103="Edited",IF(G103="",E103,G103),E103))</f>
        <v/>
      </c>
    </row>
    <row r="104">
      <c r="A104" s="41" t="n">
        <v>46478</v>
      </c>
      <c r="B104" s="32">
        <f>DATE(YEAR(A104),MONTH(A104),1)</f>
        <v/>
      </c>
      <c r="C104" t="inlineStr">
        <is>
          <t>MSCI EM</t>
        </is>
      </c>
      <c r="D104" t="inlineStr">
        <is>
          <t>PAC</t>
        </is>
      </c>
      <c r="E104" s="44">
        <f>IFERROR(VLOOKUP(C104,Assets!$A:$F,6,FALSE),0)</f>
        <v/>
      </c>
      <c r="F104" t="inlineStr">
        <is>
          <t>Auto</t>
        </is>
      </c>
      <c r="G104" s="44" t="n"/>
      <c r="H104" s="44">
        <f>IF(F104="No",0,IF(F104="Edited",IF(G104="",E104,G104),E104))</f>
        <v/>
      </c>
    </row>
    <row r="105">
      <c r="A105" s="41" t="n">
        <v>46478</v>
      </c>
      <c r="B105" s="32">
        <f>DATE(YEAR(A105),MONTH(A105),1)</f>
        <v/>
      </c>
      <c r="C105" t="inlineStr">
        <is>
          <t>Defence Tech</t>
        </is>
      </c>
      <c r="D105" t="inlineStr">
        <is>
          <t>PAC</t>
        </is>
      </c>
      <c r="E105" s="44">
        <f>IFERROR(VLOOKUP(C105,Assets!$A:$F,6,FALSE),0)</f>
        <v/>
      </c>
      <c r="F105" t="inlineStr">
        <is>
          <t>Auto</t>
        </is>
      </c>
      <c r="G105" s="44" t="n"/>
      <c r="H105" s="44">
        <f>IF(F105="No",0,IF(F105="Edited",IF(G105="",E105,G105),E105))</f>
        <v/>
      </c>
    </row>
    <row r="106">
      <c r="A106" s="41" t="n">
        <v>46508</v>
      </c>
      <c r="B106" s="32">
        <f>DATE(YEAR(A106),MONTH(A106),1)</f>
        <v/>
      </c>
      <c r="C106" t="inlineStr">
        <is>
          <t>Core MSCI World</t>
        </is>
      </c>
      <c r="D106" t="inlineStr">
        <is>
          <t>PAC</t>
        </is>
      </c>
      <c r="E106" s="44">
        <f>IFERROR(VLOOKUP(C106,Assets!$A:$F,6,FALSE),0)</f>
        <v/>
      </c>
      <c r="F106" t="inlineStr">
        <is>
          <t>Auto</t>
        </is>
      </c>
      <c r="G106" s="44" t="n"/>
      <c r="H106" s="44">
        <f>IF(F106="No",0,IF(F106="Edited",IF(G106="",E106,G106),E106))</f>
        <v/>
      </c>
    </row>
    <row r="107">
      <c r="A107" s="41" t="n">
        <v>46508</v>
      </c>
      <c r="B107" s="32">
        <f>DATE(YEAR(A107),MONTH(A107),1)</f>
        <v/>
      </c>
      <c r="C107" t="inlineStr">
        <is>
          <t>AI &amp; Big Data</t>
        </is>
      </c>
      <c r="D107" t="inlineStr">
        <is>
          <t>PAC</t>
        </is>
      </c>
      <c r="E107" s="44">
        <f>IFERROR(VLOOKUP(C107,Assets!$A:$F,6,FALSE),0)</f>
        <v/>
      </c>
      <c r="F107" t="inlineStr">
        <is>
          <t>Auto</t>
        </is>
      </c>
      <c r="G107" s="44" t="n"/>
      <c r="H107" s="44">
        <f>IF(F107="No",0,IF(F107="Edited",IF(G107="",E107,G107),E107))</f>
        <v/>
      </c>
    </row>
    <row r="108">
      <c r="A108" s="41" t="n">
        <v>46508</v>
      </c>
      <c r="B108" s="32">
        <f>DATE(YEAR(A108),MONTH(A108),1)</f>
        <v/>
      </c>
      <c r="C108" t="inlineStr">
        <is>
          <t>Physical Gold</t>
        </is>
      </c>
      <c r="D108" t="inlineStr">
        <is>
          <t>PAC</t>
        </is>
      </c>
      <c r="E108" s="44">
        <f>IFERROR(VLOOKUP(C108,Assets!$A:$F,6,FALSE),0)</f>
        <v/>
      </c>
      <c r="F108" t="inlineStr">
        <is>
          <t>Auto</t>
        </is>
      </c>
      <c r="G108" s="44" t="n"/>
      <c r="H108" s="44">
        <f>IF(F108="No",0,IF(F108="Edited",IF(G108="",E108,G108),E108))</f>
        <v/>
      </c>
    </row>
    <row r="109">
      <c r="A109" s="41" t="n">
        <v>46508</v>
      </c>
      <c r="B109" s="32">
        <f>DATE(YEAR(A109),MONTH(A109),1)</f>
        <v/>
      </c>
      <c r="C109" t="inlineStr">
        <is>
          <t>Global Gov Bond</t>
        </is>
      </c>
      <c r="D109" t="inlineStr">
        <is>
          <t>PAC</t>
        </is>
      </c>
      <c r="E109" s="44">
        <f>IFERROR(VLOOKUP(C109,Assets!$A:$F,6,FALSE),0)</f>
        <v/>
      </c>
      <c r="F109" t="inlineStr">
        <is>
          <t>Auto</t>
        </is>
      </c>
      <c r="G109" s="44" t="n"/>
      <c r="H109" s="44">
        <f>IF(F109="No",0,IF(F109="Edited",IF(G109="",E109,G109),E109))</f>
        <v/>
      </c>
    </row>
    <row r="110">
      <c r="A110" s="41" t="n">
        <v>46508</v>
      </c>
      <c r="B110" s="32">
        <f>DATE(YEAR(A110),MONTH(A110),1)</f>
        <v/>
      </c>
      <c r="C110" t="inlineStr">
        <is>
          <t>Core EUR Corp Bond</t>
        </is>
      </c>
      <c r="D110" t="inlineStr">
        <is>
          <t>PAC</t>
        </is>
      </c>
      <c r="E110" s="44">
        <f>IFERROR(VLOOKUP(C110,Assets!$A:$F,6,FALSE),0)</f>
        <v/>
      </c>
      <c r="F110" t="inlineStr">
        <is>
          <t>Auto</t>
        </is>
      </c>
      <c r="G110" s="44" t="n"/>
      <c r="H110" s="44">
        <f>IF(F110="No",0,IF(F110="Edited",IF(G110="",E110,G110),E110))</f>
        <v/>
      </c>
    </row>
    <row r="111">
      <c r="A111" s="41" t="n">
        <v>46508</v>
      </c>
      <c r="B111" s="32">
        <f>DATE(YEAR(A111),MONTH(A111),1)</f>
        <v/>
      </c>
      <c r="C111" t="inlineStr">
        <is>
          <t>MSCI World Value</t>
        </is>
      </c>
      <c r="D111" t="inlineStr">
        <is>
          <t>PAC</t>
        </is>
      </c>
      <c r="E111" s="44">
        <f>IFERROR(VLOOKUP(C111,Assets!$A:$F,6,FALSE),0)</f>
        <v/>
      </c>
      <c r="F111" t="inlineStr">
        <is>
          <t>Auto</t>
        </is>
      </c>
      <c r="G111" s="44" t="n"/>
      <c r="H111" s="44">
        <f>IF(F111="No",0,IF(F111="Edited",IF(G111="",E111,G111),E111))</f>
        <v/>
      </c>
    </row>
    <row r="112">
      <c r="A112" s="41" t="n">
        <v>46508</v>
      </c>
      <c r="B112" s="32">
        <f>DATE(YEAR(A112),MONTH(A112),1)</f>
        <v/>
      </c>
      <c r="C112" t="inlineStr">
        <is>
          <t>MSCI EM</t>
        </is>
      </c>
      <c r="D112" t="inlineStr">
        <is>
          <t>PAC</t>
        </is>
      </c>
      <c r="E112" s="44">
        <f>IFERROR(VLOOKUP(C112,Assets!$A:$F,6,FALSE),0)</f>
        <v/>
      </c>
      <c r="F112" t="inlineStr">
        <is>
          <t>Auto</t>
        </is>
      </c>
      <c r="G112" s="44" t="n"/>
      <c r="H112" s="44">
        <f>IF(F112="No",0,IF(F112="Edited",IF(G112="",E112,G112),E112))</f>
        <v/>
      </c>
    </row>
    <row r="113">
      <c r="A113" s="41" t="n">
        <v>46508</v>
      </c>
      <c r="B113" s="32">
        <f>DATE(YEAR(A113),MONTH(A113),1)</f>
        <v/>
      </c>
      <c r="C113" t="inlineStr">
        <is>
          <t>Defence Tech</t>
        </is>
      </c>
      <c r="D113" t="inlineStr">
        <is>
          <t>PAC</t>
        </is>
      </c>
      <c r="E113" s="44">
        <f>IFERROR(VLOOKUP(C113,Assets!$A:$F,6,FALSE),0)</f>
        <v/>
      </c>
      <c r="F113" t="inlineStr">
        <is>
          <t>Auto</t>
        </is>
      </c>
      <c r="G113" s="44" t="n"/>
      <c r="H113" s="44">
        <f>IF(F113="No",0,IF(F113="Edited",IF(G113="",E113,G113),E113))</f>
        <v/>
      </c>
    </row>
    <row r="114">
      <c r="A114" s="41" t="n">
        <v>46539</v>
      </c>
      <c r="B114" s="32">
        <f>DATE(YEAR(A114),MONTH(A114),1)</f>
        <v/>
      </c>
      <c r="C114" t="inlineStr">
        <is>
          <t>Core MSCI World</t>
        </is>
      </c>
      <c r="D114" t="inlineStr">
        <is>
          <t>PAC</t>
        </is>
      </c>
      <c r="E114" s="44">
        <f>IFERROR(VLOOKUP(C114,Assets!$A:$F,6,FALSE),0)</f>
        <v/>
      </c>
      <c r="F114" t="inlineStr">
        <is>
          <t>Auto</t>
        </is>
      </c>
      <c r="G114" s="44" t="n"/>
      <c r="H114" s="44">
        <f>IF(F114="No",0,IF(F114="Edited",IF(G114="",E114,G114),E114))</f>
        <v/>
      </c>
    </row>
    <row r="115">
      <c r="A115" s="41" t="n">
        <v>46539</v>
      </c>
      <c r="B115" s="32">
        <f>DATE(YEAR(A115),MONTH(A115),1)</f>
        <v/>
      </c>
      <c r="C115" t="inlineStr">
        <is>
          <t>AI &amp; Big Data</t>
        </is>
      </c>
      <c r="D115" t="inlineStr">
        <is>
          <t>PAC</t>
        </is>
      </c>
      <c r="E115" s="44">
        <f>IFERROR(VLOOKUP(C115,Assets!$A:$F,6,FALSE),0)</f>
        <v/>
      </c>
      <c r="F115" t="inlineStr">
        <is>
          <t>Auto</t>
        </is>
      </c>
      <c r="G115" s="44" t="n"/>
      <c r="H115" s="44">
        <f>IF(F115="No",0,IF(F115="Edited",IF(G115="",E115,G115),E115))</f>
        <v/>
      </c>
    </row>
    <row r="116">
      <c r="A116" s="41" t="n">
        <v>46539</v>
      </c>
      <c r="B116" s="32">
        <f>DATE(YEAR(A116),MONTH(A116),1)</f>
        <v/>
      </c>
      <c r="C116" t="inlineStr">
        <is>
          <t>Physical Gold</t>
        </is>
      </c>
      <c r="D116" t="inlineStr">
        <is>
          <t>PAC</t>
        </is>
      </c>
      <c r="E116" s="44">
        <f>IFERROR(VLOOKUP(C116,Assets!$A:$F,6,FALSE),0)</f>
        <v/>
      </c>
      <c r="F116" t="inlineStr">
        <is>
          <t>Auto</t>
        </is>
      </c>
      <c r="G116" s="44" t="n"/>
      <c r="H116" s="44">
        <f>IF(F116="No",0,IF(F116="Edited",IF(G116="",E116,G116),E116))</f>
        <v/>
      </c>
    </row>
    <row r="117">
      <c r="A117" s="41" t="n">
        <v>46539</v>
      </c>
      <c r="B117" s="32">
        <f>DATE(YEAR(A117),MONTH(A117),1)</f>
        <v/>
      </c>
      <c r="C117" t="inlineStr">
        <is>
          <t>Global Gov Bond</t>
        </is>
      </c>
      <c r="D117" t="inlineStr">
        <is>
          <t>PAC</t>
        </is>
      </c>
      <c r="E117" s="44">
        <f>IFERROR(VLOOKUP(C117,Assets!$A:$F,6,FALSE),0)</f>
        <v/>
      </c>
      <c r="F117" t="inlineStr">
        <is>
          <t>Auto</t>
        </is>
      </c>
      <c r="G117" s="44" t="n"/>
      <c r="H117" s="44">
        <f>IF(F117="No",0,IF(F117="Edited",IF(G117="",E117,G117),E117))</f>
        <v/>
      </c>
    </row>
    <row r="118">
      <c r="A118" s="41" t="n">
        <v>46539</v>
      </c>
      <c r="B118" s="32">
        <f>DATE(YEAR(A118),MONTH(A118),1)</f>
        <v/>
      </c>
      <c r="C118" t="inlineStr">
        <is>
          <t>Core EUR Corp Bond</t>
        </is>
      </c>
      <c r="D118" t="inlineStr">
        <is>
          <t>PAC</t>
        </is>
      </c>
      <c r="E118" s="44">
        <f>IFERROR(VLOOKUP(C118,Assets!$A:$F,6,FALSE),0)</f>
        <v/>
      </c>
      <c r="F118" t="inlineStr">
        <is>
          <t>Auto</t>
        </is>
      </c>
      <c r="G118" s="44" t="n"/>
      <c r="H118" s="44">
        <f>IF(F118="No",0,IF(F118="Edited",IF(G118="",E118,G118),E118))</f>
        <v/>
      </c>
    </row>
    <row r="119">
      <c r="A119" s="41" t="n">
        <v>46539</v>
      </c>
      <c r="B119" s="32">
        <f>DATE(YEAR(A119),MONTH(A119),1)</f>
        <v/>
      </c>
      <c r="C119" t="inlineStr">
        <is>
          <t>MSCI World Value</t>
        </is>
      </c>
      <c r="D119" t="inlineStr">
        <is>
          <t>PAC</t>
        </is>
      </c>
      <c r="E119" s="44">
        <f>IFERROR(VLOOKUP(C119,Assets!$A:$F,6,FALSE),0)</f>
        <v/>
      </c>
      <c r="F119" t="inlineStr">
        <is>
          <t>Auto</t>
        </is>
      </c>
      <c r="G119" s="44" t="n"/>
      <c r="H119" s="44">
        <f>IF(F119="No",0,IF(F119="Edited",IF(G119="",E119,G119),E119))</f>
        <v/>
      </c>
    </row>
    <row r="120">
      <c r="A120" s="41" t="n">
        <v>46539</v>
      </c>
      <c r="B120" s="32">
        <f>DATE(YEAR(A120),MONTH(A120),1)</f>
        <v/>
      </c>
      <c r="C120" t="inlineStr">
        <is>
          <t>MSCI EM</t>
        </is>
      </c>
      <c r="D120" t="inlineStr">
        <is>
          <t>PAC</t>
        </is>
      </c>
      <c r="E120" s="44">
        <f>IFERROR(VLOOKUP(C120,Assets!$A:$F,6,FALSE),0)</f>
        <v/>
      </c>
      <c r="F120" t="inlineStr">
        <is>
          <t>Auto</t>
        </is>
      </c>
      <c r="G120" s="44" t="n"/>
      <c r="H120" s="44">
        <f>IF(F120="No",0,IF(F120="Edited",IF(G120="",E120,G120),E120))</f>
        <v/>
      </c>
    </row>
    <row r="121">
      <c r="A121" s="41" t="n">
        <v>46539</v>
      </c>
      <c r="B121" s="32">
        <f>DATE(YEAR(A121),MONTH(A121),1)</f>
        <v/>
      </c>
      <c r="C121" t="inlineStr">
        <is>
          <t>Defence Tech</t>
        </is>
      </c>
      <c r="D121" t="inlineStr">
        <is>
          <t>PAC</t>
        </is>
      </c>
      <c r="E121" s="44">
        <f>IFERROR(VLOOKUP(C121,Assets!$A:$F,6,FALSE),0)</f>
        <v/>
      </c>
      <c r="F121" t="inlineStr">
        <is>
          <t>Auto</t>
        </is>
      </c>
      <c r="G121" s="44" t="n"/>
      <c r="H121" s="44">
        <f>IF(F121="No",0,IF(F121="Edited",IF(G121="",E121,G121),E121))</f>
        <v/>
      </c>
    </row>
    <row r="122">
      <c r="A122" s="41" t="n">
        <v>46569</v>
      </c>
      <c r="B122" s="32">
        <f>DATE(YEAR(A122),MONTH(A122),1)</f>
        <v/>
      </c>
      <c r="C122" t="inlineStr">
        <is>
          <t>Core MSCI World</t>
        </is>
      </c>
      <c r="D122" t="inlineStr">
        <is>
          <t>PAC</t>
        </is>
      </c>
      <c r="E122" s="44">
        <f>IFERROR(VLOOKUP(C122,Assets!$A:$F,6,FALSE),0)</f>
        <v/>
      </c>
      <c r="F122" t="inlineStr">
        <is>
          <t>Auto</t>
        </is>
      </c>
      <c r="G122" s="44" t="n"/>
      <c r="H122" s="44">
        <f>IF(F122="No",0,IF(F122="Edited",IF(G122="",E122,G122),E122))</f>
        <v/>
      </c>
    </row>
    <row r="123">
      <c r="A123" s="41" t="n">
        <v>46569</v>
      </c>
      <c r="B123" s="32">
        <f>DATE(YEAR(A123),MONTH(A123),1)</f>
        <v/>
      </c>
      <c r="C123" t="inlineStr">
        <is>
          <t>AI &amp; Big Data</t>
        </is>
      </c>
      <c r="D123" t="inlineStr">
        <is>
          <t>PAC</t>
        </is>
      </c>
      <c r="E123" s="44">
        <f>IFERROR(VLOOKUP(C123,Assets!$A:$F,6,FALSE),0)</f>
        <v/>
      </c>
      <c r="F123" t="inlineStr">
        <is>
          <t>Auto</t>
        </is>
      </c>
      <c r="G123" s="44" t="n"/>
      <c r="H123" s="44">
        <f>IF(F123="No",0,IF(F123="Edited",IF(G123="",E123,G123),E123))</f>
        <v/>
      </c>
    </row>
    <row r="124">
      <c r="A124" s="41" t="n">
        <v>46569</v>
      </c>
      <c r="B124" s="32">
        <f>DATE(YEAR(A124),MONTH(A124),1)</f>
        <v/>
      </c>
      <c r="C124" t="inlineStr">
        <is>
          <t>Physical Gold</t>
        </is>
      </c>
      <c r="D124" t="inlineStr">
        <is>
          <t>PAC</t>
        </is>
      </c>
      <c r="E124" s="44">
        <f>IFERROR(VLOOKUP(C124,Assets!$A:$F,6,FALSE),0)</f>
        <v/>
      </c>
      <c r="F124" t="inlineStr">
        <is>
          <t>Auto</t>
        </is>
      </c>
      <c r="G124" s="44" t="n"/>
      <c r="H124" s="44">
        <f>IF(F124="No",0,IF(F124="Edited",IF(G124="",E124,G124),E124))</f>
        <v/>
      </c>
    </row>
    <row r="125">
      <c r="A125" s="41" t="n">
        <v>46569</v>
      </c>
      <c r="B125" s="32">
        <f>DATE(YEAR(A125),MONTH(A125),1)</f>
        <v/>
      </c>
      <c r="C125" t="inlineStr">
        <is>
          <t>Global Gov Bond</t>
        </is>
      </c>
      <c r="D125" t="inlineStr">
        <is>
          <t>PAC</t>
        </is>
      </c>
      <c r="E125" s="44">
        <f>IFERROR(VLOOKUP(C125,Assets!$A:$F,6,FALSE),0)</f>
        <v/>
      </c>
      <c r="F125" t="inlineStr">
        <is>
          <t>Auto</t>
        </is>
      </c>
      <c r="G125" s="44" t="n"/>
      <c r="H125" s="44">
        <f>IF(F125="No",0,IF(F125="Edited",IF(G125="",E125,G125),E125))</f>
        <v/>
      </c>
    </row>
    <row r="126">
      <c r="A126" s="41" t="n">
        <v>46569</v>
      </c>
      <c r="B126" s="32">
        <f>DATE(YEAR(A126),MONTH(A126),1)</f>
        <v/>
      </c>
      <c r="C126" t="inlineStr">
        <is>
          <t>Core EUR Corp Bond</t>
        </is>
      </c>
      <c r="D126" t="inlineStr">
        <is>
          <t>PAC</t>
        </is>
      </c>
      <c r="E126" s="44">
        <f>IFERROR(VLOOKUP(C126,Assets!$A:$F,6,FALSE),0)</f>
        <v/>
      </c>
      <c r="F126" t="inlineStr">
        <is>
          <t>Auto</t>
        </is>
      </c>
      <c r="G126" s="44" t="n"/>
      <c r="H126" s="44">
        <f>IF(F126="No",0,IF(F126="Edited",IF(G126="",E126,G126),E126))</f>
        <v/>
      </c>
    </row>
    <row r="127">
      <c r="A127" s="41" t="n">
        <v>46569</v>
      </c>
      <c r="B127" s="32">
        <f>DATE(YEAR(A127),MONTH(A127),1)</f>
        <v/>
      </c>
      <c r="C127" t="inlineStr">
        <is>
          <t>MSCI World Value</t>
        </is>
      </c>
      <c r="D127" t="inlineStr">
        <is>
          <t>PAC</t>
        </is>
      </c>
      <c r="E127" s="44">
        <f>IFERROR(VLOOKUP(C127,Assets!$A:$F,6,FALSE),0)</f>
        <v/>
      </c>
      <c r="F127" t="inlineStr">
        <is>
          <t>Auto</t>
        </is>
      </c>
      <c r="G127" s="44" t="n"/>
      <c r="H127" s="44">
        <f>IF(F127="No",0,IF(F127="Edited",IF(G127="",E127,G127),E127))</f>
        <v/>
      </c>
    </row>
    <row r="128">
      <c r="A128" s="41" t="n">
        <v>46569</v>
      </c>
      <c r="B128" s="32">
        <f>DATE(YEAR(A128),MONTH(A128),1)</f>
        <v/>
      </c>
      <c r="C128" t="inlineStr">
        <is>
          <t>MSCI EM</t>
        </is>
      </c>
      <c r="D128" t="inlineStr">
        <is>
          <t>PAC</t>
        </is>
      </c>
      <c r="E128" s="44">
        <f>IFERROR(VLOOKUP(C128,Assets!$A:$F,6,FALSE),0)</f>
        <v/>
      </c>
      <c r="F128" t="inlineStr">
        <is>
          <t>Auto</t>
        </is>
      </c>
      <c r="G128" s="44" t="n"/>
      <c r="H128" s="44">
        <f>IF(F128="No",0,IF(F128="Edited",IF(G128="",E128,G128),E128))</f>
        <v/>
      </c>
    </row>
    <row r="129">
      <c r="A129" s="41" t="n">
        <v>46569</v>
      </c>
      <c r="B129" s="32">
        <f>DATE(YEAR(A129),MONTH(A129),1)</f>
        <v/>
      </c>
      <c r="C129" t="inlineStr">
        <is>
          <t>Defence Tech</t>
        </is>
      </c>
      <c r="D129" t="inlineStr">
        <is>
          <t>PAC</t>
        </is>
      </c>
      <c r="E129" s="44">
        <f>IFERROR(VLOOKUP(C129,Assets!$A:$F,6,FALSE),0)</f>
        <v/>
      </c>
      <c r="F129" t="inlineStr">
        <is>
          <t>Auto</t>
        </is>
      </c>
      <c r="G129" s="44" t="n"/>
      <c r="H129" s="44">
        <f>IF(F129="No",0,IF(F129="Edited",IF(G129="",E129,G129),E129))</f>
        <v/>
      </c>
    </row>
    <row r="130">
      <c r="A130" s="41" t="n">
        <v>46600</v>
      </c>
      <c r="B130" s="32">
        <f>DATE(YEAR(A130),MONTH(A130),1)</f>
        <v/>
      </c>
      <c r="C130" t="inlineStr">
        <is>
          <t>Core MSCI World</t>
        </is>
      </c>
      <c r="D130" t="inlineStr">
        <is>
          <t>PAC</t>
        </is>
      </c>
      <c r="E130" s="44">
        <f>IFERROR(VLOOKUP(C130,Assets!$A:$F,6,FALSE),0)</f>
        <v/>
      </c>
      <c r="F130" t="inlineStr">
        <is>
          <t>Auto</t>
        </is>
      </c>
      <c r="G130" s="44" t="n"/>
      <c r="H130" s="44">
        <f>IF(F130="No",0,IF(F130="Edited",IF(G130="",E130,G130),E130))</f>
        <v/>
      </c>
    </row>
    <row r="131">
      <c r="A131" s="41" t="n">
        <v>46600</v>
      </c>
      <c r="B131" s="32">
        <f>DATE(YEAR(A131),MONTH(A131),1)</f>
        <v/>
      </c>
      <c r="C131" t="inlineStr">
        <is>
          <t>AI &amp; Big Data</t>
        </is>
      </c>
      <c r="D131" t="inlineStr">
        <is>
          <t>PAC</t>
        </is>
      </c>
      <c r="E131" s="44">
        <f>IFERROR(VLOOKUP(C131,Assets!$A:$F,6,FALSE),0)</f>
        <v/>
      </c>
      <c r="F131" t="inlineStr">
        <is>
          <t>Auto</t>
        </is>
      </c>
      <c r="G131" s="44" t="n"/>
      <c r="H131" s="44">
        <f>IF(F131="No",0,IF(F131="Edited",IF(G131="",E131,G131),E131))</f>
        <v/>
      </c>
    </row>
    <row r="132">
      <c r="A132" s="41" t="n">
        <v>46600</v>
      </c>
      <c r="B132" s="32">
        <f>DATE(YEAR(A132),MONTH(A132),1)</f>
        <v/>
      </c>
      <c r="C132" t="inlineStr">
        <is>
          <t>Physical Gold</t>
        </is>
      </c>
      <c r="D132" t="inlineStr">
        <is>
          <t>PAC</t>
        </is>
      </c>
      <c r="E132" s="44">
        <f>IFERROR(VLOOKUP(C132,Assets!$A:$F,6,FALSE),0)</f>
        <v/>
      </c>
      <c r="F132" t="inlineStr">
        <is>
          <t>Auto</t>
        </is>
      </c>
      <c r="G132" s="44" t="n"/>
      <c r="H132" s="44">
        <f>IF(F132="No",0,IF(F132="Edited",IF(G132="",E132,G132),E132))</f>
        <v/>
      </c>
    </row>
    <row r="133">
      <c r="A133" s="41" t="n">
        <v>46600</v>
      </c>
      <c r="B133" s="32">
        <f>DATE(YEAR(A133),MONTH(A133),1)</f>
        <v/>
      </c>
      <c r="C133" t="inlineStr">
        <is>
          <t>Global Gov Bond</t>
        </is>
      </c>
      <c r="D133" t="inlineStr">
        <is>
          <t>PAC</t>
        </is>
      </c>
      <c r="E133" s="44">
        <f>IFERROR(VLOOKUP(C133,Assets!$A:$F,6,FALSE),0)</f>
        <v/>
      </c>
      <c r="F133" t="inlineStr">
        <is>
          <t>Auto</t>
        </is>
      </c>
      <c r="G133" s="44" t="n"/>
      <c r="H133" s="44">
        <f>IF(F133="No",0,IF(F133="Edited",IF(G133="",E133,G133),E133))</f>
        <v/>
      </c>
    </row>
    <row r="134">
      <c r="A134" s="41" t="n">
        <v>46600</v>
      </c>
      <c r="B134" s="32">
        <f>DATE(YEAR(A134),MONTH(A134),1)</f>
        <v/>
      </c>
      <c r="C134" t="inlineStr">
        <is>
          <t>Core EUR Corp Bond</t>
        </is>
      </c>
      <c r="D134" t="inlineStr">
        <is>
          <t>PAC</t>
        </is>
      </c>
      <c r="E134" s="44">
        <f>IFERROR(VLOOKUP(C134,Assets!$A:$F,6,FALSE),0)</f>
        <v/>
      </c>
      <c r="F134" t="inlineStr">
        <is>
          <t>Auto</t>
        </is>
      </c>
      <c r="G134" s="44" t="n"/>
      <c r="H134" s="44">
        <f>IF(F134="No",0,IF(F134="Edited",IF(G134="",E134,G134),E134))</f>
        <v/>
      </c>
    </row>
    <row r="135">
      <c r="A135" s="41" t="n">
        <v>46600</v>
      </c>
      <c r="B135" s="32">
        <f>DATE(YEAR(A135),MONTH(A135),1)</f>
        <v/>
      </c>
      <c r="C135" t="inlineStr">
        <is>
          <t>MSCI World Value</t>
        </is>
      </c>
      <c r="D135" t="inlineStr">
        <is>
          <t>PAC</t>
        </is>
      </c>
      <c r="E135" s="44">
        <f>IFERROR(VLOOKUP(C135,Assets!$A:$F,6,FALSE),0)</f>
        <v/>
      </c>
      <c r="F135" t="inlineStr">
        <is>
          <t>Auto</t>
        </is>
      </c>
      <c r="G135" s="44" t="n"/>
      <c r="H135" s="44">
        <f>IF(F135="No",0,IF(F135="Edited",IF(G135="",E135,G135),E135))</f>
        <v/>
      </c>
    </row>
    <row r="136">
      <c r="A136" s="41" t="n">
        <v>46600</v>
      </c>
      <c r="B136" s="32">
        <f>DATE(YEAR(A136),MONTH(A136),1)</f>
        <v/>
      </c>
      <c r="C136" t="inlineStr">
        <is>
          <t>MSCI EM</t>
        </is>
      </c>
      <c r="D136" t="inlineStr">
        <is>
          <t>PAC</t>
        </is>
      </c>
      <c r="E136" s="44">
        <f>IFERROR(VLOOKUP(C136,Assets!$A:$F,6,FALSE),0)</f>
        <v/>
      </c>
      <c r="F136" t="inlineStr">
        <is>
          <t>Auto</t>
        </is>
      </c>
      <c r="G136" s="44" t="n"/>
      <c r="H136" s="44">
        <f>IF(F136="No",0,IF(F136="Edited",IF(G136="",E136,G136),E136))</f>
        <v/>
      </c>
    </row>
    <row r="137">
      <c r="A137" s="41" t="n">
        <v>46600</v>
      </c>
      <c r="B137" s="32">
        <f>DATE(YEAR(A137),MONTH(A137),1)</f>
        <v/>
      </c>
      <c r="C137" t="inlineStr">
        <is>
          <t>Defence Tech</t>
        </is>
      </c>
      <c r="D137" t="inlineStr">
        <is>
          <t>PAC</t>
        </is>
      </c>
      <c r="E137" s="44">
        <f>IFERROR(VLOOKUP(C137,Assets!$A:$F,6,FALSE),0)</f>
        <v/>
      </c>
      <c r="F137" t="inlineStr">
        <is>
          <t>Auto</t>
        </is>
      </c>
      <c r="G137" s="44" t="n"/>
      <c r="H137" s="44">
        <f>IF(F137="No",0,IF(F137="Edited",IF(G137="",E137,G137),E137))</f>
        <v/>
      </c>
    </row>
    <row r="138">
      <c r="A138" s="41" t="n">
        <v>46631</v>
      </c>
      <c r="B138" s="32">
        <f>DATE(YEAR(A138),MONTH(A138),1)</f>
        <v/>
      </c>
      <c r="C138" t="inlineStr">
        <is>
          <t>Core MSCI World</t>
        </is>
      </c>
      <c r="D138" t="inlineStr">
        <is>
          <t>PAC</t>
        </is>
      </c>
      <c r="E138" s="44">
        <f>IFERROR(VLOOKUP(C138,Assets!$A:$F,6,FALSE),0)</f>
        <v/>
      </c>
      <c r="F138" t="inlineStr">
        <is>
          <t>Auto</t>
        </is>
      </c>
      <c r="G138" s="44" t="n"/>
      <c r="H138" s="44">
        <f>IF(F138="No",0,IF(F138="Edited",IF(G138="",E138,G138),E138))</f>
        <v/>
      </c>
    </row>
    <row r="139">
      <c r="A139" s="41" t="n">
        <v>46631</v>
      </c>
      <c r="B139" s="32">
        <f>DATE(YEAR(A139),MONTH(A139),1)</f>
        <v/>
      </c>
      <c r="C139" t="inlineStr">
        <is>
          <t>AI &amp; Big Data</t>
        </is>
      </c>
      <c r="D139" t="inlineStr">
        <is>
          <t>PAC</t>
        </is>
      </c>
      <c r="E139" s="44">
        <f>IFERROR(VLOOKUP(C139,Assets!$A:$F,6,FALSE),0)</f>
        <v/>
      </c>
      <c r="F139" t="inlineStr">
        <is>
          <t>Auto</t>
        </is>
      </c>
      <c r="G139" s="44" t="n"/>
      <c r="H139" s="44">
        <f>IF(F139="No",0,IF(F139="Edited",IF(G139="",E139,G139),E139))</f>
        <v/>
      </c>
    </row>
    <row r="140">
      <c r="A140" s="41" t="n">
        <v>46631</v>
      </c>
      <c r="B140" s="32">
        <f>DATE(YEAR(A140),MONTH(A140),1)</f>
        <v/>
      </c>
      <c r="C140" t="inlineStr">
        <is>
          <t>Physical Gold</t>
        </is>
      </c>
      <c r="D140" t="inlineStr">
        <is>
          <t>PAC</t>
        </is>
      </c>
      <c r="E140" s="44">
        <f>IFERROR(VLOOKUP(C140,Assets!$A:$F,6,FALSE),0)</f>
        <v/>
      </c>
      <c r="F140" t="inlineStr">
        <is>
          <t>Auto</t>
        </is>
      </c>
      <c r="G140" s="44" t="n"/>
      <c r="H140" s="44">
        <f>IF(F140="No",0,IF(F140="Edited",IF(G140="",E140,G140),E140))</f>
        <v/>
      </c>
    </row>
    <row r="141">
      <c r="A141" s="41" t="n">
        <v>46631</v>
      </c>
      <c r="B141" s="32">
        <f>DATE(YEAR(A141),MONTH(A141),1)</f>
        <v/>
      </c>
      <c r="C141" t="inlineStr">
        <is>
          <t>Global Gov Bond</t>
        </is>
      </c>
      <c r="D141" t="inlineStr">
        <is>
          <t>PAC</t>
        </is>
      </c>
      <c r="E141" s="44">
        <f>IFERROR(VLOOKUP(C141,Assets!$A:$F,6,FALSE),0)</f>
        <v/>
      </c>
      <c r="F141" t="inlineStr">
        <is>
          <t>Auto</t>
        </is>
      </c>
      <c r="G141" s="44" t="n"/>
      <c r="H141" s="44">
        <f>IF(F141="No",0,IF(F141="Edited",IF(G141="",E141,G141),E141))</f>
        <v/>
      </c>
    </row>
    <row r="142">
      <c r="A142" s="41" t="n">
        <v>46631</v>
      </c>
      <c r="B142" s="32">
        <f>DATE(YEAR(A142),MONTH(A142),1)</f>
        <v/>
      </c>
      <c r="C142" t="inlineStr">
        <is>
          <t>Core EUR Corp Bond</t>
        </is>
      </c>
      <c r="D142" t="inlineStr">
        <is>
          <t>PAC</t>
        </is>
      </c>
      <c r="E142" s="44">
        <f>IFERROR(VLOOKUP(C142,Assets!$A:$F,6,FALSE),0)</f>
        <v/>
      </c>
      <c r="F142" t="inlineStr">
        <is>
          <t>Auto</t>
        </is>
      </c>
      <c r="G142" s="44" t="n"/>
      <c r="H142" s="44">
        <f>IF(F142="No",0,IF(F142="Edited",IF(G142="",E142,G142),E142))</f>
        <v/>
      </c>
    </row>
    <row r="143">
      <c r="A143" s="41" t="n">
        <v>46631</v>
      </c>
      <c r="B143" s="32">
        <f>DATE(YEAR(A143),MONTH(A143),1)</f>
        <v/>
      </c>
      <c r="C143" t="inlineStr">
        <is>
          <t>MSCI World Value</t>
        </is>
      </c>
      <c r="D143" t="inlineStr">
        <is>
          <t>PAC</t>
        </is>
      </c>
      <c r="E143" s="44">
        <f>IFERROR(VLOOKUP(C143,Assets!$A:$F,6,FALSE),0)</f>
        <v/>
      </c>
      <c r="F143" t="inlineStr">
        <is>
          <t>Auto</t>
        </is>
      </c>
      <c r="G143" s="44" t="n"/>
      <c r="H143" s="44">
        <f>IF(F143="No",0,IF(F143="Edited",IF(G143="",E143,G143),E143))</f>
        <v/>
      </c>
    </row>
    <row r="144">
      <c r="A144" s="41" t="n">
        <v>46631</v>
      </c>
      <c r="B144" s="32">
        <f>DATE(YEAR(A144),MONTH(A144),1)</f>
        <v/>
      </c>
      <c r="C144" t="inlineStr">
        <is>
          <t>MSCI EM</t>
        </is>
      </c>
      <c r="D144" t="inlineStr">
        <is>
          <t>PAC</t>
        </is>
      </c>
      <c r="E144" s="44">
        <f>IFERROR(VLOOKUP(C144,Assets!$A:$F,6,FALSE),0)</f>
        <v/>
      </c>
      <c r="F144" t="inlineStr">
        <is>
          <t>Auto</t>
        </is>
      </c>
      <c r="G144" s="44" t="n"/>
      <c r="H144" s="44">
        <f>IF(F144="No",0,IF(F144="Edited",IF(G144="",E144,G144),E144))</f>
        <v/>
      </c>
    </row>
    <row r="145">
      <c r="A145" s="41" t="n">
        <v>46631</v>
      </c>
      <c r="B145" s="32">
        <f>DATE(YEAR(A145),MONTH(A145),1)</f>
        <v/>
      </c>
      <c r="C145" t="inlineStr">
        <is>
          <t>Defence Tech</t>
        </is>
      </c>
      <c r="D145" t="inlineStr">
        <is>
          <t>PAC</t>
        </is>
      </c>
      <c r="E145" s="44">
        <f>IFERROR(VLOOKUP(C145,Assets!$A:$F,6,FALSE),0)</f>
        <v/>
      </c>
      <c r="F145" t="inlineStr">
        <is>
          <t>Auto</t>
        </is>
      </c>
      <c r="G145" s="44" t="n"/>
      <c r="H145" s="44">
        <f>IF(F145="No",0,IF(F145="Edited",IF(G145="",E145,G145),E145))</f>
        <v/>
      </c>
    </row>
    <row r="146">
      <c r="A146" s="41" t="n">
        <v>46661</v>
      </c>
      <c r="B146" s="32">
        <f>DATE(YEAR(A146),MONTH(A146),1)</f>
        <v/>
      </c>
      <c r="C146" t="inlineStr">
        <is>
          <t>Core MSCI World</t>
        </is>
      </c>
      <c r="D146" t="inlineStr">
        <is>
          <t>PAC</t>
        </is>
      </c>
      <c r="E146" s="44">
        <f>IFERROR(VLOOKUP(C146,Assets!$A:$F,6,FALSE),0)</f>
        <v/>
      </c>
      <c r="F146" t="inlineStr">
        <is>
          <t>Auto</t>
        </is>
      </c>
      <c r="G146" s="44" t="n"/>
      <c r="H146" s="44">
        <f>IF(F146="No",0,IF(F146="Edited",IF(G146="",E146,G146),E146))</f>
        <v/>
      </c>
    </row>
    <row r="147">
      <c r="A147" s="41" t="n">
        <v>46661</v>
      </c>
      <c r="B147" s="32">
        <f>DATE(YEAR(A147),MONTH(A147),1)</f>
        <v/>
      </c>
      <c r="C147" t="inlineStr">
        <is>
          <t>AI &amp; Big Data</t>
        </is>
      </c>
      <c r="D147" t="inlineStr">
        <is>
          <t>PAC</t>
        </is>
      </c>
      <c r="E147" s="44">
        <f>IFERROR(VLOOKUP(C147,Assets!$A:$F,6,FALSE),0)</f>
        <v/>
      </c>
      <c r="F147" t="inlineStr">
        <is>
          <t>Auto</t>
        </is>
      </c>
      <c r="G147" s="44" t="n"/>
      <c r="H147" s="44">
        <f>IF(F147="No",0,IF(F147="Edited",IF(G147="",E147,G147),E147))</f>
        <v/>
      </c>
    </row>
    <row r="148">
      <c r="A148" s="41" t="n">
        <v>46661</v>
      </c>
      <c r="B148" s="32">
        <f>DATE(YEAR(A148),MONTH(A148),1)</f>
        <v/>
      </c>
      <c r="C148" t="inlineStr">
        <is>
          <t>Physical Gold</t>
        </is>
      </c>
      <c r="D148" t="inlineStr">
        <is>
          <t>PAC</t>
        </is>
      </c>
      <c r="E148" s="44">
        <f>IFERROR(VLOOKUP(C148,Assets!$A:$F,6,FALSE),0)</f>
        <v/>
      </c>
      <c r="F148" t="inlineStr">
        <is>
          <t>Auto</t>
        </is>
      </c>
      <c r="G148" s="44" t="n"/>
      <c r="H148" s="44">
        <f>IF(F148="No",0,IF(F148="Edited",IF(G148="",E148,G148),E148))</f>
        <v/>
      </c>
    </row>
    <row r="149">
      <c r="A149" s="41" t="n">
        <v>46661</v>
      </c>
      <c r="B149" s="32">
        <f>DATE(YEAR(A149),MONTH(A149),1)</f>
        <v/>
      </c>
      <c r="C149" t="inlineStr">
        <is>
          <t>Global Gov Bond</t>
        </is>
      </c>
      <c r="D149" t="inlineStr">
        <is>
          <t>PAC</t>
        </is>
      </c>
      <c r="E149" s="44">
        <f>IFERROR(VLOOKUP(C149,Assets!$A:$F,6,FALSE),0)</f>
        <v/>
      </c>
      <c r="F149" t="inlineStr">
        <is>
          <t>Auto</t>
        </is>
      </c>
      <c r="G149" s="44" t="n"/>
      <c r="H149" s="44">
        <f>IF(F149="No",0,IF(F149="Edited",IF(G149="",E149,G149),E149))</f>
        <v/>
      </c>
    </row>
    <row r="150">
      <c r="A150" s="41" t="n">
        <v>46661</v>
      </c>
      <c r="B150" s="32">
        <f>DATE(YEAR(A150),MONTH(A150),1)</f>
        <v/>
      </c>
      <c r="C150" t="inlineStr">
        <is>
          <t>Core EUR Corp Bond</t>
        </is>
      </c>
      <c r="D150" t="inlineStr">
        <is>
          <t>PAC</t>
        </is>
      </c>
      <c r="E150" s="44">
        <f>IFERROR(VLOOKUP(C150,Assets!$A:$F,6,FALSE),0)</f>
        <v/>
      </c>
      <c r="F150" t="inlineStr">
        <is>
          <t>Auto</t>
        </is>
      </c>
      <c r="G150" s="44" t="n"/>
      <c r="H150" s="44">
        <f>IF(F150="No",0,IF(F150="Edited",IF(G150="",E150,G150),E150))</f>
        <v/>
      </c>
    </row>
    <row r="151">
      <c r="A151" s="41" t="n">
        <v>46661</v>
      </c>
      <c r="B151" s="32">
        <f>DATE(YEAR(A151),MONTH(A151),1)</f>
        <v/>
      </c>
      <c r="C151" t="inlineStr">
        <is>
          <t>MSCI World Value</t>
        </is>
      </c>
      <c r="D151" t="inlineStr">
        <is>
          <t>PAC</t>
        </is>
      </c>
      <c r="E151" s="44">
        <f>IFERROR(VLOOKUP(C151,Assets!$A:$F,6,FALSE),0)</f>
        <v/>
      </c>
      <c r="F151" t="inlineStr">
        <is>
          <t>Auto</t>
        </is>
      </c>
      <c r="G151" s="44" t="n"/>
      <c r="H151" s="44">
        <f>IF(F151="No",0,IF(F151="Edited",IF(G151="",E151,G151),E151))</f>
        <v/>
      </c>
    </row>
    <row r="152">
      <c r="A152" s="41" t="n">
        <v>46661</v>
      </c>
      <c r="B152" s="32">
        <f>DATE(YEAR(A152),MONTH(A152),1)</f>
        <v/>
      </c>
      <c r="C152" t="inlineStr">
        <is>
          <t>MSCI EM</t>
        </is>
      </c>
      <c r="D152" t="inlineStr">
        <is>
          <t>PAC</t>
        </is>
      </c>
      <c r="E152" s="44">
        <f>IFERROR(VLOOKUP(C152,Assets!$A:$F,6,FALSE),0)</f>
        <v/>
      </c>
      <c r="F152" t="inlineStr">
        <is>
          <t>Auto</t>
        </is>
      </c>
      <c r="G152" s="44" t="n"/>
      <c r="H152" s="44">
        <f>IF(F152="No",0,IF(F152="Edited",IF(G152="",E152,G152),E152))</f>
        <v/>
      </c>
    </row>
    <row r="153">
      <c r="A153" s="41" t="n">
        <v>46661</v>
      </c>
      <c r="B153" s="32">
        <f>DATE(YEAR(A153),MONTH(A153),1)</f>
        <v/>
      </c>
      <c r="C153" t="inlineStr">
        <is>
          <t>Defence Tech</t>
        </is>
      </c>
      <c r="D153" t="inlineStr">
        <is>
          <t>PAC</t>
        </is>
      </c>
      <c r="E153" s="44">
        <f>IFERROR(VLOOKUP(C153,Assets!$A:$F,6,FALSE),0)</f>
        <v/>
      </c>
      <c r="F153" t="inlineStr">
        <is>
          <t>Auto</t>
        </is>
      </c>
      <c r="G153" s="44" t="n"/>
      <c r="H153" s="44">
        <f>IF(F153="No",0,IF(F153="Edited",IF(G153="",E153,G153),E153))</f>
        <v/>
      </c>
    </row>
    <row r="154">
      <c r="A154" s="41" t="n">
        <v>46692</v>
      </c>
      <c r="B154" s="32">
        <f>DATE(YEAR(A154),MONTH(A154),1)</f>
        <v/>
      </c>
      <c r="C154" t="inlineStr">
        <is>
          <t>Core MSCI World</t>
        </is>
      </c>
      <c r="D154" t="inlineStr">
        <is>
          <t>PAC</t>
        </is>
      </c>
      <c r="E154" s="44">
        <f>IFERROR(VLOOKUP(C154,Assets!$A:$F,6,FALSE),0)</f>
        <v/>
      </c>
      <c r="F154" t="inlineStr">
        <is>
          <t>Auto</t>
        </is>
      </c>
      <c r="G154" s="44" t="n"/>
      <c r="H154" s="44">
        <f>IF(F154="No",0,IF(F154="Edited",IF(G154="",E154,G154),E154))</f>
        <v/>
      </c>
    </row>
    <row r="155">
      <c r="A155" s="41" t="n">
        <v>46692</v>
      </c>
      <c r="B155" s="32">
        <f>DATE(YEAR(A155),MONTH(A155),1)</f>
        <v/>
      </c>
      <c r="C155" t="inlineStr">
        <is>
          <t>AI &amp; Big Data</t>
        </is>
      </c>
      <c r="D155" t="inlineStr">
        <is>
          <t>PAC</t>
        </is>
      </c>
      <c r="E155" s="44">
        <f>IFERROR(VLOOKUP(C155,Assets!$A:$F,6,FALSE),0)</f>
        <v/>
      </c>
      <c r="F155" t="inlineStr">
        <is>
          <t>Auto</t>
        </is>
      </c>
      <c r="G155" s="44" t="n"/>
      <c r="H155" s="44">
        <f>IF(F155="No",0,IF(F155="Edited",IF(G155="",E155,G155),E155))</f>
        <v/>
      </c>
    </row>
    <row r="156">
      <c r="A156" s="41" t="n">
        <v>46692</v>
      </c>
      <c r="B156" s="32">
        <f>DATE(YEAR(A156),MONTH(A156),1)</f>
        <v/>
      </c>
      <c r="C156" t="inlineStr">
        <is>
          <t>Physical Gold</t>
        </is>
      </c>
      <c r="D156" t="inlineStr">
        <is>
          <t>PAC</t>
        </is>
      </c>
      <c r="E156" s="44">
        <f>IFERROR(VLOOKUP(C156,Assets!$A:$F,6,FALSE),0)</f>
        <v/>
      </c>
      <c r="F156" t="inlineStr">
        <is>
          <t>Auto</t>
        </is>
      </c>
      <c r="G156" s="44" t="n"/>
      <c r="H156" s="44">
        <f>IF(F156="No",0,IF(F156="Edited",IF(G156="",E156,G156),E156))</f>
        <v/>
      </c>
    </row>
    <row r="157">
      <c r="A157" s="41" t="n">
        <v>46692</v>
      </c>
      <c r="B157" s="32">
        <f>DATE(YEAR(A157),MONTH(A157),1)</f>
        <v/>
      </c>
      <c r="C157" t="inlineStr">
        <is>
          <t>Global Gov Bond</t>
        </is>
      </c>
      <c r="D157" t="inlineStr">
        <is>
          <t>PAC</t>
        </is>
      </c>
      <c r="E157" s="44">
        <f>IFERROR(VLOOKUP(C157,Assets!$A:$F,6,FALSE),0)</f>
        <v/>
      </c>
      <c r="F157" t="inlineStr">
        <is>
          <t>Auto</t>
        </is>
      </c>
      <c r="G157" s="44" t="n"/>
      <c r="H157" s="44">
        <f>IF(F157="No",0,IF(F157="Edited",IF(G157="",E157,G157),E157))</f>
        <v/>
      </c>
    </row>
    <row r="158">
      <c r="A158" s="41" t="n">
        <v>46692</v>
      </c>
      <c r="B158" s="32">
        <f>DATE(YEAR(A158),MONTH(A158),1)</f>
        <v/>
      </c>
      <c r="C158" t="inlineStr">
        <is>
          <t>Core EUR Corp Bond</t>
        </is>
      </c>
      <c r="D158" t="inlineStr">
        <is>
          <t>PAC</t>
        </is>
      </c>
      <c r="E158" s="44">
        <f>IFERROR(VLOOKUP(C158,Assets!$A:$F,6,FALSE),0)</f>
        <v/>
      </c>
      <c r="F158" t="inlineStr">
        <is>
          <t>Auto</t>
        </is>
      </c>
      <c r="G158" s="44" t="n"/>
      <c r="H158" s="44">
        <f>IF(F158="No",0,IF(F158="Edited",IF(G158="",E158,G158),E158))</f>
        <v/>
      </c>
    </row>
    <row r="159">
      <c r="A159" s="41" t="n">
        <v>46692</v>
      </c>
      <c r="B159" s="32">
        <f>DATE(YEAR(A159),MONTH(A159),1)</f>
        <v/>
      </c>
      <c r="C159" t="inlineStr">
        <is>
          <t>MSCI World Value</t>
        </is>
      </c>
      <c r="D159" t="inlineStr">
        <is>
          <t>PAC</t>
        </is>
      </c>
      <c r="E159" s="44">
        <f>IFERROR(VLOOKUP(C159,Assets!$A:$F,6,FALSE),0)</f>
        <v/>
      </c>
      <c r="F159" t="inlineStr">
        <is>
          <t>Auto</t>
        </is>
      </c>
      <c r="G159" s="44" t="n"/>
      <c r="H159" s="44">
        <f>IF(F159="No",0,IF(F159="Edited",IF(G159="",E159,G159),E159))</f>
        <v/>
      </c>
    </row>
    <row r="160">
      <c r="A160" s="41" t="n">
        <v>46692</v>
      </c>
      <c r="B160" s="32">
        <f>DATE(YEAR(A160),MONTH(A160),1)</f>
        <v/>
      </c>
      <c r="C160" t="inlineStr">
        <is>
          <t>MSCI EM</t>
        </is>
      </c>
      <c r="D160" t="inlineStr">
        <is>
          <t>PAC</t>
        </is>
      </c>
      <c r="E160" s="44">
        <f>IFERROR(VLOOKUP(C160,Assets!$A:$F,6,FALSE),0)</f>
        <v/>
      </c>
      <c r="F160" t="inlineStr">
        <is>
          <t>Auto</t>
        </is>
      </c>
      <c r="G160" s="44" t="n"/>
      <c r="H160" s="44">
        <f>IF(F160="No",0,IF(F160="Edited",IF(G160="",E160,G160),E160))</f>
        <v/>
      </c>
    </row>
    <row r="161">
      <c r="A161" s="41" t="n">
        <v>46692</v>
      </c>
      <c r="B161" s="32">
        <f>DATE(YEAR(A161),MONTH(A161),1)</f>
        <v/>
      </c>
      <c r="C161" t="inlineStr">
        <is>
          <t>Defence Tech</t>
        </is>
      </c>
      <c r="D161" t="inlineStr">
        <is>
          <t>PAC</t>
        </is>
      </c>
      <c r="E161" s="44">
        <f>IFERROR(VLOOKUP(C161,Assets!$A:$F,6,FALSE),0)</f>
        <v/>
      </c>
      <c r="F161" t="inlineStr">
        <is>
          <t>Auto</t>
        </is>
      </c>
      <c r="G161" s="44" t="n"/>
      <c r="H161" s="44">
        <f>IF(F161="No",0,IF(F161="Edited",IF(G161="",E161,G161),E161))</f>
        <v/>
      </c>
    </row>
    <row r="162">
      <c r="A162" s="41" t="n">
        <v>46722</v>
      </c>
      <c r="B162" s="32">
        <f>DATE(YEAR(A162),MONTH(A162),1)</f>
        <v/>
      </c>
      <c r="C162" t="inlineStr">
        <is>
          <t>Core MSCI World</t>
        </is>
      </c>
      <c r="D162" t="inlineStr">
        <is>
          <t>PAC</t>
        </is>
      </c>
      <c r="E162" s="44">
        <f>IFERROR(VLOOKUP(C162,Assets!$A:$F,6,FALSE),0)</f>
        <v/>
      </c>
      <c r="F162" t="inlineStr">
        <is>
          <t>Auto</t>
        </is>
      </c>
      <c r="G162" s="44" t="n"/>
      <c r="H162" s="44">
        <f>IF(F162="No",0,IF(F162="Edited",IF(G162="",E162,G162),E162))</f>
        <v/>
      </c>
    </row>
    <row r="163">
      <c r="A163" s="41" t="n">
        <v>46722</v>
      </c>
      <c r="B163" s="32">
        <f>DATE(YEAR(A163),MONTH(A163),1)</f>
        <v/>
      </c>
      <c r="C163" t="inlineStr">
        <is>
          <t>AI &amp; Big Data</t>
        </is>
      </c>
      <c r="D163" t="inlineStr">
        <is>
          <t>PAC</t>
        </is>
      </c>
      <c r="E163" s="44">
        <f>IFERROR(VLOOKUP(C163,Assets!$A:$F,6,FALSE),0)</f>
        <v/>
      </c>
      <c r="F163" t="inlineStr">
        <is>
          <t>Auto</t>
        </is>
      </c>
      <c r="G163" s="44" t="n"/>
      <c r="H163" s="44">
        <f>IF(F163="No",0,IF(F163="Edited",IF(G163="",E163,G163),E163))</f>
        <v/>
      </c>
    </row>
    <row r="164">
      <c r="A164" s="41" t="n">
        <v>46722</v>
      </c>
      <c r="B164" s="32">
        <f>DATE(YEAR(A164),MONTH(A164),1)</f>
        <v/>
      </c>
      <c r="C164" t="inlineStr">
        <is>
          <t>Physical Gold</t>
        </is>
      </c>
      <c r="D164" t="inlineStr">
        <is>
          <t>PAC</t>
        </is>
      </c>
      <c r="E164" s="44">
        <f>IFERROR(VLOOKUP(C164,Assets!$A:$F,6,FALSE),0)</f>
        <v/>
      </c>
      <c r="F164" t="inlineStr">
        <is>
          <t>Auto</t>
        </is>
      </c>
      <c r="G164" s="44" t="n"/>
      <c r="H164" s="44">
        <f>IF(F164="No",0,IF(F164="Edited",IF(G164="",E164,G164),E164))</f>
        <v/>
      </c>
    </row>
    <row r="165">
      <c r="A165" s="41" t="n">
        <v>46722</v>
      </c>
      <c r="B165" s="32">
        <f>DATE(YEAR(A165),MONTH(A165),1)</f>
        <v/>
      </c>
      <c r="C165" t="inlineStr">
        <is>
          <t>Global Gov Bond</t>
        </is>
      </c>
      <c r="D165" t="inlineStr">
        <is>
          <t>PAC</t>
        </is>
      </c>
      <c r="E165" s="44">
        <f>IFERROR(VLOOKUP(C165,Assets!$A:$F,6,FALSE),0)</f>
        <v/>
      </c>
      <c r="F165" t="inlineStr">
        <is>
          <t>Auto</t>
        </is>
      </c>
      <c r="G165" s="44" t="n"/>
      <c r="H165" s="44">
        <f>IF(F165="No",0,IF(F165="Edited",IF(G165="",E165,G165),E165))</f>
        <v/>
      </c>
    </row>
    <row r="166">
      <c r="A166" s="41" t="n">
        <v>46722</v>
      </c>
      <c r="B166" s="32">
        <f>DATE(YEAR(A166),MONTH(A166),1)</f>
        <v/>
      </c>
      <c r="C166" t="inlineStr">
        <is>
          <t>Core EUR Corp Bond</t>
        </is>
      </c>
      <c r="D166" t="inlineStr">
        <is>
          <t>PAC</t>
        </is>
      </c>
      <c r="E166" s="44">
        <f>IFERROR(VLOOKUP(C166,Assets!$A:$F,6,FALSE),0)</f>
        <v/>
      </c>
      <c r="F166" t="inlineStr">
        <is>
          <t>Auto</t>
        </is>
      </c>
      <c r="G166" s="44" t="n"/>
      <c r="H166" s="44">
        <f>IF(F166="No",0,IF(F166="Edited",IF(G166="",E166,G166),E166))</f>
        <v/>
      </c>
    </row>
    <row r="167">
      <c r="A167" s="41" t="n">
        <v>46722</v>
      </c>
      <c r="B167" s="32">
        <f>DATE(YEAR(A167),MONTH(A167),1)</f>
        <v/>
      </c>
      <c r="C167" t="inlineStr">
        <is>
          <t>MSCI World Value</t>
        </is>
      </c>
      <c r="D167" t="inlineStr">
        <is>
          <t>PAC</t>
        </is>
      </c>
      <c r="E167" s="44">
        <f>IFERROR(VLOOKUP(C167,Assets!$A:$F,6,FALSE),0)</f>
        <v/>
      </c>
      <c r="F167" t="inlineStr">
        <is>
          <t>Auto</t>
        </is>
      </c>
      <c r="G167" s="44" t="n"/>
      <c r="H167" s="44">
        <f>IF(F167="No",0,IF(F167="Edited",IF(G167="",E167,G167),E167))</f>
        <v/>
      </c>
    </row>
    <row r="168">
      <c r="A168" s="41" t="n">
        <v>46722</v>
      </c>
      <c r="B168" s="32">
        <f>DATE(YEAR(A168),MONTH(A168),1)</f>
        <v/>
      </c>
      <c r="C168" t="inlineStr">
        <is>
          <t>MSCI EM</t>
        </is>
      </c>
      <c r="D168" t="inlineStr">
        <is>
          <t>PAC</t>
        </is>
      </c>
      <c r="E168" s="44">
        <f>IFERROR(VLOOKUP(C168,Assets!$A:$F,6,FALSE),0)</f>
        <v/>
      </c>
      <c r="F168" t="inlineStr">
        <is>
          <t>Auto</t>
        </is>
      </c>
      <c r="G168" s="44" t="n"/>
      <c r="H168" s="44">
        <f>IF(F168="No",0,IF(F168="Edited",IF(G168="",E168,G168),E168))</f>
        <v/>
      </c>
    </row>
    <row r="169">
      <c r="A169" s="41" t="n">
        <v>46722</v>
      </c>
      <c r="B169" s="32">
        <f>DATE(YEAR(A169),MONTH(A169),1)</f>
        <v/>
      </c>
      <c r="C169" t="inlineStr">
        <is>
          <t>Defence Tech</t>
        </is>
      </c>
      <c r="D169" t="inlineStr">
        <is>
          <t>PAC</t>
        </is>
      </c>
      <c r="E169" s="44">
        <f>IFERROR(VLOOKUP(C169,Assets!$A:$F,6,FALSE),0)</f>
        <v/>
      </c>
      <c r="F169" t="inlineStr">
        <is>
          <t>Auto</t>
        </is>
      </c>
      <c r="G169" s="44" t="n"/>
      <c r="H169" s="44">
        <f>IF(F169="No",0,IF(F169="Edited",IF(G169="",E169,G169),E169))</f>
        <v/>
      </c>
    </row>
    <row r="170">
      <c r="A170" s="41" t="n">
        <v>46753</v>
      </c>
      <c r="B170" s="32">
        <f>DATE(YEAR(A170),MONTH(A170),1)</f>
        <v/>
      </c>
      <c r="C170" t="inlineStr">
        <is>
          <t>Core MSCI World</t>
        </is>
      </c>
      <c r="D170" t="inlineStr">
        <is>
          <t>PAC</t>
        </is>
      </c>
      <c r="E170" s="44">
        <f>IFERROR(VLOOKUP(C170,Assets!$A:$F,6,FALSE),0)</f>
        <v/>
      </c>
      <c r="F170" t="inlineStr">
        <is>
          <t>Auto</t>
        </is>
      </c>
      <c r="G170" s="44" t="n"/>
      <c r="H170" s="44">
        <f>IF(F170="No",0,IF(F170="Edited",IF(G170="",E170,G170),E170))</f>
        <v/>
      </c>
    </row>
    <row r="171">
      <c r="A171" s="41" t="n">
        <v>46753</v>
      </c>
      <c r="B171" s="32">
        <f>DATE(YEAR(A171),MONTH(A171),1)</f>
        <v/>
      </c>
      <c r="C171" t="inlineStr">
        <is>
          <t>AI &amp; Big Data</t>
        </is>
      </c>
      <c r="D171" t="inlineStr">
        <is>
          <t>PAC</t>
        </is>
      </c>
      <c r="E171" s="44">
        <f>IFERROR(VLOOKUP(C171,Assets!$A:$F,6,FALSE),0)</f>
        <v/>
      </c>
      <c r="F171" t="inlineStr">
        <is>
          <t>Auto</t>
        </is>
      </c>
      <c r="G171" s="44" t="n"/>
      <c r="H171" s="44">
        <f>IF(F171="No",0,IF(F171="Edited",IF(G171="",E171,G171),E171))</f>
        <v/>
      </c>
    </row>
    <row r="172">
      <c r="A172" s="41" t="n">
        <v>46753</v>
      </c>
      <c r="B172" s="32">
        <f>DATE(YEAR(A172),MONTH(A172),1)</f>
        <v/>
      </c>
      <c r="C172" t="inlineStr">
        <is>
          <t>Physical Gold</t>
        </is>
      </c>
      <c r="D172" t="inlineStr">
        <is>
          <t>PAC</t>
        </is>
      </c>
      <c r="E172" s="44">
        <f>IFERROR(VLOOKUP(C172,Assets!$A:$F,6,FALSE),0)</f>
        <v/>
      </c>
      <c r="F172" t="inlineStr">
        <is>
          <t>Auto</t>
        </is>
      </c>
      <c r="G172" s="44" t="n"/>
      <c r="H172" s="44">
        <f>IF(F172="No",0,IF(F172="Edited",IF(G172="",E172,G172),E172))</f>
        <v/>
      </c>
    </row>
    <row r="173">
      <c r="A173" s="41" t="n">
        <v>46753</v>
      </c>
      <c r="B173" s="32">
        <f>DATE(YEAR(A173),MONTH(A173),1)</f>
        <v/>
      </c>
      <c r="C173" t="inlineStr">
        <is>
          <t>Global Gov Bond</t>
        </is>
      </c>
      <c r="D173" t="inlineStr">
        <is>
          <t>PAC</t>
        </is>
      </c>
      <c r="E173" s="44">
        <f>IFERROR(VLOOKUP(C173,Assets!$A:$F,6,FALSE),0)</f>
        <v/>
      </c>
      <c r="F173" t="inlineStr">
        <is>
          <t>Auto</t>
        </is>
      </c>
      <c r="G173" s="44" t="n"/>
      <c r="H173" s="44">
        <f>IF(F173="No",0,IF(F173="Edited",IF(G173="",E173,G173),E173))</f>
        <v/>
      </c>
    </row>
    <row r="174">
      <c r="A174" s="41" t="n">
        <v>46753</v>
      </c>
      <c r="B174" s="32">
        <f>DATE(YEAR(A174),MONTH(A174),1)</f>
        <v/>
      </c>
      <c r="C174" t="inlineStr">
        <is>
          <t>Core EUR Corp Bond</t>
        </is>
      </c>
      <c r="D174" t="inlineStr">
        <is>
          <t>PAC</t>
        </is>
      </c>
      <c r="E174" s="44">
        <f>IFERROR(VLOOKUP(C174,Assets!$A:$F,6,FALSE),0)</f>
        <v/>
      </c>
      <c r="F174" t="inlineStr">
        <is>
          <t>Auto</t>
        </is>
      </c>
      <c r="G174" s="44" t="n"/>
      <c r="H174" s="44">
        <f>IF(F174="No",0,IF(F174="Edited",IF(G174="",E174,G174),E174))</f>
        <v/>
      </c>
    </row>
    <row r="175">
      <c r="A175" s="41" t="n">
        <v>46753</v>
      </c>
      <c r="B175" s="32">
        <f>DATE(YEAR(A175),MONTH(A175),1)</f>
        <v/>
      </c>
      <c r="C175" t="inlineStr">
        <is>
          <t>MSCI World Value</t>
        </is>
      </c>
      <c r="D175" t="inlineStr">
        <is>
          <t>PAC</t>
        </is>
      </c>
      <c r="E175" s="44">
        <f>IFERROR(VLOOKUP(C175,Assets!$A:$F,6,FALSE),0)</f>
        <v/>
      </c>
      <c r="F175" t="inlineStr">
        <is>
          <t>Auto</t>
        </is>
      </c>
      <c r="G175" s="44" t="n"/>
      <c r="H175" s="44">
        <f>IF(F175="No",0,IF(F175="Edited",IF(G175="",E175,G175),E175))</f>
        <v/>
      </c>
    </row>
    <row r="176">
      <c r="A176" s="41" t="n">
        <v>46753</v>
      </c>
      <c r="B176" s="32">
        <f>DATE(YEAR(A176),MONTH(A176),1)</f>
        <v/>
      </c>
      <c r="C176" t="inlineStr">
        <is>
          <t>MSCI EM</t>
        </is>
      </c>
      <c r="D176" t="inlineStr">
        <is>
          <t>PAC</t>
        </is>
      </c>
      <c r="E176" s="44">
        <f>IFERROR(VLOOKUP(C176,Assets!$A:$F,6,FALSE),0)</f>
        <v/>
      </c>
      <c r="F176" t="inlineStr">
        <is>
          <t>Auto</t>
        </is>
      </c>
      <c r="G176" s="44" t="n"/>
      <c r="H176" s="44">
        <f>IF(F176="No",0,IF(F176="Edited",IF(G176="",E176,G176),E176))</f>
        <v/>
      </c>
    </row>
    <row r="177">
      <c r="A177" s="41" t="n">
        <v>46753</v>
      </c>
      <c r="B177" s="32">
        <f>DATE(YEAR(A177),MONTH(A177),1)</f>
        <v/>
      </c>
      <c r="C177" t="inlineStr">
        <is>
          <t>Defence Tech</t>
        </is>
      </c>
      <c r="D177" t="inlineStr">
        <is>
          <t>PAC</t>
        </is>
      </c>
      <c r="E177" s="44">
        <f>IFERROR(VLOOKUP(C177,Assets!$A:$F,6,FALSE),0)</f>
        <v/>
      </c>
      <c r="F177" t="inlineStr">
        <is>
          <t>Auto</t>
        </is>
      </c>
      <c r="G177" s="44" t="n"/>
      <c r="H177" s="44">
        <f>IF(F177="No",0,IF(F177="Edited",IF(G177="",E177,G177),E177))</f>
        <v/>
      </c>
    </row>
    <row r="178">
      <c r="A178" s="41" t="n">
        <v>46784</v>
      </c>
      <c r="B178" s="32">
        <f>DATE(YEAR(A178),MONTH(A178),1)</f>
        <v/>
      </c>
      <c r="C178" t="inlineStr">
        <is>
          <t>Core MSCI World</t>
        </is>
      </c>
      <c r="D178" t="inlineStr">
        <is>
          <t>PAC</t>
        </is>
      </c>
      <c r="E178" s="44">
        <f>IFERROR(VLOOKUP(C178,Assets!$A:$F,6,FALSE),0)</f>
        <v/>
      </c>
      <c r="F178" t="inlineStr">
        <is>
          <t>Auto</t>
        </is>
      </c>
      <c r="G178" s="44" t="n"/>
      <c r="H178" s="44">
        <f>IF(F178="No",0,IF(F178="Edited",IF(G178="",E178,G178),E178))</f>
        <v/>
      </c>
    </row>
    <row r="179">
      <c r="A179" s="41" t="n">
        <v>46784</v>
      </c>
      <c r="B179" s="32">
        <f>DATE(YEAR(A179),MONTH(A179),1)</f>
        <v/>
      </c>
      <c r="C179" t="inlineStr">
        <is>
          <t>AI &amp; Big Data</t>
        </is>
      </c>
      <c r="D179" t="inlineStr">
        <is>
          <t>PAC</t>
        </is>
      </c>
      <c r="E179" s="44">
        <f>IFERROR(VLOOKUP(C179,Assets!$A:$F,6,FALSE),0)</f>
        <v/>
      </c>
      <c r="F179" t="inlineStr">
        <is>
          <t>Auto</t>
        </is>
      </c>
      <c r="G179" s="44" t="n"/>
      <c r="H179" s="44">
        <f>IF(F179="No",0,IF(F179="Edited",IF(G179="",E179,G179),E179))</f>
        <v/>
      </c>
    </row>
    <row r="180">
      <c r="A180" s="41" t="n">
        <v>46784</v>
      </c>
      <c r="B180" s="32">
        <f>DATE(YEAR(A180),MONTH(A180),1)</f>
        <v/>
      </c>
      <c r="C180" t="inlineStr">
        <is>
          <t>Physical Gold</t>
        </is>
      </c>
      <c r="D180" t="inlineStr">
        <is>
          <t>PAC</t>
        </is>
      </c>
      <c r="E180" s="44">
        <f>IFERROR(VLOOKUP(C180,Assets!$A:$F,6,FALSE),0)</f>
        <v/>
      </c>
      <c r="F180" t="inlineStr">
        <is>
          <t>Auto</t>
        </is>
      </c>
      <c r="G180" s="44" t="n"/>
      <c r="H180" s="44">
        <f>IF(F180="No",0,IF(F180="Edited",IF(G180="",E180,G180),E180))</f>
        <v/>
      </c>
    </row>
    <row r="181">
      <c r="A181" s="41" t="n">
        <v>46784</v>
      </c>
      <c r="B181" s="32">
        <f>DATE(YEAR(A181),MONTH(A181),1)</f>
        <v/>
      </c>
      <c r="C181" t="inlineStr">
        <is>
          <t>Global Gov Bond</t>
        </is>
      </c>
      <c r="D181" t="inlineStr">
        <is>
          <t>PAC</t>
        </is>
      </c>
      <c r="E181" s="44">
        <f>IFERROR(VLOOKUP(C181,Assets!$A:$F,6,FALSE),0)</f>
        <v/>
      </c>
      <c r="F181" t="inlineStr">
        <is>
          <t>Auto</t>
        </is>
      </c>
      <c r="G181" s="44" t="n"/>
      <c r="H181" s="44">
        <f>IF(F181="No",0,IF(F181="Edited",IF(G181="",E181,G181),E181))</f>
        <v/>
      </c>
    </row>
    <row r="182">
      <c r="A182" s="41" t="n">
        <v>46784</v>
      </c>
      <c r="B182" s="32">
        <f>DATE(YEAR(A182),MONTH(A182),1)</f>
        <v/>
      </c>
      <c r="C182" t="inlineStr">
        <is>
          <t>Core EUR Corp Bond</t>
        </is>
      </c>
      <c r="D182" t="inlineStr">
        <is>
          <t>PAC</t>
        </is>
      </c>
      <c r="E182" s="44">
        <f>IFERROR(VLOOKUP(C182,Assets!$A:$F,6,FALSE),0)</f>
        <v/>
      </c>
      <c r="F182" t="inlineStr">
        <is>
          <t>Auto</t>
        </is>
      </c>
      <c r="G182" s="44" t="n"/>
      <c r="H182" s="44">
        <f>IF(F182="No",0,IF(F182="Edited",IF(G182="",E182,G182),E182))</f>
        <v/>
      </c>
    </row>
    <row r="183">
      <c r="A183" s="41" t="n">
        <v>46784</v>
      </c>
      <c r="B183" s="32">
        <f>DATE(YEAR(A183),MONTH(A183),1)</f>
        <v/>
      </c>
      <c r="C183" t="inlineStr">
        <is>
          <t>MSCI World Value</t>
        </is>
      </c>
      <c r="D183" t="inlineStr">
        <is>
          <t>PAC</t>
        </is>
      </c>
      <c r="E183" s="44">
        <f>IFERROR(VLOOKUP(C183,Assets!$A:$F,6,FALSE),0)</f>
        <v/>
      </c>
      <c r="F183" t="inlineStr">
        <is>
          <t>Auto</t>
        </is>
      </c>
      <c r="G183" s="44" t="n"/>
      <c r="H183" s="44">
        <f>IF(F183="No",0,IF(F183="Edited",IF(G183="",E183,G183),E183))</f>
        <v/>
      </c>
    </row>
    <row r="184">
      <c r="A184" s="41" t="n">
        <v>46784</v>
      </c>
      <c r="B184" s="32">
        <f>DATE(YEAR(A184),MONTH(A184),1)</f>
        <v/>
      </c>
      <c r="C184" t="inlineStr">
        <is>
          <t>MSCI EM</t>
        </is>
      </c>
      <c r="D184" t="inlineStr">
        <is>
          <t>PAC</t>
        </is>
      </c>
      <c r="E184" s="44">
        <f>IFERROR(VLOOKUP(C184,Assets!$A:$F,6,FALSE),0)</f>
        <v/>
      </c>
      <c r="F184" t="inlineStr">
        <is>
          <t>Auto</t>
        </is>
      </c>
      <c r="G184" s="44" t="n"/>
      <c r="H184" s="44">
        <f>IF(F184="No",0,IF(F184="Edited",IF(G184="",E184,G184),E184))</f>
        <v/>
      </c>
    </row>
    <row r="185">
      <c r="A185" s="41" t="n">
        <v>46784</v>
      </c>
      <c r="B185" s="32">
        <f>DATE(YEAR(A185),MONTH(A185),1)</f>
        <v/>
      </c>
      <c r="C185" t="inlineStr">
        <is>
          <t>Defence Tech</t>
        </is>
      </c>
      <c r="D185" t="inlineStr">
        <is>
          <t>PAC</t>
        </is>
      </c>
      <c r="E185" s="44">
        <f>IFERROR(VLOOKUP(C185,Assets!$A:$F,6,FALSE),0)</f>
        <v/>
      </c>
      <c r="F185" t="inlineStr">
        <is>
          <t>Auto</t>
        </is>
      </c>
      <c r="G185" s="44" t="n"/>
      <c r="H185" s="44">
        <f>IF(F185="No",0,IF(F185="Edited",IF(G185="",E185,G185),E185))</f>
        <v/>
      </c>
    </row>
    <row r="186">
      <c r="A186" s="41" t="n">
        <v>46813</v>
      </c>
      <c r="B186" s="32">
        <f>DATE(YEAR(A186),MONTH(A186),1)</f>
        <v/>
      </c>
      <c r="C186" t="inlineStr">
        <is>
          <t>Core MSCI World</t>
        </is>
      </c>
      <c r="D186" t="inlineStr">
        <is>
          <t>PAC</t>
        </is>
      </c>
      <c r="E186" s="44">
        <f>IFERROR(VLOOKUP(C186,Assets!$A:$F,6,FALSE),0)</f>
        <v/>
      </c>
      <c r="F186" t="inlineStr">
        <is>
          <t>Auto</t>
        </is>
      </c>
      <c r="G186" s="44" t="n"/>
      <c r="H186" s="44">
        <f>IF(F186="No",0,IF(F186="Edited",IF(G186="",E186,G186),E186))</f>
        <v/>
      </c>
    </row>
    <row r="187">
      <c r="A187" s="41" t="n">
        <v>46813</v>
      </c>
      <c r="B187" s="32">
        <f>DATE(YEAR(A187),MONTH(A187),1)</f>
        <v/>
      </c>
      <c r="C187" t="inlineStr">
        <is>
          <t>AI &amp; Big Data</t>
        </is>
      </c>
      <c r="D187" t="inlineStr">
        <is>
          <t>PAC</t>
        </is>
      </c>
      <c r="E187" s="44">
        <f>IFERROR(VLOOKUP(C187,Assets!$A:$F,6,FALSE),0)</f>
        <v/>
      </c>
      <c r="F187" t="inlineStr">
        <is>
          <t>Auto</t>
        </is>
      </c>
      <c r="G187" s="44" t="n"/>
      <c r="H187" s="44">
        <f>IF(F187="No",0,IF(F187="Edited",IF(G187="",E187,G187),E187))</f>
        <v/>
      </c>
    </row>
    <row r="188">
      <c r="A188" s="41" t="n">
        <v>46813</v>
      </c>
      <c r="B188" s="32">
        <f>DATE(YEAR(A188),MONTH(A188),1)</f>
        <v/>
      </c>
      <c r="C188" t="inlineStr">
        <is>
          <t>Physical Gold</t>
        </is>
      </c>
      <c r="D188" t="inlineStr">
        <is>
          <t>PAC</t>
        </is>
      </c>
      <c r="E188" s="44">
        <f>IFERROR(VLOOKUP(C188,Assets!$A:$F,6,FALSE),0)</f>
        <v/>
      </c>
      <c r="F188" t="inlineStr">
        <is>
          <t>Auto</t>
        </is>
      </c>
      <c r="G188" s="44" t="n"/>
      <c r="H188" s="44">
        <f>IF(F188="No",0,IF(F188="Edited",IF(G188="",E188,G188),E188))</f>
        <v/>
      </c>
    </row>
    <row r="189">
      <c r="A189" s="41" t="n">
        <v>46813</v>
      </c>
      <c r="B189" s="32">
        <f>DATE(YEAR(A189),MONTH(A189),1)</f>
        <v/>
      </c>
      <c r="C189" t="inlineStr">
        <is>
          <t>Global Gov Bond</t>
        </is>
      </c>
      <c r="D189" t="inlineStr">
        <is>
          <t>PAC</t>
        </is>
      </c>
      <c r="E189" s="44">
        <f>IFERROR(VLOOKUP(C189,Assets!$A:$F,6,FALSE),0)</f>
        <v/>
      </c>
      <c r="F189" t="inlineStr">
        <is>
          <t>Auto</t>
        </is>
      </c>
      <c r="G189" s="44" t="n"/>
      <c r="H189" s="44">
        <f>IF(F189="No",0,IF(F189="Edited",IF(G189="",E189,G189),E189))</f>
        <v/>
      </c>
    </row>
    <row r="190">
      <c r="A190" s="41" t="n">
        <v>46813</v>
      </c>
      <c r="B190" s="32">
        <f>DATE(YEAR(A190),MONTH(A190),1)</f>
        <v/>
      </c>
      <c r="C190" t="inlineStr">
        <is>
          <t>Core EUR Corp Bond</t>
        </is>
      </c>
      <c r="D190" t="inlineStr">
        <is>
          <t>PAC</t>
        </is>
      </c>
      <c r="E190" s="44">
        <f>IFERROR(VLOOKUP(C190,Assets!$A:$F,6,FALSE),0)</f>
        <v/>
      </c>
      <c r="F190" t="inlineStr">
        <is>
          <t>Auto</t>
        </is>
      </c>
      <c r="G190" s="44" t="n"/>
      <c r="H190" s="44">
        <f>IF(F190="No",0,IF(F190="Edited",IF(G190="",E190,G190),E190))</f>
        <v/>
      </c>
    </row>
    <row r="191">
      <c r="A191" s="41" t="n">
        <v>46813</v>
      </c>
      <c r="B191" s="32">
        <f>DATE(YEAR(A191),MONTH(A191),1)</f>
        <v/>
      </c>
      <c r="C191" t="inlineStr">
        <is>
          <t>MSCI World Value</t>
        </is>
      </c>
      <c r="D191" t="inlineStr">
        <is>
          <t>PAC</t>
        </is>
      </c>
      <c r="E191" s="44">
        <f>IFERROR(VLOOKUP(C191,Assets!$A:$F,6,FALSE),0)</f>
        <v/>
      </c>
      <c r="F191" t="inlineStr">
        <is>
          <t>Auto</t>
        </is>
      </c>
      <c r="G191" s="44" t="n"/>
      <c r="H191" s="44">
        <f>IF(F191="No",0,IF(F191="Edited",IF(G191="",E191,G191),E191))</f>
        <v/>
      </c>
    </row>
    <row r="192">
      <c r="A192" s="41" t="n">
        <v>46813</v>
      </c>
      <c r="B192" s="32">
        <f>DATE(YEAR(A192),MONTH(A192),1)</f>
        <v/>
      </c>
      <c r="C192" t="inlineStr">
        <is>
          <t>MSCI EM</t>
        </is>
      </c>
      <c r="D192" t="inlineStr">
        <is>
          <t>PAC</t>
        </is>
      </c>
      <c r="E192" s="44">
        <f>IFERROR(VLOOKUP(C192,Assets!$A:$F,6,FALSE),0)</f>
        <v/>
      </c>
      <c r="F192" t="inlineStr">
        <is>
          <t>Auto</t>
        </is>
      </c>
      <c r="G192" s="44" t="n"/>
      <c r="H192" s="44">
        <f>IF(F192="No",0,IF(F192="Edited",IF(G192="",E192,G192),E192))</f>
        <v/>
      </c>
    </row>
    <row r="193">
      <c r="A193" s="41" t="n">
        <v>46813</v>
      </c>
      <c r="B193" s="32">
        <f>DATE(YEAR(A193),MONTH(A193),1)</f>
        <v/>
      </c>
      <c r="C193" t="inlineStr">
        <is>
          <t>Defence Tech</t>
        </is>
      </c>
      <c r="D193" t="inlineStr">
        <is>
          <t>PAC</t>
        </is>
      </c>
      <c r="E193" s="44">
        <f>IFERROR(VLOOKUP(C193,Assets!$A:$F,6,FALSE),0)</f>
        <v/>
      </c>
      <c r="F193" t="inlineStr">
        <is>
          <t>Auto</t>
        </is>
      </c>
      <c r="G193" s="44" t="n"/>
      <c r="H193" s="44">
        <f>IF(F193="No",0,IF(F193="Edited",IF(G193="",E193,G193),E193))</f>
        <v/>
      </c>
    </row>
    <row r="194">
      <c r="A194" s="41" t="n">
        <v>46844</v>
      </c>
      <c r="B194" s="32">
        <f>DATE(YEAR(A194),MONTH(A194),1)</f>
        <v/>
      </c>
      <c r="C194" t="inlineStr">
        <is>
          <t>Core MSCI World</t>
        </is>
      </c>
      <c r="D194" t="inlineStr">
        <is>
          <t>PAC</t>
        </is>
      </c>
      <c r="E194" s="44">
        <f>IFERROR(VLOOKUP(C194,Assets!$A:$F,6,FALSE),0)</f>
        <v/>
      </c>
      <c r="F194" t="inlineStr">
        <is>
          <t>Auto</t>
        </is>
      </c>
      <c r="G194" s="44" t="n"/>
      <c r="H194" s="44">
        <f>IF(F194="No",0,IF(F194="Edited",IF(G194="",E194,G194),E194))</f>
        <v/>
      </c>
    </row>
    <row r="195">
      <c r="A195" s="41" t="n">
        <v>46844</v>
      </c>
      <c r="B195" s="32">
        <f>DATE(YEAR(A195),MONTH(A195),1)</f>
        <v/>
      </c>
      <c r="C195" t="inlineStr">
        <is>
          <t>AI &amp; Big Data</t>
        </is>
      </c>
      <c r="D195" t="inlineStr">
        <is>
          <t>PAC</t>
        </is>
      </c>
      <c r="E195" s="44">
        <f>IFERROR(VLOOKUP(C195,Assets!$A:$F,6,FALSE),0)</f>
        <v/>
      </c>
      <c r="F195" t="inlineStr">
        <is>
          <t>Auto</t>
        </is>
      </c>
      <c r="G195" s="44" t="n"/>
      <c r="H195" s="44">
        <f>IF(F195="No",0,IF(F195="Edited",IF(G195="",E195,G195),E195))</f>
        <v/>
      </c>
    </row>
    <row r="196">
      <c r="A196" s="41" t="n">
        <v>46844</v>
      </c>
      <c r="B196" s="32">
        <f>DATE(YEAR(A196),MONTH(A196),1)</f>
        <v/>
      </c>
      <c r="C196" t="inlineStr">
        <is>
          <t>Physical Gold</t>
        </is>
      </c>
      <c r="D196" t="inlineStr">
        <is>
          <t>PAC</t>
        </is>
      </c>
      <c r="E196" s="44">
        <f>IFERROR(VLOOKUP(C196,Assets!$A:$F,6,FALSE),0)</f>
        <v/>
      </c>
      <c r="F196" t="inlineStr">
        <is>
          <t>Auto</t>
        </is>
      </c>
      <c r="G196" s="44" t="n"/>
      <c r="H196" s="44">
        <f>IF(F196="No",0,IF(F196="Edited",IF(G196="",E196,G196),E196))</f>
        <v/>
      </c>
    </row>
    <row r="197">
      <c r="A197" s="41" t="n">
        <v>46844</v>
      </c>
      <c r="B197" s="32">
        <f>DATE(YEAR(A197),MONTH(A197),1)</f>
        <v/>
      </c>
      <c r="C197" t="inlineStr">
        <is>
          <t>Global Gov Bond</t>
        </is>
      </c>
      <c r="D197" t="inlineStr">
        <is>
          <t>PAC</t>
        </is>
      </c>
      <c r="E197" s="44">
        <f>IFERROR(VLOOKUP(C197,Assets!$A:$F,6,FALSE),0)</f>
        <v/>
      </c>
      <c r="F197" t="inlineStr">
        <is>
          <t>Auto</t>
        </is>
      </c>
      <c r="G197" s="44" t="n"/>
      <c r="H197" s="44">
        <f>IF(F197="No",0,IF(F197="Edited",IF(G197="",E197,G197),E197))</f>
        <v/>
      </c>
    </row>
    <row r="198">
      <c r="A198" s="41" t="n">
        <v>46844</v>
      </c>
      <c r="B198" s="32">
        <f>DATE(YEAR(A198),MONTH(A198),1)</f>
        <v/>
      </c>
      <c r="C198" t="inlineStr">
        <is>
          <t>Core EUR Corp Bond</t>
        </is>
      </c>
      <c r="D198" t="inlineStr">
        <is>
          <t>PAC</t>
        </is>
      </c>
      <c r="E198" s="44">
        <f>IFERROR(VLOOKUP(C198,Assets!$A:$F,6,FALSE),0)</f>
        <v/>
      </c>
      <c r="F198" t="inlineStr">
        <is>
          <t>Auto</t>
        </is>
      </c>
      <c r="G198" s="44" t="n"/>
      <c r="H198" s="44">
        <f>IF(F198="No",0,IF(F198="Edited",IF(G198="",E198,G198),E198))</f>
        <v/>
      </c>
    </row>
    <row r="199">
      <c r="A199" s="41" t="n">
        <v>46844</v>
      </c>
      <c r="B199" s="32">
        <f>DATE(YEAR(A199),MONTH(A199),1)</f>
        <v/>
      </c>
      <c r="C199" t="inlineStr">
        <is>
          <t>MSCI World Value</t>
        </is>
      </c>
      <c r="D199" t="inlineStr">
        <is>
          <t>PAC</t>
        </is>
      </c>
      <c r="E199" s="44">
        <f>IFERROR(VLOOKUP(C199,Assets!$A:$F,6,FALSE),0)</f>
        <v/>
      </c>
      <c r="F199" t="inlineStr">
        <is>
          <t>Auto</t>
        </is>
      </c>
      <c r="G199" s="44" t="n"/>
      <c r="H199" s="44">
        <f>IF(F199="No",0,IF(F199="Edited",IF(G199="",E199,G199),E199))</f>
        <v/>
      </c>
    </row>
    <row r="200">
      <c r="A200" s="41" t="n">
        <v>46844</v>
      </c>
      <c r="B200" s="32">
        <f>DATE(YEAR(A200),MONTH(A200),1)</f>
        <v/>
      </c>
      <c r="C200" t="inlineStr">
        <is>
          <t>MSCI EM</t>
        </is>
      </c>
      <c r="D200" t="inlineStr">
        <is>
          <t>PAC</t>
        </is>
      </c>
      <c r="E200" s="44">
        <f>IFERROR(VLOOKUP(C200,Assets!$A:$F,6,FALSE),0)</f>
        <v/>
      </c>
      <c r="F200" t="inlineStr">
        <is>
          <t>Auto</t>
        </is>
      </c>
      <c r="G200" s="44" t="n"/>
      <c r="H200" s="44">
        <f>IF(F200="No",0,IF(F200="Edited",IF(G200="",E200,G200),E200))</f>
        <v/>
      </c>
    </row>
    <row r="201">
      <c r="A201" s="41" t="n">
        <v>46844</v>
      </c>
      <c r="B201" s="32">
        <f>DATE(YEAR(A201),MONTH(A201),1)</f>
        <v/>
      </c>
      <c r="C201" t="inlineStr">
        <is>
          <t>Defence Tech</t>
        </is>
      </c>
      <c r="D201" t="inlineStr">
        <is>
          <t>PAC</t>
        </is>
      </c>
      <c r="E201" s="44">
        <f>IFERROR(VLOOKUP(C201,Assets!$A:$F,6,FALSE),0)</f>
        <v/>
      </c>
      <c r="F201" t="inlineStr">
        <is>
          <t>Auto</t>
        </is>
      </c>
      <c r="G201" s="44" t="n"/>
      <c r="H201" s="44">
        <f>IF(F201="No",0,IF(F201="Edited",IF(G201="",E201,G201),E201))</f>
        <v/>
      </c>
    </row>
    <row r="202">
      <c r="A202" s="41" t="n">
        <v>46874</v>
      </c>
      <c r="B202" s="32">
        <f>DATE(YEAR(A202),MONTH(A202),1)</f>
        <v/>
      </c>
      <c r="C202" t="inlineStr">
        <is>
          <t>Core MSCI World</t>
        </is>
      </c>
      <c r="D202" t="inlineStr">
        <is>
          <t>PAC</t>
        </is>
      </c>
      <c r="E202" s="44">
        <f>IFERROR(VLOOKUP(C202,Assets!$A:$F,6,FALSE),0)</f>
        <v/>
      </c>
      <c r="F202" t="inlineStr">
        <is>
          <t>Auto</t>
        </is>
      </c>
      <c r="G202" s="44" t="n"/>
      <c r="H202" s="44">
        <f>IF(F202="No",0,IF(F202="Edited",IF(G202="",E202,G202),E202))</f>
        <v/>
      </c>
    </row>
    <row r="203">
      <c r="A203" s="41" t="n">
        <v>46874</v>
      </c>
      <c r="B203" s="32">
        <f>DATE(YEAR(A203),MONTH(A203),1)</f>
        <v/>
      </c>
      <c r="C203" t="inlineStr">
        <is>
          <t>AI &amp; Big Data</t>
        </is>
      </c>
      <c r="D203" t="inlineStr">
        <is>
          <t>PAC</t>
        </is>
      </c>
      <c r="E203" s="44">
        <f>IFERROR(VLOOKUP(C203,Assets!$A:$F,6,FALSE),0)</f>
        <v/>
      </c>
      <c r="F203" t="inlineStr">
        <is>
          <t>Auto</t>
        </is>
      </c>
      <c r="G203" s="44" t="n"/>
      <c r="H203" s="44">
        <f>IF(F203="No",0,IF(F203="Edited",IF(G203="",E203,G203),E203))</f>
        <v/>
      </c>
    </row>
    <row r="204">
      <c r="A204" s="41" t="n">
        <v>46874</v>
      </c>
      <c r="B204" s="32">
        <f>DATE(YEAR(A204),MONTH(A204),1)</f>
        <v/>
      </c>
      <c r="C204" t="inlineStr">
        <is>
          <t>Physical Gold</t>
        </is>
      </c>
      <c r="D204" t="inlineStr">
        <is>
          <t>PAC</t>
        </is>
      </c>
      <c r="E204" s="44">
        <f>IFERROR(VLOOKUP(C204,Assets!$A:$F,6,FALSE),0)</f>
        <v/>
      </c>
      <c r="F204" t="inlineStr">
        <is>
          <t>Auto</t>
        </is>
      </c>
      <c r="G204" s="44" t="n"/>
      <c r="H204" s="44">
        <f>IF(F204="No",0,IF(F204="Edited",IF(G204="",E204,G204),E204))</f>
        <v/>
      </c>
    </row>
    <row r="205">
      <c r="A205" s="41" t="n">
        <v>46874</v>
      </c>
      <c r="B205" s="32">
        <f>DATE(YEAR(A205),MONTH(A205),1)</f>
        <v/>
      </c>
      <c r="C205" t="inlineStr">
        <is>
          <t>Global Gov Bond</t>
        </is>
      </c>
      <c r="D205" t="inlineStr">
        <is>
          <t>PAC</t>
        </is>
      </c>
      <c r="E205" s="44">
        <f>IFERROR(VLOOKUP(C205,Assets!$A:$F,6,FALSE),0)</f>
        <v/>
      </c>
      <c r="F205" t="inlineStr">
        <is>
          <t>Auto</t>
        </is>
      </c>
      <c r="G205" s="44" t="n"/>
      <c r="H205" s="44">
        <f>IF(F205="No",0,IF(F205="Edited",IF(G205="",E205,G205),E205))</f>
        <v/>
      </c>
    </row>
    <row r="206">
      <c r="A206" s="41" t="n">
        <v>46874</v>
      </c>
      <c r="B206" s="32">
        <f>DATE(YEAR(A206),MONTH(A206),1)</f>
        <v/>
      </c>
      <c r="C206" t="inlineStr">
        <is>
          <t>Core EUR Corp Bond</t>
        </is>
      </c>
      <c r="D206" t="inlineStr">
        <is>
          <t>PAC</t>
        </is>
      </c>
      <c r="E206" s="44">
        <f>IFERROR(VLOOKUP(C206,Assets!$A:$F,6,FALSE),0)</f>
        <v/>
      </c>
      <c r="F206" t="inlineStr">
        <is>
          <t>Auto</t>
        </is>
      </c>
      <c r="G206" s="44" t="n"/>
      <c r="H206" s="44">
        <f>IF(F206="No",0,IF(F206="Edited",IF(G206="",E206,G206),E206))</f>
        <v/>
      </c>
    </row>
    <row r="207">
      <c r="A207" s="41" t="n">
        <v>46874</v>
      </c>
      <c r="B207" s="32">
        <f>DATE(YEAR(A207),MONTH(A207),1)</f>
        <v/>
      </c>
      <c r="C207" t="inlineStr">
        <is>
          <t>MSCI World Value</t>
        </is>
      </c>
      <c r="D207" t="inlineStr">
        <is>
          <t>PAC</t>
        </is>
      </c>
      <c r="E207" s="44">
        <f>IFERROR(VLOOKUP(C207,Assets!$A:$F,6,FALSE),0)</f>
        <v/>
      </c>
      <c r="F207" t="inlineStr">
        <is>
          <t>Auto</t>
        </is>
      </c>
      <c r="G207" s="44" t="n"/>
      <c r="H207" s="44">
        <f>IF(F207="No",0,IF(F207="Edited",IF(G207="",E207,G207),E207))</f>
        <v/>
      </c>
    </row>
    <row r="208">
      <c r="A208" s="41" t="n">
        <v>46874</v>
      </c>
      <c r="B208" s="32">
        <f>DATE(YEAR(A208),MONTH(A208),1)</f>
        <v/>
      </c>
      <c r="C208" t="inlineStr">
        <is>
          <t>MSCI EM</t>
        </is>
      </c>
      <c r="D208" t="inlineStr">
        <is>
          <t>PAC</t>
        </is>
      </c>
      <c r="E208" s="44">
        <f>IFERROR(VLOOKUP(C208,Assets!$A:$F,6,FALSE),0)</f>
        <v/>
      </c>
      <c r="F208" t="inlineStr">
        <is>
          <t>Auto</t>
        </is>
      </c>
      <c r="G208" s="44" t="n"/>
      <c r="H208" s="44">
        <f>IF(F208="No",0,IF(F208="Edited",IF(G208="",E208,G208),E208))</f>
        <v/>
      </c>
    </row>
    <row r="209">
      <c r="A209" s="41" t="n">
        <v>46874</v>
      </c>
      <c r="B209" s="32">
        <f>DATE(YEAR(A209),MONTH(A209),1)</f>
        <v/>
      </c>
      <c r="C209" t="inlineStr">
        <is>
          <t>Defence Tech</t>
        </is>
      </c>
      <c r="D209" t="inlineStr">
        <is>
          <t>PAC</t>
        </is>
      </c>
      <c r="E209" s="44">
        <f>IFERROR(VLOOKUP(C209,Assets!$A:$F,6,FALSE),0)</f>
        <v/>
      </c>
      <c r="F209" t="inlineStr">
        <is>
          <t>Auto</t>
        </is>
      </c>
      <c r="G209" s="44" t="n"/>
      <c r="H209" s="44">
        <f>IF(F209="No",0,IF(F209="Edited",IF(G209="",E209,G209),E209))</f>
        <v/>
      </c>
    </row>
    <row r="210">
      <c r="A210" s="41" t="n">
        <v>46905</v>
      </c>
      <c r="B210" s="32">
        <f>DATE(YEAR(A210),MONTH(A210),1)</f>
        <v/>
      </c>
      <c r="C210" t="inlineStr">
        <is>
          <t>Core MSCI World</t>
        </is>
      </c>
      <c r="D210" t="inlineStr">
        <is>
          <t>PAC</t>
        </is>
      </c>
      <c r="E210" s="44">
        <f>IFERROR(VLOOKUP(C210,Assets!$A:$F,6,FALSE),0)</f>
        <v/>
      </c>
      <c r="F210" t="inlineStr">
        <is>
          <t>Auto</t>
        </is>
      </c>
      <c r="G210" s="44" t="n"/>
      <c r="H210" s="44">
        <f>IF(F210="No",0,IF(F210="Edited",IF(G210="",E210,G210),E210))</f>
        <v/>
      </c>
    </row>
    <row r="211">
      <c r="A211" s="41" t="n">
        <v>46905</v>
      </c>
      <c r="B211" s="32">
        <f>DATE(YEAR(A211),MONTH(A211),1)</f>
        <v/>
      </c>
      <c r="C211" t="inlineStr">
        <is>
          <t>AI &amp; Big Data</t>
        </is>
      </c>
      <c r="D211" t="inlineStr">
        <is>
          <t>PAC</t>
        </is>
      </c>
      <c r="E211" s="44">
        <f>IFERROR(VLOOKUP(C211,Assets!$A:$F,6,FALSE),0)</f>
        <v/>
      </c>
      <c r="F211" t="inlineStr">
        <is>
          <t>Auto</t>
        </is>
      </c>
      <c r="G211" s="44" t="n"/>
      <c r="H211" s="44">
        <f>IF(F211="No",0,IF(F211="Edited",IF(G211="",E211,G211),E211))</f>
        <v/>
      </c>
    </row>
    <row r="212">
      <c r="A212" s="41" t="n">
        <v>46905</v>
      </c>
      <c r="B212" s="32">
        <f>DATE(YEAR(A212),MONTH(A212),1)</f>
        <v/>
      </c>
      <c r="C212" t="inlineStr">
        <is>
          <t>Physical Gold</t>
        </is>
      </c>
      <c r="D212" t="inlineStr">
        <is>
          <t>PAC</t>
        </is>
      </c>
      <c r="E212" s="44">
        <f>IFERROR(VLOOKUP(C212,Assets!$A:$F,6,FALSE),0)</f>
        <v/>
      </c>
      <c r="F212" t="inlineStr">
        <is>
          <t>Auto</t>
        </is>
      </c>
      <c r="G212" s="44" t="n"/>
      <c r="H212" s="44">
        <f>IF(F212="No",0,IF(F212="Edited",IF(G212="",E212,G212),E212))</f>
        <v/>
      </c>
    </row>
    <row r="213">
      <c r="A213" s="41" t="n">
        <v>46905</v>
      </c>
      <c r="B213" s="32">
        <f>DATE(YEAR(A213),MONTH(A213),1)</f>
        <v/>
      </c>
      <c r="C213" t="inlineStr">
        <is>
          <t>Global Gov Bond</t>
        </is>
      </c>
      <c r="D213" t="inlineStr">
        <is>
          <t>PAC</t>
        </is>
      </c>
      <c r="E213" s="44">
        <f>IFERROR(VLOOKUP(C213,Assets!$A:$F,6,FALSE),0)</f>
        <v/>
      </c>
      <c r="F213" t="inlineStr">
        <is>
          <t>Auto</t>
        </is>
      </c>
      <c r="G213" s="44" t="n"/>
      <c r="H213" s="44">
        <f>IF(F213="No",0,IF(F213="Edited",IF(G213="",E213,G213),E213))</f>
        <v/>
      </c>
    </row>
    <row r="214">
      <c r="A214" s="41" t="n">
        <v>46905</v>
      </c>
      <c r="B214" s="32">
        <f>DATE(YEAR(A214),MONTH(A214),1)</f>
        <v/>
      </c>
      <c r="C214" t="inlineStr">
        <is>
          <t>Core EUR Corp Bond</t>
        </is>
      </c>
      <c r="D214" t="inlineStr">
        <is>
          <t>PAC</t>
        </is>
      </c>
      <c r="E214" s="44">
        <f>IFERROR(VLOOKUP(C214,Assets!$A:$F,6,FALSE),0)</f>
        <v/>
      </c>
      <c r="F214" t="inlineStr">
        <is>
          <t>Auto</t>
        </is>
      </c>
      <c r="G214" s="44" t="n"/>
      <c r="H214" s="44">
        <f>IF(F214="No",0,IF(F214="Edited",IF(G214="",E214,G214),E214))</f>
        <v/>
      </c>
    </row>
    <row r="215">
      <c r="A215" s="41" t="n">
        <v>46905</v>
      </c>
      <c r="B215" s="32">
        <f>DATE(YEAR(A215),MONTH(A215),1)</f>
        <v/>
      </c>
      <c r="C215" t="inlineStr">
        <is>
          <t>MSCI World Value</t>
        </is>
      </c>
      <c r="D215" t="inlineStr">
        <is>
          <t>PAC</t>
        </is>
      </c>
      <c r="E215" s="44">
        <f>IFERROR(VLOOKUP(C215,Assets!$A:$F,6,FALSE),0)</f>
        <v/>
      </c>
      <c r="F215" t="inlineStr">
        <is>
          <t>Auto</t>
        </is>
      </c>
      <c r="G215" s="44" t="n"/>
      <c r="H215" s="44">
        <f>IF(F215="No",0,IF(F215="Edited",IF(G215="",E215,G215),E215))</f>
        <v/>
      </c>
    </row>
    <row r="216">
      <c r="A216" s="41" t="n">
        <v>46905</v>
      </c>
      <c r="B216" s="32">
        <f>DATE(YEAR(A216),MONTH(A216),1)</f>
        <v/>
      </c>
      <c r="C216" t="inlineStr">
        <is>
          <t>MSCI EM</t>
        </is>
      </c>
      <c r="D216" t="inlineStr">
        <is>
          <t>PAC</t>
        </is>
      </c>
      <c r="E216" s="44">
        <f>IFERROR(VLOOKUP(C216,Assets!$A:$F,6,FALSE),0)</f>
        <v/>
      </c>
      <c r="F216" t="inlineStr">
        <is>
          <t>Auto</t>
        </is>
      </c>
      <c r="G216" s="44" t="n"/>
      <c r="H216" s="44">
        <f>IF(F216="No",0,IF(F216="Edited",IF(G216="",E216,G216),E216))</f>
        <v/>
      </c>
    </row>
    <row r="217">
      <c r="A217" s="41" t="n">
        <v>46905</v>
      </c>
      <c r="B217" s="32">
        <f>DATE(YEAR(A217),MONTH(A217),1)</f>
        <v/>
      </c>
      <c r="C217" t="inlineStr">
        <is>
          <t>Defence Tech</t>
        </is>
      </c>
      <c r="D217" t="inlineStr">
        <is>
          <t>PAC</t>
        </is>
      </c>
      <c r="E217" s="44">
        <f>IFERROR(VLOOKUP(C217,Assets!$A:$F,6,FALSE),0)</f>
        <v/>
      </c>
      <c r="F217" t="inlineStr">
        <is>
          <t>Auto</t>
        </is>
      </c>
      <c r="G217" s="44" t="n"/>
      <c r="H217" s="44">
        <f>IF(F217="No",0,IF(F217="Edited",IF(G217="",E217,G217),E217))</f>
        <v/>
      </c>
    </row>
    <row r="218">
      <c r="A218" s="41" t="n">
        <v>46935</v>
      </c>
      <c r="B218" s="32">
        <f>DATE(YEAR(A218),MONTH(A218),1)</f>
        <v/>
      </c>
      <c r="C218" t="inlineStr">
        <is>
          <t>Core MSCI World</t>
        </is>
      </c>
      <c r="D218" t="inlineStr">
        <is>
          <t>PAC</t>
        </is>
      </c>
      <c r="E218" s="44">
        <f>IFERROR(VLOOKUP(C218,Assets!$A:$F,6,FALSE),0)</f>
        <v/>
      </c>
      <c r="F218" t="inlineStr">
        <is>
          <t>Auto</t>
        </is>
      </c>
      <c r="G218" s="44" t="n"/>
      <c r="H218" s="44">
        <f>IF(F218="No",0,IF(F218="Edited",IF(G218="",E218,G218),E218))</f>
        <v/>
      </c>
    </row>
    <row r="219">
      <c r="A219" s="41" t="n">
        <v>46935</v>
      </c>
      <c r="B219" s="32">
        <f>DATE(YEAR(A219),MONTH(A219),1)</f>
        <v/>
      </c>
      <c r="C219" t="inlineStr">
        <is>
          <t>AI &amp; Big Data</t>
        </is>
      </c>
      <c r="D219" t="inlineStr">
        <is>
          <t>PAC</t>
        </is>
      </c>
      <c r="E219" s="44">
        <f>IFERROR(VLOOKUP(C219,Assets!$A:$F,6,FALSE),0)</f>
        <v/>
      </c>
      <c r="F219" t="inlineStr">
        <is>
          <t>Auto</t>
        </is>
      </c>
      <c r="G219" s="44" t="n"/>
      <c r="H219" s="44">
        <f>IF(F219="No",0,IF(F219="Edited",IF(G219="",E219,G219),E219))</f>
        <v/>
      </c>
    </row>
    <row r="220">
      <c r="A220" s="41" t="n">
        <v>46935</v>
      </c>
      <c r="B220" s="32">
        <f>DATE(YEAR(A220),MONTH(A220),1)</f>
        <v/>
      </c>
      <c r="C220" t="inlineStr">
        <is>
          <t>Physical Gold</t>
        </is>
      </c>
      <c r="D220" t="inlineStr">
        <is>
          <t>PAC</t>
        </is>
      </c>
      <c r="E220" s="44">
        <f>IFERROR(VLOOKUP(C220,Assets!$A:$F,6,FALSE),0)</f>
        <v/>
      </c>
      <c r="F220" t="inlineStr">
        <is>
          <t>Auto</t>
        </is>
      </c>
      <c r="G220" s="44" t="n"/>
      <c r="H220" s="44">
        <f>IF(F220="No",0,IF(F220="Edited",IF(G220="",E220,G220),E220))</f>
        <v/>
      </c>
    </row>
    <row r="221">
      <c r="A221" s="41" t="n">
        <v>46935</v>
      </c>
      <c r="B221" s="32">
        <f>DATE(YEAR(A221),MONTH(A221),1)</f>
        <v/>
      </c>
      <c r="C221" t="inlineStr">
        <is>
          <t>Global Gov Bond</t>
        </is>
      </c>
      <c r="D221" t="inlineStr">
        <is>
          <t>PAC</t>
        </is>
      </c>
      <c r="E221" s="44">
        <f>IFERROR(VLOOKUP(C221,Assets!$A:$F,6,FALSE),0)</f>
        <v/>
      </c>
      <c r="F221" t="inlineStr">
        <is>
          <t>Auto</t>
        </is>
      </c>
      <c r="G221" s="44" t="n"/>
      <c r="H221" s="44">
        <f>IF(F221="No",0,IF(F221="Edited",IF(G221="",E221,G221),E221))</f>
        <v/>
      </c>
    </row>
    <row r="222">
      <c r="A222" s="41" t="n">
        <v>46935</v>
      </c>
      <c r="B222" s="32">
        <f>DATE(YEAR(A222),MONTH(A222),1)</f>
        <v/>
      </c>
      <c r="C222" t="inlineStr">
        <is>
          <t>Core EUR Corp Bond</t>
        </is>
      </c>
      <c r="D222" t="inlineStr">
        <is>
          <t>PAC</t>
        </is>
      </c>
      <c r="E222" s="44">
        <f>IFERROR(VLOOKUP(C222,Assets!$A:$F,6,FALSE),0)</f>
        <v/>
      </c>
      <c r="F222" t="inlineStr">
        <is>
          <t>Auto</t>
        </is>
      </c>
      <c r="G222" s="44" t="n"/>
      <c r="H222" s="44">
        <f>IF(F222="No",0,IF(F222="Edited",IF(G222="",E222,G222),E222))</f>
        <v/>
      </c>
    </row>
    <row r="223">
      <c r="A223" s="41" t="n">
        <v>46935</v>
      </c>
      <c r="B223" s="32">
        <f>DATE(YEAR(A223),MONTH(A223),1)</f>
        <v/>
      </c>
      <c r="C223" t="inlineStr">
        <is>
          <t>MSCI World Value</t>
        </is>
      </c>
      <c r="D223" t="inlineStr">
        <is>
          <t>PAC</t>
        </is>
      </c>
      <c r="E223" s="44">
        <f>IFERROR(VLOOKUP(C223,Assets!$A:$F,6,FALSE),0)</f>
        <v/>
      </c>
      <c r="F223" t="inlineStr">
        <is>
          <t>Auto</t>
        </is>
      </c>
      <c r="G223" s="44" t="n"/>
      <c r="H223" s="44">
        <f>IF(F223="No",0,IF(F223="Edited",IF(G223="",E223,G223),E223))</f>
        <v/>
      </c>
    </row>
    <row r="224">
      <c r="A224" s="41" t="n">
        <v>46935</v>
      </c>
      <c r="B224" s="32">
        <f>DATE(YEAR(A224),MONTH(A224),1)</f>
        <v/>
      </c>
      <c r="C224" t="inlineStr">
        <is>
          <t>MSCI EM</t>
        </is>
      </c>
      <c r="D224" t="inlineStr">
        <is>
          <t>PAC</t>
        </is>
      </c>
      <c r="E224" s="44">
        <f>IFERROR(VLOOKUP(C224,Assets!$A:$F,6,FALSE),0)</f>
        <v/>
      </c>
      <c r="F224" t="inlineStr">
        <is>
          <t>Auto</t>
        </is>
      </c>
      <c r="G224" s="44" t="n"/>
      <c r="H224" s="44">
        <f>IF(F224="No",0,IF(F224="Edited",IF(G224="",E224,G224),E224))</f>
        <v/>
      </c>
    </row>
    <row r="225">
      <c r="A225" s="41" t="n">
        <v>46935</v>
      </c>
      <c r="B225" s="32">
        <f>DATE(YEAR(A225),MONTH(A225),1)</f>
        <v/>
      </c>
      <c r="C225" t="inlineStr">
        <is>
          <t>Defence Tech</t>
        </is>
      </c>
      <c r="D225" t="inlineStr">
        <is>
          <t>PAC</t>
        </is>
      </c>
      <c r="E225" s="44">
        <f>IFERROR(VLOOKUP(C225,Assets!$A:$F,6,FALSE),0)</f>
        <v/>
      </c>
      <c r="F225" t="inlineStr">
        <is>
          <t>Auto</t>
        </is>
      </c>
      <c r="G225" s="44" t="n"/>
      <c r="H225" s="44">
        <f>IF(F225="No",0,IF(F225="Edited",IF(G225="",E225,G225),E225))</f>
        <v/>
      </c>
    </row>
    <row r="226">
      <c r="A226" s="41" t="n">
        <v>46966</v>
      </c>
      <c r="B226" s="32">
        <f>DATE(YEAR(A226),MONTH(A226),1)</f>
        <v/>
      </c>
      <c r="C226" t="inlineStr">
        <is>
          <t>Core MSCI World</t>
        </is>
      </c>
      <c r="D226" t="inlineStr">
        <is>
          <t>PAC</t>
        </is>
      </c>
      <c r="E226" s="44">
        <f>IFERROR(VLOOKUP(C226,Assets!$A:$F,6,FALSE),0)</f>
        <v/>
      </c>
      <c r="F226" t="inlineStr">
        <is>
          <t>Auto</t>
        </is>
      </c>
      <c r="G226" s="44" t="n"/>
      <c r="H226" s="44">
        <f>IF(F226="No",0,IF(F226="Edited",IF(G226="",E226,G226),E226))</f>
        <v/>
      </c>
    </row>
    <row r="227">
      <c r="A227" s="41" t="n">
        <v>46966</v>
      </c>
      <c r="B227" s="32">
        <f>DATE(YEAR(A227),MONTH(A227),1)</f>
        <v/>
      </c>
      <c r="C227" t="inlineStr">
        <is>
          <t>AI &amp; Big Data</t>
        </is>
      </c>
      <c r="D227" t="inlineStr">
        <is>
          <t>PAC</t>
        </is>
      </c>
      <c r="E227" s="44">
        <f>IFERROR(VLOOKUP(C227,Assets!$A:$F,6,FALSE),0)</f>
        <v/>
      </c>
      <c r="F227" t="inlineStr">
        <is>
          <t>Auto</t>
        </is>
      </c>
      <c r="G227" s="44" t="n"/>
      <c r="H227" s="44">
        <f>IF(F227="No",0,IF(F227="Edited",IF(G227="",E227,G227),E227))</f>
        <v/>
      </c>
    </row>
    <row r="228">
      <c r="A228" s="41" t="n">
        <v>46966</v>
      </c>
      <c r="B228" s="32">
        <f>DATE(YEAR(A228),MONTH(A228),1)</f>
        <v/>
      </c>
      <c r="C228" t="inlineStr">
        <is>
          <t>Physical Gold</t>
        </is>
      </c>
      <c r="D228" t="inlineStr">
        <is>
          <t>PAC</t>
        </is>
      </c>
      <c r="E228" s="44">
        <f>IFERROR(VLOOKUP(C228,Assets!$A:$F,6,FALSE),0)</f>
        <v/>
      </c>
      <c r="F228" t="inlineStr">
        <is>
          <t>Auto</t>
        </is>
      </c>
      <c r="G228" s="44" t="n"/>
      <c r="H228" s="44">
        <f>IF(F228="No",0,IF(F228="Edited",IF(G228="",E228,G228),E228))</f>
        <v/>
      </c>
    </row>
    <row r="229">
      <c r="A229" s="41" t="n">
        <v>46966</v>
      </c>
      <c r="B229" s="32">
        <f>DATE(YEAR(A229),MONTH(A229),1)</f>
        <v/>
      </c>
      <c r="C229" t="inlineStr">
        <is>
          <t>Global Gov Bond</t>
        </is>
      </c>
      <c r="D229" t="inlineStr">
        <is>
          <t>PAC</t>
        </is>
      </c>
      <c r="E229" s="44">
        <f>IFERROR(VLOOKUP(C229,Assets!$A:$F,6,FALSE),0)</f>
        <v/>
      </c>
      <c r="F229" t="inlineStr">
        <is>
          <t>Auto</t>
        </is>
      </c>
      <c r="G229" s="44" t="n"/>
      <c r="H229" s="44">
        <f>IF(F229="No",0,IF(F229="Edited",IF(G229="",E229,G229),E229))</f>
        <v/>
      </c>
    </row>
    <row r="230">
      <c r="A230" s="41" t="n">
        <v>46966</v>
      </c>
      <c r="B230" s="32">
        <f>DATE(YEAR(A230),MONTH(A230),1)</f>
        <v/>
      </c>
      <c r="C230" t="inlineStr">
        <is>
          <t>Core EUR Corp Bond</t>
        </is>
      </c>
      <c r="D230" t="inlineStr">
        <is>
          <t>PAC</t>
        </is>
      </c>
      <c r="E230" s="44">
        <f>IFERROR(VLOOKUP(C230,Assets!$A:$F,6,FALSE),0)</f>
        <v/>
      </c>
      <c r="F230" t="inlineStr">
        <is>
          <t>Auto</t>
        </is>
      </c>
      <c r="G230" s="44" t="n"/>
      <c r="H230" s="44">
        <f>IF(F230="No",0,IF(F230="Edited",IF(G230="",E230,G230),E230))</f>
        <v/>
      </c>
    </row>
    <row r="231">
      <c r="A231" s="41" t="n">
        <v>46966</v>
      </c>
      <c r="B231" s="32">
        <f>DATE(YEAR(A231),MONTH(A231),1)</f>
        <v/>
      </c>
      <c r="C231" t="inlineStr">
        <is>
          <t>MSCI World Value</t>
        </is>
      </c>
      <c r="D231" t="inlineStr">
        <is>
          <t>PAC</t>
        </is>
      </c>
      <c r="E231" s="44">
        <f>IFERROR(VLOOKUP(C231,Assets!$A:$F,6,FALSE),0)</f>
        <v/>
      </c>
      <c r="F231" t="inlineStr">
        <is>
          <t>Auto</t>
        </is>
      </c>
      <c r="G231" s="44" t="n"/>
      <c r="H231" s="44">
        <f>IF(F231="No",0,IF(F231="Edited",IF(G231="",E231,G231),E231))</f>
        <v/>
      </c>
    </row>
    <row r="232">
      <c r="A232" s="41" t="n">
        <v>46966</v>
      </c>
      <c r="B232" s="32">
        <f>DATE(YEAR(A232),MONTH(A232),1)</f>
        <v/>
      </c>
      <c r="C232" t="inlineStr">
        <is>
          <t>MSCI EM</t>
        </is>
      </c>
      <c r="D232" t="inlineStr">
        <is>
          <t>PAC</t>
        </is>
      </c>
      <c r="E232" s="44">
        <f>IFERROR(VLOOKUP(C232,Assets!$A:$F,6,FALSE),0)</f>
        <v/>
      </c>
      <c r="F232" t="inlineStr">
        <is>
          <t>Auto</t>
        </is>
      </c>
      <c r="G232" s="44" t="n"/>
      <c r="H232" s="44">
        <f>IF(F232="No",0,IF(F232="Edited",IF(G232="",E232,G232),E232))</f>
        <v/>
      </c>
    </row>
    <row r="233">
      <c r="A233" s="41" t="n">
        <v>46966</v>
      </c>
      <c r="B233" s="32">
        <f>DATE(YEAR(A233),MONTH(A233),1)</f>
        <v/>
      </c>
      <c r="C233" t="inlineStr">
        <is>
          <t>Defence Tech</t>
        </is>
      </c>
      <c r="D233" t="inlineStr">
        <is>
          <t>PAC</t>
        </is>
      </c>
      <c r="E233" s="44">
        <f>IFERROR(VLOOKUP(C233,Assets!$A:$F,6,FALSE),0)</f>
        <v/>
      </c>
      <c r="F233" t="inlineStr">
        <is>
          <t>Auto</t>
        </is>
      </c>
      <c r="G233" s="44" t="n"/>
      <c r="H233" s="44">
        <f>IF(F233="No",0,IF(F233="Edited",IF(G233="",E233,G233),E233))</f>
        <v/>
      </c>
    </row>
    <row r="234">
      <c r="A234" s="41" t="n">
        <v>46997</v>
      </c>
      <c r="B234" s="32">
        <f>DATE(YEAR(A234),MONTH(A234),1)</f>
        <v/>
      </c>
      <c r="C234" t="inlineStr">
        <is>
          <t>Core MSCI World</t>
        </is>
      </c>
      <c r="D234" t="inlineStr">
        <is>
          <t>PAC</t>
        </is>
      </c>
      <c r="E234" s="44">
        <f>IFERROR(VLOOKUP(C234,Assets!$A:$F,6,FALSE),0)</f>
        <v/>
      </c>
      <c r="F234" t="inlineStr">
        <is>
          <t>Auto</t>
        </is>
      </c>
      <c r="G234" s="44" t="n"/>
      <c r="H234" s="44">
        <f>IF(F234="No",0,IF(F234="Edited",IF(G234="",E234,G234),E234))</f>
        <v/>
      </c>
    </row>
    <row r="235">
      <c r="A235" s="41" t="n">
        <v>46997</v>
      </c>
      <c r="B235" s="32">
        <f>DATE(YEAR(A235),MONTH(A235),1)</f>
        <v/>
      </c>
      <c r="C235" t="inlineStr">
        <is>
          <t>AI &amp; Big Data</t>
        </is>
      </c>
      <c r="D235" t="inlineStr">
        <is>
          <t>PAC</t>
        </is>
      </c>
      <c r="E235" s="44">
        <f>IFERROR(VLOOKUP(C235,Assets!$A:$F,6,FALSE),0)</f>
        <v/>
      </c>
      <c r="F235" t="inlineStr">
        <is>
          <t>Auto</t>
        </is>
      </c>
      <c r="G235" s="44" t="n"/>
      <c r="H235" s="44">
        <f>IF(F235="No",0,IF(F235="Edited",IF(G235="",E235,G235),E235))</f>
        <v/>
      </c>
    </row>
    <row r="236">
      <c r="A236" s="41" t="n">
        <v>46997</v>
      </c>
      <c r="B236" s="32">
        <f>DATE(YEAR(A236),MONTH(A236),1)</f>
        <v/>
      </c>
      <c r="C236" t="inlineStr">
        <is>
          <t>Physical Gold</t>
        </is>
      </c>
      <c r="D236" t="inlineStr">
        <is>
          <t>PAC</t>
        </is>
      </c>
      <c r="E236" s="44">
        <f>IFERROR(VLOOKUP(C236,Assets!$A:$F,6,FALSE),0)</f>
        <v/>
      </c>
      <c r="F236" t="inlineStr">
        <is>
          <t>Auto</t>
        </is>
      </c>
      <c r="G236" s="44" t="n"/>
      <c r="H236" s="44">
        <f>IF(F236="No",0,IF(F236="Edited",IF(G236="",E236,G236),E236))</f>
        <v/>
      </c>
    </row>
    <row r="237">
      <c r="A237" s="41" t="n">
        <v>46997</v>
      </c>
      <c r="B237" s="32">
        <f>DATE(YEAR(A237),MONTH(A237),1)</f>
        <v/>
      </c>
      <c r="C237" t="inlineStr">
        <is>
          <t>Global Gov Bond</t>
        </is>
      </c>
      <c r="D237" t="inlineStr">
        <is>
          <t>PAC</t>
        </is>
      </c>
      <c r="E237" s="44">
        <f>IFERROR(VLOOKUP(C237,Assets!$A:$F,6,FALSE),0)</f>
        <v/>
      </c>
      <c r="F237" t="inlineStr">
        <is>
          <t>Auto</t>
        </is>
      </c>
      <c r="G237" s="44" t="n"/>
      <c r="H237" s="44">
        <f>IF(F237="No",0,IF(F237="Edited",IF(G237="",E237,G237),E237))</f>
        <v/>
      </c>
    </row>
    <row r="238">
      <c r="A238" s="41" t="n">
        <v>46997</v>
      </c>
      <c r="B238" s="32">
        <f>DATE(YEAR(A238),MONTH(A238),1)</f>
        <v/>
      </c>
      <c r="C238" t="inlineStr">
        <is>
          <t>Core EUR Corp Bond</t>
        </is>
      </c>
      <c r="D238" t="inlineStr">
        <is>
          <t>PAC</t>
        </is>
      </c>
      <c r="E238" s="44">
        <f>IFERROR(VLOOKUP(C238,Assets!$A:$F,6,FALSE),0)</f>
        <v/>
      </c>
      <c r="F238" t="inlineStr">
        <is>
          <t>Auto</t>
        </is>
      </c>
      <c r="G238" s="44" t="n"/>
      <c r="H238" s="44">
        <f>IF(F238="No",0,IF(F238="Edited",IF(G238="",E238,G238),E238))</f>
        <v/>
      </c>
    </row>
    <row r="239">
      <c r="A239" s="41" t="n">
        <v>46997</v>
      </c>
      <c r="B239" s="32">
        <f>DATE(YEAR(A239),MONTH(A239),1)</f>
        <v/>
      </c>
      <c r="C239" t="inlineStr">
        <is>
          <t>MSCI World Value</t>
        </is>
      </c>
      <c r="D239" t="inlineStr">
        <is>
          <t>PAC</t>
        </is>
      </c>
      <c r="E239" s="44">
        <f>IFERROR(VLOOKUP(C239,Assets!$A:$F,6,FALSE),0)</f>
        <v/>
      </c>
      <c r="F239" t="inlineStr">
        <is>
          <t>Auto</t>
        </is>
      </c>
      <c r="G239" s="44" t="n"/>
      <c r="H239" s="44">
        <f>IF(F239="No",0,IF(F239="Edited",IF(G239="",E239,G239),E239))</f>
        <v/>
      </c>
    </row>
    <row r="240">
      <c r="A240" s="41" t="n">
        <v>46997</v>
      </c>
      <c r="B240" s="32">
        <f>DATE(YEAR(A240),MONTH(A240),1)</f>
        <v/>
      </c>
      <c r="C240" t="inlineStr">
        <is>
          <t>MSCI EM</t>
        </is>
      </c>
      <c r="D240" t="inlineStr">
        <is>
          <t>PAC</t>
        </is>
      </c>
      <c r="E240" s="44">
        <f>IFERROR(VLOOKUP(C240,Assets!$A:$F,6,FALSE),0)</f>
        <v/>
      </c>
      <c r="F240" t="inlineStr">
        <is>
          <t>Auto</t>
        </is>
      </c>
      <c r="G240" s="44" t="n"/>
      <c r="H240" s="44">
        <f>IF(F240="No",0,IF(F240="Edited",IF(G240="",E240,G240),E240))</f>
        <v/>
      </c>
    </row>
    <row r="241">
      <c r="A241" s="41" t="n">
        <v>46997</v>
      </c>
      <c r="B241" s="32">
        <f>DATE(YEAR(A241),MONTH(A241),1)</f>
        <v/>
      </c>
      <c r="C241" t="inlineStr">
        <is>
          <t>Defence Tech</t>
        </is>
      </c>
      <c r="D241" t="inlineStr">
        <is>
          <t>PAC</t>
        </is>
      </c>
      <c r="E241" s="44">
        <f>IFERROR(VLOOKUP(C241,Assets!$A:$F,6,FALSE),0)</f>
        <v/>
      </c>
      <c r="F241" t="inlineStr">
        <is>
          <t>Auto</t>
        </is>
      </c>
      <c r="G241" s="44" t="n"/>
      <c r="H241" s="44">
        <f>IF(F241="No",0,IF(F241="Edited",IF(G241="",E241,G241),E241))</f>
        <v/>
      </c>
    </row>
    <row r="242">
      <c r="A242" s="41" t="n">
        <v>47027</v>
      </c>
      <c r="B242" s="32">
        <f>DATE(YEAR(A242),MONTH(A242),1)</f>
        <v/>
      </c>
      <c r="C242" t="inlineStr">
        <is>
          <t>Core MSCI World</t>
        </is>
      </c>
      <c r="D242" t="inlineStr">
        <is>
          <t>PAC</t>
        </is>
      </c>
      <c r="E242" s="44">
        <f>IFERROR(VLOOKUP(C242,Assets!$A:$F,6,FALSE),0)</f>
        <v/>
      </c>
      <c r="F242" t="inlineStr">
        <is>
          <t>Auto</t>
        </is>
      </c>
      <c r="G242" s="44" t="n"/>
      <c r="H242" s="44">
        <f>IF(F242="No",0,IF(F242="Edited",IF(G242="",E242,G242),E242))</f>
        <v/>
      </c>
    </row>
    <row r="243">
      <c r="A243" s="41" t="n">
        <v>47027</v>
      </c>
      <c r="B243" s="32">
        <f>DATE(YEAR(A243),MONTH(A243),1)</f>
        <v/>
      </c>
      <c r="C243" t="inlineStr">
        <is>
          <t>AI &amp; Big Data</t>
        </is>
      </c>
      <c r="D243" t="inlineStr">
        <is>
          <t>PAC</t>
        </is>
      </c>
      <c r="E243" s="44">
        <f>IFERROR(VLOOKUP(C243,Assets!$A:$F,6,FALSE),0)</f>
        <v/>
      </c>
      <c r="F243" t="inlineStr">
        <is>
          <t>Auto</t>
        </is>
      </c>
      <c r="G243" s="44" t="n"/>
      <c r="H243" s="44">
        <f>IF(F243="No",0,IF(F243="Edited",IF(G243="",E243,G243),E243))</f>
        <v/>
      </c>
    </row>
    <row r="244">
      <c r="A244" s="41" t="n">
        <v>47027</v>
      </c>
      <c r="B244" s="32">
        <f>DATE(YEAR(A244),MONTH(A244),1)</f>
        <v/>
      </c>
      <c r="C244" t="inlineStr">
        <is>
          <t>Physical Gold</t>
        </is>
      </c>
      <c r="D244" t="inlineStr">
        <is>
          <t>PAC</t>
        </is>
      </c>
      <c r="E244" s="44">
        <f>IFERROR(VLOOKUP(C244,Assets!$A:$F,6,FALSE),0)</f>
        <v/>
      </c>
      <c r="F244" t="inlineStr">
        <is>
          <t>Auto</t>
        </is>
      </c>
      <c r="G244" s="44" t="n"/>
      <c r="H244" s="44">
        <f>IF(F244="No",0,IF(F244="Edited",IF(G244="",E244,G244),E244))</f>
        <v/>
      </c>
    </row>
    <row r="245">
      <c r="A245" s="41" t="n">
        <v>47027</v>
      </c>
      <c r="B245" s="32">
        <f>DATE(YEAR(A245),MONTH(A245),1)</f>
        <v/>
      </c>
      <c r="C245" t="inlineStr">
        <is>
          <t>Global Gov Bond</t>
        </is>
      </c>
      <c r="D245" t="inlineStr">
        <is>
          <t>PAC</t>
        </is>
      </c>
      <c r="E245" s="44">
        <f>IFERROR(VLOOKUP(C245,Assets!$A:$F,6,FALSE),0)</f>
        <v/>
      </c>
      <c r="F245" t="inlineStr">
        <is>
          <t>Auto</t>
        </is>
      </c>
      <c r="G245" s="44" t="n"/>
      <c r="H245" s="44">
        <f>IF(F245="No",0,IF(F245="Edited",IF(G245="",E245,G245),E245))</f>
        <v/>
      </c>
    </row>
    <row r="246">
      <c r="A246" s="41" t="n">
        <v>47027</v>
      </c>
      <c r="B246" s="32">
        <f>DATE(YEAR(A246),MONTH(A246),1)</f>
        <v/>
      </c>
      <c r="C246" t="inlineStr">
        <is>
          <t>Core EUR Corp Bond</t>
        </is>
      </c>
      <c r="D246" t="inlineStr">
        <is>
          <t>PAC</t>
        </is>
      </c>
      <c r="E246" s="44">
        <f>IFERROR(VLOOKUP(C246,Assets!$A:$F,6,FALSE),0)</f>
        <v/>
      </c>
      <c r="F246" t="inlineStr">
        <is>
          <t>Auto</t>
        </is>
      </c>
      <c r="G246" s="44" t="n"/>
      <c r="H246" s="44">
        <f>IF(F246="No",0,IF(F246="Edited",IF(G246="",E246,G246),E246))</f>
        <v/>
      </c>
    </row>
    <row r="247">
      <c r="A247" s="41" t="n">
        <v>47027</v>
      </c>
      <c r="B247" s="32">
        <f>DATE(YEAR(A247),MONTH(A247),1)</f>
        <v/>
      </c>
      <c r="C247" t="inlineStr">
        <is>
          <t>MSCI World Value</t>
        </is>
      </c>
      <c r="D247" t="inlineStr">
        <is>
          <t>PAC</t>
        </is>
      </c>
      <c r="E247" s="44">
        <f>IFERROR(VLOOKUP(C247,Assets!$A:$F,6,FALSE),0)</f>
        <v/>
      </c>
      <c r="F247" t="inlineStr">
        <is>
          <t>Auto</t>
        </is>
      </c>
      <c r="G247" s="44" t="n"/>
      <c r="H247" s="44">
        <f>IF(F247="No",0,IF(F247="Edited",IF(G247="",E247,G247),E247))</f>
        <v/>
      </c>
    </row>
    <row r="248">
      <c r="A248" s="41" t="n">
        <v>47027</v>
      </c>
      <c r="B248" s="32">
        <f>DATE(YEAR(A248),MONTH(A248),1)</f>
        <v/>
      </c>
      <c r="C248" t="inlineStr">
        <is>
          <t>MSCI EM</t>
        </is>
      </c>
      <c r="D248" t="inlineStr">
        <is>
          <t>PAC</t>
        </is>
      </c>
      <c r="E248" s="44">
        <f>IFERROR(VLOOKUP(C248,Assets!$A:$F,6,FALSE),0)</f>
        <v/>
      </c>
      <c r="F248" t="inlineStr">
        <is>
          <t>Auto</t>
        </is>
      </c>
      <c r="G248" s="44" t="n"/>
      <c r="H248" s="44">
        <f>IF(F248="No",0,IF(F248="Edited",IF(G248="",E248,G248),E248))</f>
        <v/>
      </c>
    </row>
    <row r="249">
      <c r="A249" s="41" t="n">
        <v>47027</v>
      </c>
      <c r="B249" s="32">
        <f>DATE(YEAR(A249),MONTH(A249),1)</f>
        <v/>
      </c>
      <c r="C249" t="inlineStr">
        <is>
          <t>Defence Tech</t>
        </is>
      </c>
      <c r="D249" t="inlineStr">
        <is>
          <t>PAC</t>
        </is>
      </c>
      <c r="E249" s="44">
        <f>IFERROR(VLOOKUP(C249,Assets!$A:$F,6,FALSE),0)</f>
        <v/>
      </c>
      <c r="F249" t="inlineStr">
        <is>
          <t>Auto</t>
        </is>
      </c>
      <c r="G249" s="44" t="n"/>
      <c r="H249" s="44">
        <f>IF(F249="No",0,IF(F249="Edited",IF(G249="",E249,G249),E249))</f>
        <v/>
      </c>
    </row>
    <row r="250">
      <c r="A250" s="41" t="n">
        <v>47058</v>
      </c>
      <c r="B250" s="32">
        <f>DATE(YEAR(A250),MONTH(A250),1)</f>
        <v/>
      </c>
      <c r="C250" t="inlineStr">
        <is>
          <t>Core MSCI World</t>
        </is>
      </c>
      <c r="D250" t="inlineStr">
        <is>
          <t>PAC</t>
        </is>
      </c>
      <c r="E250" s="44">
        <f>IFERROR(VLOOKUP(C250,Assets!$A:$F,6,FALSE),0)</f>
        <v/>
      </c>
      <c r="F250" t="inlineStr">
        <is>
          <t>Auto</t>
        </is>
      </c>
      <c r="G250" s="44" t="n"/>
      <c r="H250" s="44">
        <f>IF(F250="No",0,IF(F250="Edited",IF(G250="",E250,G250),E250))</f>
        <v/>
      </c>
    </row>
    <row r="251">
      <c r="A251" s="41" t="n">
        <v>47058</v>
      </c>
      <c r="B251" s="32">
        <f>DATE(YEAR(A251),MONTH(A251),1)</f>
        <v/>
      </c>
      <c r="C251" t="inlineStr">
        <is>
          <t>AI &amp; Big Data</t>
        </is>
      </c>
      <c r="D251" t="inlineStr">
        <is>
          <t>PAC</t>
        </is>
      </c>
      <c r="E251" s="44">
        <f>IFERROR(VLOOKUP(C251,Assets!$A:$F,6,FALSE),0)</f>
        <v/>
      </c>
      <c r="F251" t="inlineStr">
        <is>
          <t>Auto</t>
        </is>
      </c>
      <c r="G251" s="44" t="n"/>
      <c r="H251" s="44">
        <f>IF(F251="No",0,IF(F251="Edited",IF(G251="",E251,G251),E251))</f>
        <v/>
      </c>
    </row>
    <row r="252">
      <c r="A252" s="41" t="n">
        <v>47058</v>
      </c>
      <c r="B252" s="32">
        <f>DATE(YEAR(A252),MONTH(A252),1)</f>
        <v/>
      </c>
      <c r="C252" t="inlineStr">
        <is>
          <t>Physical Gold</t>
        </is>
      </c>
      <c r="D252" t="inlineStr">
        <is>
          <t>PAC</t>
        </is>
      </c>
      <c r="E252" s="44">
        <f>IFERROR(VLOOKUP(C252,Assets!$A:$F,6,FALSE),0)</f>
        <v/>
      </c>
      <c r="F252" t="inlineStr">
        <is>
          <t>Auto</t>
        </is>
      </c>
      <c r="G252" s="44" t="n"/>
      <c r="H252" s="44">
        <f>IF(F252="No",0,IF(F252="Edited",IF(G252="",E252,G252),E252))</f>
        <v/>
      </c>
    </row>
    <row r="253">
      <c r="A253" s="41" t="n">
        <v>47058</v>
      </c>
      <c r="B253" s="32">
        <f>DATE(YEAR(A253),MONTH(A253),1)</f>
        <v/>
      </c>
      <c r="C253" t="inlineStr">
        <is>
          <t>Global Gov Bond</t>
        </is>
      </c>
      <c r="D253" t="inlineStr">
        <is>
          <t>PAC</t>
        </is>
      </c>
      <c r="E253" s="44">
        <f>IFERROR(VLOOKUP(C253,Assets!$A:$F,6,FALSE),0)</f>
        <v/>
      </c>
      <c r="F253" t="inlineStr">
        <is>
          <t>Auto</t>
        </is>
      </c>
      <c r="G253" s="44" t="n"/>
      <c r="H253" s="44">
        <f>IF(F253="No",0,IF(F253="Edited",IF(G253="",E253,G253),E253))</f>
        <v/>
      </c>
    </row>
    <row r="254">
      <c r="A254" s="41" t="n">
        <v>47058</v>
      </c>
      <c r="B254" s="32">
        <f>DATE(YEAR(A254),MONTH(A254),1)</f>
        <v/>
      </c>
      <c r="C254" t="inlineStr">
        <is>
          <t>Core EUR Corp Bond</t>
        </is>
      </c>
      <c r="D254" t="inlineStr">
        <is>
          <t>PAC</t>
        </is>
      </c>
      <c r="E254" s="44">
        <f>IFERROR(VLOOKUP(C254,Assets!$A:$F,6,FALSE),0)</f>
        <v/>
      </c>
      <c r="F254" t="inlineStr">
        <is>
          <t>Auto</t>
        </is>
      </c>
      <c r="G254" s="44" t="n"/>
      <c r="H254" s="44">
        <f>IF(F254="No",0,IF(F254="Edited",IF(G254="",E254,G254),E254))</f>
        <v/>
      </c>
    </row>
    <row r="255">
      <c r="A255" s="41" t="n">
        <v>47058</v>
      </c>
      <c r="B255" s="32">
        <f>DATE(YEAR(A255),MONTH(A255),1)</f>
        <v/>
      </c>
      <c r="C255" t="inlineStr">
        <is>
          <t>MSCI World Value</t>
        </is>
      </c>
      <c r="D255" t="inlineStr">
        <is>
          <t>PAC</t>
        </is>
      </c>
      <c r="E255" s="44">
        <f>IFERROR(VLOOKUP(C255,Assets!$A:$F,6,FALSE),0)</f>
        <v/>
      </c>
      <c r="F255" t="inlineStr">
        <is>
          <t>Auto</t>
        </is>
      </c>
      <c r="G255" s="44" t="n"/>
      <c r="H255" s="44">
        <f>IF(F255="No",0,IF(F255="Edited",IF(G255="",E255,G255),E255))</f>
        <v/>
      </c>
    </row>
    <row r="256">
      <c r="A256" s="41" t="n">
        <v>47058</v>
      </c>
      <c r="B256" s="32">
        <f>DATE(YEAR(A256),MONTH(A256),1)</f>
        <v/>
      </c>
      <c r="C256" t="inlineStr">
        <is>
          <t>MSCI EM</t>
        </is>
      </c>
      <c r="D256" t="inlineStr">
        <is>
          <t>PAC</t>
        </is>
      </c>
      <c r="E256" s="44">
        <f>IFERROR(VLOOKUP(C256,Assets!$A:$F,6,FALSE),0)</f>
        <v/>
      </c>
      <c r="F256" t="inlineStr">
        <is>
          <t>Auto</t>
        </is>
      </c>
      <c r="G256" s="44" t="n"/>
      <c r="H256" s="44">
        <f>IF(F256="No",0,IF(F256="Edited",IF(G256="",E256,G256),E256))</f>
        <v/>
      </c>
    </row>
    <row r="257">
      <c r="A257" s="41" t="n">
        <v>47058</v>
      </c>
      <c r="B257" s="32">
        <f>DATE(YEAR(A257),MONTH(A257),1)</f>
        <v/>
      </c>
      <c r="C257" t="inlineStr">
        <is>
          <t>Defence Tech</t>
        </is>
      </c>
      <c r="D257" t="inlineStr">
        <is>
          <t>PAC</t>
        </is>
      </c>
      <c r="E257" s="44">
        <f>IFERROR(VLOOKUP(C257,Assets!$A:$F,6,FALSE),0)</f>
        <v/>
      </c>
      <c r="F257" t="inlineStr">
        <is>
          <t>Auto</t>
        </is>
      </c>
      <c r="G257" s="44" t="n"/>
      <c r="H257" s="44">
        <f>IF(F257="No",0,IF(F257="Edited",IF(G257="",E257,G257),E257))</f>
        <v/>
      </c>
    </row>
    <row r="258">
      <c r="A258" s="41" t="n">
        <v>47088</v>
      </c>
      <c r="B258" s="32">
        <f>DATE(YEAR(A258),MONTH(A258),1)</f>
        <v/>
      </c>
      <c r="C258" t="inlineStr">
        <is>
          <t>Core MSCI World</t>
        </is>
      </c>
      <c r="D258" t="inlineStr">
        <is>
          <t>PAC</t>
        </is>
      </c>
      <c r="E258" s="44">
        <f>IFERROR(VLOOKUP(C258,Assets!$A:$F,6,FALSE),0)</f>
        <v/>
      </c>
      <c r="F258" t="inlineStr">
        <is>
          <t>Auto</t>
        </is>
      </c>
      <c r="G258" s="44" t="n"/>
      <c r="H258" s="44">
        <f>IF(F258="No",0,IF(F258="Edited",IF(G258="",E258,G258),E258))</f>
        <v/>
      </c>
    </row>
    <row r="259">
      <c r="A259" s="41" t="n">
        <v>47088</v>
      </c>
      <c r="B259" s="32">
        <f>DATE(YEAR(A259),MONTH(A259),1)</f>
        <v/>
      </c>
      <c r="C259" t="inlineStr">
        <is>
          <t>AI &amp; Big Data</t>
        </is>
      </c>
      <c r="D259" t="inlineStr">
        <is>
          <t>PAC</t>
        </is>
      </c>
      <c r="E259" s="44">
        <f>IFERROR(VLOOKUP(C259,Assets!$A:$F,6,FALSE),0)</f>
        <v/>
      </c>
      <c r="F259" t="inlineStr">
        <is>
          <t>Auto</t>
        </is>
      </c>
      <c r="G259" s="44" t="n"/>
      <c r="H259" s="44">
        <f>IF(F259="No",0,IF(F259="Edited",IF(G259="",E259,G259),E259))</f>
        <v/>
      </c>
    </row>
    <row r="260">
      <c r="A260" s="41" t="n">
        <v>47088</v>
      </c>
      <c r="B260" s="32">
        <f>DATE(YEAR(A260),MONTH(A260),1)</f>
        <v/>
      </c>
      <c r="C260" t="inlineStr">
        <is>
          <t>Physical Gold</t>
        </is>
      </c>
      <c r="D260" t="inlineStr">
        <is>
          <t>PAC</t>
        </is>
      </c>
      <c r="E260" s="44">
        <f>IFERROR(VLOOKUP(C260,Assets!$A:$F,6,FALSE),0)</f>
        <v/>
      </c>
      <c r="F260" t="inlineStr">
        <is>
          <t>Auto</t>
        </is>
      </c>
      <c r="G260" s="44" t="n"/>
      <c r="H260" s="44">
        <f>IF(F260="No",0,IF(F260="Edited",IF(G260="",E260,G260),E260))</f>
        <v/>
      </c>
    </row>
    <row r="261">
      <c r="A261" s="41" t="n">
        <v>47088</v>
      </c>
      <c r="B261" s="32">
        <f>DATE(YEAR(A261),MONTH(A261),1)</f>
        <v/>
      </c>
      <c r="C261" t="inlineStr">
        <is>
          <t>Global Gov Bond</t>
        </is>
      </c>
      <c r="D261" t="inlineStr">
        <is>
          <t>PAC</t>
        </is>
      </c>
      <c r="E261" s="44">
        <f>IFERROR(VLOOKUP(C261,Assets!$A:$F,6,FALSE),0)</f>
        <v/>
      </c>
      <c r="F261" t="inlineStr">
        <is>
          <t>Auto</t>
        </is>
      </c>
      <c r="G261" s="44" t="n"/>
      <c r="H261" s="44">
        <f>IF(F261="No",0,IF(F261="Edited",IF(G261="",E261,G261),E261))</f>
        <v/>
      </c>
    </row>
    <row r="262">
      <c r="A262" s="41" t="n">
        <v>47088</v>
      </c>
      <c r="B262" s="32">
        <f>DATE(YEAR(A262),MONTH(A262),1)</f>
        <v/>
      </c>
      <c r="C262" t="inlineStr">
        <is>
          <t>Core EUR Corp Bond</t>
        </is>
      </c>
      <c r="D262" t="inlineStr">
        <is>
          <t>PAC</t>
        </is>
      </c>
      <c r="E262" s="44">
        <f>IFERROR(VLOOKUP(C262,Assets!$A:$F,6,FALSE),0)</f>
        <v/>
      </c>
      <c r="F262" t="inlineStr">
        <is>
          <t>Auto</t>
        </is>
      </c>
      <c r="G262" s="44" t="n"/>
      <c r="H262" s="44">
        <f>IF(F262="No",0,IF(F262="Edited",IF(G262="",E262,G262),E262))</f>
        <v/>
      </c>
    </row>
    <row r="263">
      <c r="A263" s="41" t="n">
        <v>47088</v>
      </c>
      <c r="B263" s="32">
        <f>DATE(YEAR(A263),MONTH(A263),1)</f>
        <v/>
      </c>
      <c r="C263" t="inlineStr">
        <is>
          <t>MSCI World Value</t>
        </is>
      </c>
      <c r="D263" t="inlineStr">
        <is>
          <t>PAC</t>
        </is>
      </c>
      <c r="E263" s="44">
        <f>IFERROR(VLOOKUP(C263,Assets!$A:$F,6,FALSE),0)</f>
        <v/>
      </c>
      <c r="F263" t="inlineStr">
        <is>
          <t>Auto</t>
        </is>
      </c>
      <c r="G263" s="44" t="n"/>
      <c r="H263" s="44">
        <f>IF(F263="No",0,IF(F263="Edited",IF(G263="",E263,G263),E263))</f>
        <v/>
      </c>
    </row>
    <row r="264">
      <c r="A264" s="41" t="n">
        <v>47088</v>
      </c>
      <c r="B264" s="32">
        <f>DATE(YEAR(A264),MONTH(A264),1)</f>
        <v/>
      </c>
      <c r="C264" t="inlineStr">
        <is>
          <t>MSCI EM</t>
        </is>
      </c>
      <c r="D264" t="inlineStr">
        <is>
          <t>PAC</t>
        </is>
      </c>
      <c r="E264" s="44">
        <f>IFERROR(VLOOKUP(C264,Assets!$A:$F,6,FALSE),0)</f>
        <v/>
      </c>
      <c r="F264" t="inlineStr">
        <is>
          <t>Auto</t>
        </is>
      </c>
      <c r="G264" s="44" t="n"/>
      <c r="H264" s="44">
        <f>IF(F264="No",0,IF(F264="Edited",IF(G264="",E264,G264),E264))</f>
        <v/>
      </c>
    </row>
    <row r="265">
      <c r="A265" s="41" t="n">
        <v>47088</v>
      </c>
      <c r="B265" s="32">
        <f>DATE(YEAR(A265),MONTH(A265),1)</f>
        <v/>
      </c>
      <c r="C265" t="inlineStr">
        <is>
          <t>Defence Tech</t>
        </is>
      </c>
      <c r="D265" t="inlineStr">
        <is>
          <t>PAC</t>
        </is>
      </c>
      <c r="E265" s="44">
        <f>IFERROR(VLOOKUP(C265,Assets!$A:$F,6,FALSE),0)</f>
        <v/>
      </c>
      <c r="F265" t="inlineStr">
        <is>
          <t>Auto</t>
        </is>
      </c>
      <c r="G265" s="44" t="n"/>
      <c r="H265" s="44">
        <f>IF(F265="No",0,IF(F265="Edited",IF(G265="",E265,G265),E265))</f>
        <v/>
      </c>
    </row>
    <row r="266">
      <c r="A266" s="41" t="n">
        <v>47119</v>
      </c>
      <c r="B266" s="32">
        <f>DATE(YEAR(A266),MONTH(A266),1)</f>
        <v/>
      </c>
      <c r="C266" t="inlineStr">
        <is>
          <t>Core MSCI World</t>
        </is>
      </c>
      <c r="D266" t="inlineStr">
        <is>
          <t>PAC</t>
        </is>
      </c>
      <c r="E266" s="44">
        <f>IFERROR(VLOOKUP(C266,Assets!$A:$F,6,FALSE),0)</f>
        <v/>
      </c>
      <c r="F266" t="inlineStr">
        <is>
          <t>Auto</t>
        </is>
      </c>
      <c r="G266" s="44" t="n"/>
      <c r="H266" s="44">
        <f>IF(F266="No",0,IF(F266="Edited",IF(G266="",E266,G266),E266))</f>
        <v/>
      </c>
    </row>
    <row r="267">
      <c r="A267" s="41" t="n">
        <v>47119</v>
      </c>
      <c r="B267" s="32">
        <f>DATE(YEAR(A267),MONTH(A267),1)</f>
        <v/>
      </c>
      <c r="C267" t="inlineStr">
        <is>
          <t>AI &amp; Big Data</t>
        </is>
      </c>
      <c r="D267" t="inlineStr">
        <is>
          <t>PAC</t>
        </is>
      </c>
      <c r="E267" s="44">
        <f>IFERROR(VLOOKUP(C267,Assets!$A:$F,6,FALSE),0)</f>
        <v/>
      </c>
      <c r="F267" t="inlineStr">
        <is>
          <t>Auto</t>
        </is>
      </c>
      <c r="G267" s="44" t="n"/>
      <c r="H267" s="44">
        <f>IF(F267="No",0,IF(F267="Edited",IF(G267="",E267,G267),E267))</f>
        <v/>
      </c>
    </row>
    <row r="268">
      <c r="A268" s="41" t="n">
        <v>47119</v>
      </c>
      <c r="B268" s="32">
        <f>DATE(YEAR(A268),MONTH(A268),1)</f>
        <v/>
      </c>
      <c r="C268" t="inlineStr">
        <is>
          <t>Physical Gold</t>
        </is>
      </c>
      <c r="D268" t="inlineStr">
        <is>
          <t>PAC</t>
        </is>
      </c>
      <c r="E268" s="44">
        <f>IFERROR(VLOOKUP(C268,Assets!$A:$F,6,FALSE),0)</f>
        <v/>
      </c>
      <c r="F268" t="inlineStr">
        <is>
          <t>Auto</t>
        </is>
      </c>
      <c r="G268" s="44" t="n"/>
      <c r="H268" s="44">
        <f>IF(F268="No",0,IF(F268="Edited",IF(G268="",E268,G268),E268))</f>
        <v/>
      </c>
    </row>
    <row r="269">
      <c r="A269" s="41" t="n">
        <v>47119</v>
      </c>
      <c r="B269" s="32">
        <f>DATE(YEAR(A269),MONTH(A269),1)</f>
        <v/>
      </c>
      <c r="C269" t="inlineStr">
        <is>
          <t>Global Gov Bond</t>
        </is>
      </c>
      <c r="D269" t="inlineStr">
        <is>
          <t>PAC</t>
        </is>
      </c>
      <c r="E269" s="44">
        <f>IFERROR(VLOOKUP(C269,Assets!$A:$F,6,FALSE),0)</f>
        <v/>
      </c>
      <c r="F269" t="inlineStr">
        <is>
          <t>Auto</t>
        </is>
      </c>
      <c r="G269" s="44" t="n"/>
      <c r="H269" s="44">
        <f>IF(F269="No",0,IF(F269="Edited",IF(G269="",E269,G269),E269))</f>
        <v/>
      </c>
    </row>
    <row r="270">
      <c r="A270" s="41" t="n">
        <v>47119</v>
      </c>
      <c r="B270" s="32">
        <f>DATE(YEAR(A270),MONTH(A270),1)</f>
        <v/>
      </c>
      <c r="C270" t="inlineStr">
        <is>
          <t>Core EUR Corp Bond</t>
        </is>
      </c>
      <c r="D270" t="inlineStr">
        <is>
          <t>PAC</t>
        </is>
      </c>
      <c r="E270" s="44">
        <f>IFERROR(VLOOKUP(C270,Assets!$A:$F,6,FALSE),0)</f>
        <v/>
      </c>
      <c r="F270" t="inlineStr">
        <is>
          <t>Auto</t>
        </is>
      </c>
      <c r="G270" s="44" t="n"/>
      <c r="H270" s="44">
        <f>IF(F270="No",0,IF(F270="Edited",IF(G270="",E270,G270),E270))</f>
        <v/>
      </c>
    </row>
    <row r="271">
      <c r="A271" s="41" t="n">
        <v>47119</v>
      </c>
      <c r="B271" s="32">
        <f>DATE(YEAR(A271),MONTH(A271),1)</f>
        <v/>
      </c>
      <c r="C271" t="inlineStr">
        <is>
          <t>MSCI World Value</t>
        </is>
      </c>
      <c r="D271" t="inlineStr">
        <is>
          <t>PAC</t>
        </is>
      </c>
      <c r="E271" s="44">
        <f>IFERROR(VLOOKUP(C271,Assets!$A:$F,6,FALSE),0)</f>
        <v/>
      </c>
      <c r="F271" t="inlineStr">
        <is>
          <t>Auto</t>
        </is>
      </c>
      <c r="G271" s="44" t="n"/>
      <c r="H271" s="44">
        <f>IF(F271="No",0,IF(F271="Edited",IF(G271="",E271,G271),E271))</f>
        <v/>
      </c>
    </row>
    <row r="272">
      <c r="A272" s="41" t="n">
        <v>47119</v>
      </c>
      <c r="B272" s="32">
        <f>DATE(YEAR(A272),MONTH(A272),1)</f>
        <v/>
      </c>
      <c r="C272" t="inlineStr">
        <is>
          <t>MSCI EM</t>
        </is>
      </c>
      <c r="D272" t="inlineStr">
        <is>
          <t>PAC</t>
        </is>
      </c>
      <c r="E272" s="44">
        <f>IFERROR(VLOOKUP(C272,Assets!$A:$F,6,FALSE),0)</f>
        <v/>
      </c>
      <c r="F272" t="inlineStr">
        <is>
          <t>Auto</t>
        </is>
      </c>
      <c r="G272" s="44" t="n"/>
      <c r="H272" s="44">
        <f>IF(F272="No",0,IF(F272="Edited",IF(G272="",E272,G272),E272))</f>
        <v/>
      </c>
    </row>
    <row r="273">
      <c r="A273" s="41" t="n">
        <v>47119</v>
      </c>
      <c r="B273" s="32">
        <f>DATE(YEAR(A273),MONTH(A273),1)</f>
        <v/>
      </c>
      <c r="C273" t="inlineStr">
        <is>
          <t>Defence Tech</t>
        </is>
      </c>
      <c r="D273" t="inlineStr">
        <is>
          <t>PAC</t>
        </is>
      </c>
      <c r="E273" s="44">
        <f>IFERROR(VLOOKUP(C273,Assets!$A:$F,6,FALSE),0)</f>
        <v/>
      </c>
      <c r="F273" t="inlineStr">
        <is>
          <t>Auto</t>
        </is>
      </c>
      <c r="G273" s="44" t="n"/>
      <c r="H273" s="44">
        <f>IF(F273="No",0,IF(F273="Edited",IF(G273="",E273,G273),E273))</f>
        <v/>
      </c>
    </row>
    <row r="274">
      <c r="A274" s="41" t="n">
        <v>47150</v>
      </c>
      <c r="B274" s="32">
        <f>DATE(YEAR(A274),MONTH(A274),1)</f>
        <v/>
      </c>
      <c r="C274" t="inlineStr">
        <is>
          <t>Core MSCI World</t>
        </is>
      </c>
      <c r="D274" t="inlineStr">
        <is>
          <t>PAC</t>
        </is>
      </c>
      <c r="E274" s="44">
        <f>IFERROR(VLOOKUP(C274,Assets!$A:$F,6,FALSE),0)</f>
        <v/>
      </c>
      <c r="F274" t="inlineStr">
        <is>
          <t>Auto</t>
        </is>
      </c>
      <c r="G274" s="44" t="n"/>
      <c r="H274" s="44">
        <f>IF(F274="No",0,IF(F274="Edited",IF(G274="",E274,G274),E274))</f>
        <v/>
      </c>
    </row>
    <row r="275">
      <c r="A275" s="41" t="n">
        <v>47150</v>
      </c>
      <c r="B275" s="32">
        <f>DATE(YEAR(A275),MONTH(A275),1)</f>
        <v/>
      </c>
      <c r="C275" t="inlineStr">
        <is>
          <t>AI &amp; Big Data</t>
        </is>
      </c>
      <c r="D275" t="inlineStr">
        <is>
          <t>PAC</t>
        </is>
      </c>
      <c r="E275" s="44">
        <f>IFERROR(VLOOKUP(C275,Assets!$A:$F,6,FALSE),0)</f>
        <v/>
      </c>
      <c r="F275" t="inlineStr">
        <is>
          <t>Auto</t>
        </is>
      </c>
      <c r="G275" s="44" t="n"/>
      <c r="H275" s="44">
        <f>IF(F275="No",0,IF(F275="Edited",IF(G275="",E275,G275),E275))</f>
        <v/>
      </c>
    </row>
    <row r="276">
      <c r="A276" s="41" t="n">
        <v>47150</v>
      </c>
      <c r="B276" s="32">
        <f>DATE(YEAR(A276),MONTH(A276),1)</f>
        <v/>
      </c>
      <c r="C276" t="inlineStr">
        <is>
          <t>Physical Gold</t>
        </is>
      </c>
      <c r="D276" t="inlineStr">
        <is>
          <t>PAC</t>
        </is>
      </c>
      <c r="E276" s="44">
        <f>IFERROR(VLOOKUP(C276,Assets!$A:$F,6,FALSE),0)</f>
        <v/>
      </c>
      <c r="F276" t="inlineStr">
        <is>
          <t>Auto</t>
        </is>
      </c>
      <c r="G276" s="44" t="n"/>
      <c r="H276" s="44">
        <f>IF(F276="No",0,IF(F276="Edited",IF(G276="",E276,G276),E276))</f>
        <v/>
      </c>
    </row>
    <row r="277">
      <c r="A277" s="41" t="n">
        <v>47150</v>
      </c>
      <c r="B277" s="32">
        <f>DATE(YEAR(A277),MONTH(A277),1)</f>
        <v/>
      </c>
      <c r="C277" t="inlineStr">
        <is>
          <t>Global Gov Bond</t>
        </is>
      </c>
      <c r="D277" t="inlineStr">
        <is>
          <t>PAC</t>
        </is>
      </c>
      <c r="E277" s="44">
        <f>IFERROR(VLOOKUP(C277,Assets!$A:$F,6,FALSE),0)</f>
        <v/>
      </c>
      <c r="F277" t="inlineStr">
        <is>
          <t>Auto</t>
        </is>
      </c>
      <c r="G277" s="44" t="n"/>
      <c r="H277" s="44">
        <f>IF(F277="No",0,IF(F277="Edited",IF(G277="",E277,G277),E277))</f>
        <v/>
      </c>
    </row>
    <row r="278">
      <c r="A278" s="41" t="n">
        <v>47150</v>
      </c>
      <c r="B278" s="32">
        <f>DATE(YEAR(A278),MONTH(A278),1)</f>
        <v/>
      </c>
      <c r="C278" t="inlineStr">
        <is>
          <t>Core EUR Corp Bond</t>
        </is>
      </c>
      <c r="D278" t="inlineStr">
        <is>
          <t>PAC</t>
        </is>
      </c>
      <c r="E278" s="44">
        <f>IFERROR(VLOOKUP(C278,Assets!$A:$F,6,FALSE),0)</f>
        <v/>
      </c>
      <c r="F278" t="inlineStr">
        <is>
          <t>Auto</t>
        </is>
      </c>
      <c r="G278" s="44" t="n"/>
      <c r="H278" s="44">
        <f>IF(F278="No",0,IF(F278="Edited",IF(G278="",E278,G278),E278))</f>
        <v/>
      </c>
    </row>
    <row r="279">
      <c r="A279" s="41" t="n">
        <v>47150</v>
      </c>
      <c r="B279" s="32">
        <f>DATE(YEAR(A279),MONTH(A279),1)</f>
        <v/>
      </c>
      <c r="C279" t="inlineStr">
        <is>
          <t>MSCI World Value</t>
        </is>
      </c>
      <c r="D279" t="inlineStr">
        <is>
          <t>PAC</t>
        </is>
      </c>
      <c r="E279" s="44">
        <f>IFERROR(VLOOKUP(C279,Assets!$A:$F,6,FALSE),0)</f>
        <v/>
      </c>
      <c r="F279" t="inlineStr">
        <is>
          <t>Auto</t>
        </is>
      </c>
      <c r="G279" s="44" t="n"/>
      <c r="H279" s="44">
        <f>IF(F279="No",0,IF(F279="Edited",IF(G279="",E279,G279),E279))</f>
        <v/>
      </c>
    </row>
    <row r="280">
      <c r="A280" s="41" t="n">
        <v>47150</v>
      </c>
      <c r="B280" s="32">
        <f>DATE(YEAR(A280),MONTH(A280),1)</f>
        <v/>
      </c>
      <c r="C280" t="inlineStr">
        <is>
          <t>MSCI EM</t>
        </is>
      </c>
      <c r="D280" t="inlineStr">
        <is>
          <t>PAC</t>
        </is>
      </c>
      <c r="E280" s="44">
        <f>IFERROR(VLOOKUP(C280,Assets!$A:$F,6,FALSE),0)</f>
        <v/>
      </c>
      <c r="F280" t="inlineStr">
        <is>
          <t>Auto</t>
        </is>
      </c>
      <c r="G280" s="44" t="n"/>
      <c r="H280" s="44">
        <f>IF(F280="No",0,IF(F280="Edited",IF(G280="",E280,G280),E280))</f>
        <v/>
      </c>
    </row>
    <row r="281">
      <c r="A281" s="41" t="n">
        <v>47150</v>
      </c>
      <c r="B281" s="32">
        <f>DATE(YEAR(A281),MONTH(A281),1)</f>
        <v/>
      </c>
      <c r="C281" t="inlineStr">
        <is>
          <t>Defence Tech</t>
        </is>
      </c>
      <c r="D281" t="inlineStr">
        <is>
          <t>PAC</t>
        </is>
      </c>
      <c r="E281" s="44">
        <f>IFERROR(VLOOKUP(C281,Assets!$A:$F,6,FALSE),0)</f>
        <v/>
      </c>
      <c r="F281" t="inlineStr">
        <is>
          <t>Auto</t>
        </is>
      </c>
      <c r="G281" s="44" t="n"/>
      <c r="H281" s="44">
        <f>IF(F281="No",0,IF(F281="Edited",IF(G281="",E281,G281),E281))</f>
        <v/>
      </c>
    </row>
    <row r="282">
      <c r="A282" s="41" t="n">
        <v>47178</v>
      </c>
      <c r="B282" s="32">
        <f>DATE(YEAR(A282),MONTH(A282),1)</f>
        <v/>
      </c>
      <c r="C282" t="inlineStr">
        <is>
          <t>Core MSCI World</t>
        </is>
      </c>
      <c r="D282" t="inlineStr">
        <is>
          <t>PAC</t>
        </is>
      </c>
      <c r="E282" s="44">
        <f>IFERROR(VLOOKUP(C282,Assets!$A:$F,6,FALSE),0)</f>
        <v/>
      </c>
      <c r="F282" t="inlineStr">
        <is>
          <t>Auto</t>
        </is>
      </c>
      <c r="G282" s="44" t="n"/>
      <c r="H282" s="44">
        <f>IF(F282="No",0,IF(F282="Edited",IF(G282="",E282,G282),E282))</f>
        <v/>
      </c>
    </row>
    <row r="283">
      <c r="A283" s="41" t="n">
        <v>47178</v>
      </c>
      <c r="B283" s="32">
        <f>DATE(YEAR(A283),MONTH(A283),1)</f>
        <v/>
      </c>
      <c r="C283" t="inlineStr">
        <is>
          <t>AI &amp; Big Data</t>
        </is>
      </c>
      <c r="D283" t="inlineStr">
        <is>
          <t>PAC</t>
        </is>
      </c>
      <c r="E283" s="44">
        <f>IFERROR(VLOOKUP(C283,Assets!$A:$F,6,FALSE),0)</f>
        <v/>
      </c>
      <c r="F283" t="inlineStr">
        <is>
          <t>Auto</t>
        </is>
      </c>
      <c r="G283" s="44" t="n"/>
      <c r="H283" s="44">
        <f>IF(F283="No",0,IF(F283="Edited",IF(G283="",E283,G283),E283))</f>
        <v/>
      </c>
    </row>
    <row r="284">
      <c r="A284" s="41" t="n">
        <v>47178</v>
      </c>
      <c r="B284" s="32">
        <f>DATE(YEAR(A284),MONTH(A284),1)</f>
        <v/>
      </c>
      <c r="C284" t="inlineStr">
        <is>
          <t>Physical Gold</t>
        </is>
      </c>
      <c r="D284" t="inlineStr">
        <is>
          <t>PAC</t>
        </is>
      </c>
      <c r="E284" s="44">
        <f>IFERROR(VLOOKUP(C284,Assets!$A:$F,6,FALSE),0)</f>
        <v/>
      </c>
      <c r="F284" t="inlineStr">
        <is>
          <t>Auto</t>
        </is>
      </c>
      <c r="G284" s="44" t="n"/>
      <c r="H284" s="44">
        <f>IF(F284="No",0,IF(F284="Edited",IF(G284="",E284,G284),E284))</f>
        <v/>
      </c>
    </row>
    <row r="285">
      <c r="A285" s="41" t="n">
        <v>47178</v>
      </c>
      <c r="B285" s="32">
        <f>DATE(YEAR(A285),MONTH(A285),1)</f>
        <v/>
      </c>
      <c r="C285" t="inlineStr">
        <is>
          <t>Global Gov Bond</t>
        </is>
      </c>
      <c r="D285" t="inlineStr">
        <is>
          <t>PAC</t>
        </is>
      </c>
      <c r="E285" s="44">
        <f>IFERROR(VLOOKUP(C285,Assets!$A:$F,6,FALSE),0)</f>
        <v/>
      </c>
      <c r="F285" t="inlineStr">
        <is>
          <t>Auto</t>
        </is>
      </c>
      <c r="G285" s="44" t="n"/>
      <c r="H285" s="44">
        <f>IF(F285="No",0,IF(F285="Edited",IF(G285="",E285,G285),E285))</f>
        <v/>
      </c>
    </row>
    <row r="286">
      <c r="A286" s="41" t="n">
        <v>47178</v>
      </c>
      <c r="B286" s="32">
        <f>DATE(YEAR(A286),MONTH(A286),1)</f>
        <v/>
      </c>
      <c r="C286" t="inlineStr">
        <is>
          <t>Core EUR Corp Bond</t>
        </is>
      </c>
      <c r="D286" t="inlineStr">
        <is>
          <t>PAC</t>
        </is>
      </c>
      <c r="E286" s="44">
        <f>IFERROR(VLOOKUP(C286,Assets!$A:$F,6,FALSE),0)</f>
        <v/>
      </c>
      <c r="F286" t="inlineStr">
        <is>
          <t>Auto</t>
        </is>
      </c>
      <c r="G286" s="44" t="n"/>
      <c r="H286" s="44">
        <f>IF(F286="No",0,IF(F286="Edited",IF(G286="",E286,G286),E286))</f>
        <v/>
      </c>
    </row>
    <row r="287">
      <c r="A287" s="41" t="n">
        <v>47178</v>
      </c>
      <c r="B287" s="32">
        <f>DATE(YEAR(A287),MONTH(A287),1)</f>
        <v/>
      </c>
      <c r="C287" t="inlineStr">
        <is>
          <t>MSCI World Value</t>
        </is>
      </c>
      <c r="D287" t="inlineStr">
        <is>
          <t>PAC</t>
        </is>
      </c>
      <c r="E287" s="44">
        <f>IFERROR(VLOOKUP(C287,Assets!$A:$F,6,FALSE),0)</f>
        <v/>
      </c>
      <c r="F287" t="inlineStr">
        <is>
          <t>Auto</t>
        </is>
      </c>
      <c r="G287" s="44" t="n"/>
      <c r="H287" s="44">
        <f>IF(F287="No",0,IF(F287="Edited",IF(G287="",E287,G287),E287))</f>
        <v/>
      </c>
    </row>
    <row r="288">
      <c r="A288" s="41" t="n">
        <v>47178</v>
      </c>
      <c r="B288" s="32">
        <f>DATE(YEAR(A288),MONTH(A288),1)</f>
        <v/>
      </c>
      <c r="C288" t="inlineStr">
        <is>
          <t>MSCI EM</t>
        </is>
      </c>
      <c r="D288" t="inlineStr">
        <is>
          <t>PAC</t>
        </is>
      </c>
      <c r="E288" s="44">
        <f>IFERROR(VLOOKUP(C288,Assets!$A:$F,6,FALSE),0)</f>
        <v/>
      </c>
      <c r="F288" t="inlineStr">
        <is>
          <t>Auto</t>
        </is>
      </c>
      <c r="G288" s="44" t="n"/>
      <c r="H288" s="44">
        <f>IF(F288="No",0,IF(F288="Edited",IF(G288="",E288,G288),E288))</f>
        <v/>
      </c>
    </row>
    <row r="289">
      <c r="A289" s="41" t="n">
        <v>47178</v>
      </c>
      <c r="B289" s="32">
        <f>DATE(YEAR(A289),MONTH(A289),1)</f>
        <v/>
      </c>
      <c r="C289" t="inlineStr">
        <is>
          <t>Defence Tech</t>
        </is>
      </c>
      <c r="D289" t="inlineStr">
        <is>
          <t>PAC</t>
        </is>
      </c>
      <c r="E289" s="44">
        <f>IFERROR(VLOOKUP(C289,Assets!$A:$F,6,FALSE),0)</f>
        <v/>
      </c>
      <c r="F289" t="inlineStr">
        <is>
          <t>Auto</t>
        </is>
      </c>
      <c r="G289" s="44" t="n"/>
      <c r="H289" s="44">
        <f>IF(F289="No",0,IF(F289="Edited",IF(G289="",E289,G289),E289))</f>
        <v/>
      </c>
    </row>
    <row r="290">
      <c r="A290" s="41" t="n">
        <v>47209</v>
      </c>
      <c r="B290" s="32">
        <f>DATE(YEAR(A290),MONTH(A290),1)</f>
        <v/>
      </c>
      <c r="C290" t="inlineStr">
        <is>
          <t>Core MSCI World</t>
        </is>
      </c>
      <c r="D290" t="inlineStr">
        <is>
          <t>PAC</t>
        </is>
      </c>
      <c r="E290" s="44">
        <f>IFERROR(VLOOKUP(C290,Assets!$A:$F,6,FALSE),0)</f>
        <v/>
      </c>
      <c r="F290" t="inlineStr">
        <is>
          <t>Auto</t>
        </is>
      </c>
      <c r="G290" s="44" t="n"/>
      <c r="H290" s="44">
        <f>IF(F290="No",0,IF(F290="Edited",IF(G290="",E290,G290),E290))</f>
        <v/>
      </c>
    </row>
    <row r="291">
      <c r="A291" s="41" t="n">
        <v>47209</v>
      </c>
      <c r="B291" s="32">
        <f>DATE(YEAR(A291),MONTH(A291),1)</f>
        <v/>
      </c>
      <c r="C291" t="inlineStr">
        <is>
          <t>AI &amp; Big Data</t>
        </is>
      </c>
      <c r="D291" t="inlineStr">
        <is>
          <t>PAC</t>
        </is>
      </c>
      <c r="E291" s="44">
        <f>IFERROR(VLOOKUP(C291,Assets!$A:$F,6,FALSE),0)</f>
        <v/>
      </c>
      <c r="F291" t="inlineStr">
        <is>
          <t>Auto</t>
        </is>
      </c>
      <c r="G291" s="44" t="n"/>
      <c r="H291" s="44">
        <f>IF(F291="No",0,IF(F291="Edited",IF(G291="",E291,G291),E291))</f>
        <v/>
      </c>
    </row>
    <row r="292">
      <c r="A292" s="41" t="n">
        <v>47209</v>
      </c>
      <c r="B292" s="32">
        <f>DATE(YEAR(A292),MONTH(A292),1)</f>
        <v/>
      </c>
      <c r="C292" t="inlineStr">
        <is>
          <t>Physical Gold</t>
        </is>
      </c>
      <c r="D292" t="inlineStr">
        <is>
          <t>PAC</t>
        </is>
      </c>
      <c r="E292" s="44">
        <f>IFERROR(VLOOKUP(C292,Assets!$A:$F,6,FALSE),0)</f>
        <v/>
      </c>
      <c r="F292" t="inlineStr">
        <is>
          <t>Auto</t>
        </is>
      </c>
      <c r="G292" s="44" t="n"/>
      <c r="H292" s="44">
        <f>IF(F292="No",0,IF(F292="Edited",IF(G292="",E292,G292),E292))</f>
        <v/>
      </c>
    </row>
    <row r="293">
      <c r="A293" s="41" t="n">
        <v>47209</v>
      </c>
      <c r="B293" s="32">
        <f>DATE(YEAR(A293),MONTH(A293),1)</f>
        <v/>
      </c>
      <c r="C293" t="inlineStr">
        <is>
          <t>Global Gov Bond</t>
        </is>
      </c>
      <c r="D293" t="inlineStr">
        <is>
          <t>PAC</t>
        </is>
      </c>
      <c r="E293" s="44">
        <f>IFERROR(VLOOKUP(C293,Assets!$A:$F,6,FALSE),0)</f>
        <v/>
      </c>
      <c r="F293" t="inlineStr">
        <is>
          <t>Auto</t>
        </is>
      </c>
      <c r="G293" s="44" t="n"/>
      <c r="H293" s="44">
        <f>IF(F293="No",0,IF(F293="Edited",IF(G293="",E293,G293),E293))</f>
        <v/>
      </c>
    </row>
    <row r="294">
      <c r="A294" s="41" t="n">
        <v>47209</v>
      </c>
      <c r="B294" s="32">
        <f>DATE(YEAR(A294),MONTH(A294),1)</f>
        <v/>
      </c>
      <c r="C294" t="inlineStr">
        <is>
          <t>Core EUR Corp Bond</t>
        </is>
      </c>
      <c r="D294" t="inlineStr">
        <is>
          <t>PAC</t>
        </is>
      </c>
      <c r="E294" s="44">
        <f>IFERROR(VLOOKUP(C294,Assets!$A:$F,6,FALSE),0)</f>
        <v/>
      </c>
      <c r="F294" t="inlineStr">
        <is>
          <t>Auto</t>
        </is>
      </c>
      <c r="G294" s="44" t="n"/>
      <c r="H294" s="44">
        <f>IF(F294="No",0,IF(F294="Edited",IF(G294="",E294,G294),E294))</f>
        <v/>
      </c>
    </row>
    <row r="295">
      <c r="A295" s="41" t="n">
        <v>47209</v>
      </c>
      <c r="B295" s="32">
        <f>DATE(YEAR(A295),MONTH(A295),1)</f>
        <v/>
      </c>
      <c r="C295" t="inlineStr">
        <is>
          <t>MSCI World Value</t>
        </is>
      </c>
      <c r="D295" t="inlineStr">
        <is>
          <t>PAC</t>
        </is>
      </c>
      <c r="E295" s="44">
        <f>IFERROR(VLOOKUP(C295,Assets!$A:$F,6,FALSE),0)</f>
        <v/>
      </c>
      <c r="F295" t="inlineStr">
        <is>
          <t>Auto</t>
        </is>
      </c>
      <c r="G295" s="44" t="n"/>
      <c r="H295" s="44">
        <f>IF(F295="No",0,IF(F295="Edited",IF(G295="",E295,G295),E295))</f>
        <v/>
      </c>
    </row>
    <row r="296">
      <c r="A296" s="41" t="n">
        <v>47209</v>
      </c>
      <c r="B296" s="32">
        <f>DATE(YEAR(A296),MONTH(A296),1)</f>
        <v/>
      </c>
      <c r="C296" t="inlineStr">
        <is>
          <t>MSCI EM</t>
        </is>
      </c>
      <c r="D296" t="inlineStr">
        <is>
          <t>PAC</t>
        </is>
      </c>
      <c r="E296" s="44">
        <f>IFERROR(VLOOKUP(C296,Assets!$A:$F,6,FALSE),0)</f>
        <v/>
      </c>
      <c r="F296" t="inlineStr">
        <is>
          <t>Auto</t>
        </is>
      </c>
      <c r="G296" s="44" t="n"/>
      <c r="H296" s="44">
        <f>IF(F296="No",0,IF(F296="Edited",IF(G296="",E296,G296),E296))</f>
        <v/>
      </c>
    </row>
    <row r="297">
      <c r="A297" s="41" t="n">
        <v>47209</v>
      </c>
      <c r="B297" s="32">
        <f>DATE(YEAR(A297),MONTH(A297),1)</f>
        <v/>
      </c>
      <c r="C297" t="inlineStr">
        <is>
          <t>Defence Tech</t>
        </is>
      </c>
      <c r="D297" t="inlineStr">
        <is>
          <t>PAC</t>
        </is>
      </c>
      <c r="E297" s="44">
        <f>IFERROR(VLOOKUP(C297,Assets!$A:$F,6,FALSE),0)</f>
        <v/>
      </c>
      <c r="F297" t="inlineStr">
        <is>
          <t>Auto</t>
        </is>
      </c>
      <c r="G297" s="44" t="n"/>
      <c r="H297" s="44">
        <f>IF(F297="No",0,IF(F297="Edited",IF(G297="",E297,G297),E297))</f>
        <v/>
      </c>
    </row>
    <row r="298">
      <c r="A298" s="41" t="n">
        <v>47239</v>
      </c>
      <c r="B298" s="32">
        <f>DATE(YEAR(A298),MONTH(A298),1)</f>
        <v/>
      </c>
      <c r="C298" t="inlineStr">
        <is>
          <t>Core MSCI World</t>
        </is>
      </c>
      <c r="D298" t="inlineStr">
        <is>
          <t>PAC</t>
        </is>
      </c>
      <c r="E298" s="44">
        <f>IFERROR(VLOOKUP(C298,Assets!$A:$F,6,FALSE),0)</f>
        <v/>
      </c>
      <c r="F298" t="inlineStr">
        <is>
          <t>Auto</t>
        </is>
      </c>
      <c r="G298" s="44" t="n"/>
      <c r="H298" s="44">
        <f>IF(F298="No",0,IF(F298="Edited",IF(G298="",E298,G298),E298))</f>
        <v/>
      </c>
    </row>
    <row r="299">
      <c r="A299" s="41" t="n">
        <v>47239</v>
      </c>
      <c r="B299" s="32">
        <f>DATE(YEAR(A299),MONTH(A299),1)</f>
        <v/>
      </c>
      <c r="C299" t="inlineStr">
        <is>
          <t>AI &amp; Big Data</t>
        </is>
      </c>
      <c r="D299" t="inlineStr">
        <is>
          <t>PAC</t>
        </is>
      </c>
      <c r="E299" s="44">
        <f>IFERROR(VLOOKUP(C299,Assets!$A:$F,6,FALSE),0)</f>
        <v/>
      </c>
      <c r="F299" t="inlineStr">
        <is>
          <t>Auto</t>
        </is>
      </c>
      <c r="G299" s="44" t="n"/>
      <c r="H299" s="44">
        <f>IF(F299="No",0,IF(F299="Edited",IF(G299="",E299,G299),E299))</f>
        <v/>
      </c>
    </row>
    <row r="300">
      <c r="A300" s="41" t="n">
        <v>47239</v>
      </c>
      <c r="B300" s="32">
        <f>DATE(YEAR(A300),MONTH(A300),1)</f>
        <v/>
      </c>
      <c r="C300" t="inlineStr">
        <is>
          <t>Physical Gold</t>
        </is>
      </c>
      <c r="D300" t="inlineStr">
        <is>
          <t>PAC</t>
        </is>
      </c>
      <c r="E300" s="44">
        <f>IFERROR(VLOOKUP(C300,Assets!$A:$F,6,FALSE),0)</f>
        <v/>
      </c>
      <c r="F300" t="inlineStr">
        <is>
          <t>Auto</t>
        </is>
      </c>
      <c r="G300" s="44" t="n"/>
      <c r="H300" s="44">
        <f>IF(F300="No",0,IF(F300="Edited",IF(G300="",E300,G300),E300))</f>
        <v/>
      </c>
    </row>
    <row r="301">
      <c r="A301" s="41" t="n">
        <v>47239</v>
      </c>
      <c r="B301" s="32">
        <f>DATE(YEAR(A301),MONTH(A301),1)</f>
        <v/>
      </c>
      <c r="C301" t="inlineStr">
        <is>
          <t>Global Gov Bond</t>
        </is>
      </c>
      <c r="D301" t="inlineStr">
        <is>
          <t>PAC</t>
        </is>
      </c>
      <c r="E301" s="44">
        <f>IFERROR(VLOOKUP(C301,Assets!$A:$F,6,FALSE),0)</f>
        <v/>
      </c>
      <c r="F301" t="inlineStr">
        <is>
          <t>Auto</t>
        </is>
      </c>
      <c r="G301" s="44" t="n"/>
      <c r="H301" s="44">
        <f>IF(F301="No",0,IF(F301="Edited",IF(G301="",E301,G301),E301))</f>
        <v/>
      </c>
    </row>
    <row r="302">
      <c r="A302" s="41" t="n">
        <v>47239</v>
      </c>
      <c r="B302" s="32">
        <f>DATE(YEAR(A302),MONTH(A302),1)</f>
        <v/>
      </c>
      <c r="C302" t="inlineStr">
        <is>
          <t>Core EUR Corp Bond</t>
        </is>
      </c>
      <c r="D302" t="inlineStr">
        <is>
          <t>PAC</t>
        </is>
      </c>
      <c r="E302" s="44">
        <f>IFERROR(VLOOKUP(C302,Assets!$A:$F,6,FALSE),0)</f>
        <v/>
      </c>
      <c r="F302" t="inlineStr">
        <is>
          <t>Auto</t>
        </is>
      </c>
      <c r="G302" s="44" t="n"/>
      <c r="H302" s="44">
        <f>IF(F302="No",0,IF(F302="Edited",IF(G302="",E302,G302),E302))</f>
        <v/>
      </c>
    </row>
    <row r="303">
      <c r="A303" s="41" t="n">
        <v>47239</v>
      </c>
      <c r="B303" s="32">
        <f>DATE(YEAR(A303),MONTH(A303),1)</f>
        <v/>
      </c>
      <c r="C303" t="inlineStr">
        <is>
          <t>MSCI World Value</t>
        </is>
      </c>
      <c r="D303" t="inlineStr">
        <is>
          <t>PAC</t>
        </is>
      </c>
      <c r="E303" s="44">
        <f>IFERROR(VLOOKUP(C303,Assets!$A:$F,6,FALSE),0)</f>
        <v/>
      </c>
      <c r="F303" t="inlineStr">
        <is>
          <t>Auto</t>
        </is>
      </c>
      <c r="G303" s="44" t="n"/>
      <c r="H303" s="44">
        <f>IF(F303="No",0,IF(F303="Edited",IF(G303="",E303,G303),E303))</f>
        <v/>
      </c>
    </row>
    <row r="304">
      <c r="A304" s="41" t="n">
        <v>47239</v>
      </c>
      <c r="B304" s="32">
        <f>DATE(YEAR(A304),MONTH(A304),1)</f>
        <v/>
      </c>
      <c r="C304" t="inlineStr">
        <is>
          <t>MSCI EM</t>
        </is>
      </c>
      <c r="D304" t="inlineStr">
        <is>
          <t>PAC</t>
        </is>
      </c>
      <c r="E304" s="44">
        <f>IFERROR(VLOOKUP(C304,Assets!$A:$F,6,FALSE),0)</f>
        <v/>
      </c>
      <c r="F304" t="inlineStr">
        <is>
          <t>Auto</t>
        </is>
      </c>
      <c r="G304" s="44" t="n"/>
      <c r="H304" s="44">
        <f>IF(F304="No",0,IF(F304="Edited",IF(G304="",E304,G304),E304))</f>
        <v/>
      </c>
    </row>
    <row r="305">
      <c r="A305" s="41" t="n">
        <v>47239</v>
      </c>
      <c r="B305" s="32">
        <f>DATE(YEAR(A305),MONTH(A305),1)</f>
        <v/>
      </c>
      <c r="C305" t="inlineStr">
        <is>
          <t>Defence Tech</t>
        </is>
      </c>
      <c r="D305" t="inlineStr">
        <is>
          <t>PAC</t>
        </is>
      </c>
      <c r="E305" s="44">
        <f>IFERROR(VLOOKUP(C305,Assets!$A:$F,6,FALSE),0)</f>
        <v/>
      </c>
      <c r="F305" t="inlineStr">
        <is>
          <t>Auto</t>
        </is>
      </c>
      <c r="G305" s="44" t="n"/>
      <c r="H305" s="44">
        <f>IF(F305="No",0,IF(F305="Edited",IF(G305="",E305,G305),E305))</f>
        <v/>
      </c>
    </row>
    <row r="306">
      <c r="A306" s="41" t="n">
        <v>47270</v>
      </c>
      <c r="B306" s="32">
        <f>DATE(YEAR(A306),MONTH(A306),1)</f>
        <v/>
      </c>
      <c r="C306" t="inlineStr">
        <is>
          <t>Core MSCI World</t>
        </is>
      </c>
      <c r="D306" t="inlineStr">
        <is>
          <t>PAC</t>
        </is>
      </c>
      <c r="E306" s="44">
        <f>IFERROR(VLOOKUP(C306,Assets!$A:$F,6,FALSE),0)</f>
        <v/>
      </c>
      <c r="F306" t="inlineStr">
        <is>
          <t>Auto</t>
        </is>
      </c>
      <c r="G306" s="44" t="n"/>
      <c r="H306" s="44">
        <f>IF(F306="No",0,IF(F306="Edited",IF(G306="",E306,G306),E306))</f>
        <v/>
      </c>
    </row>
    <row r="307">
      <c r="A307" s="41" t="n">
        <v>47270</v>
      </c>
      <c r="B307" s="32">
        <f>DATE(YEAR(A307),MONTH(A307),1)</f>
        <v/>
      </c>
      <c r="C307" t="inlineStr">
        <is>
          <t>AI &amp; Big Data</t>
        </is>
      </c>
      <c r="D307" t="inlineStr">
        <is>
          <t>PAC</t>
        </is>
      </c>
      <c r="E307" s="44">
        <f>IFERROR(VLOOKUP(C307,Assets!$A:$F,6,FALSE),0)</f>
        <v/>
      </c>
      <c r="F307" t="inlineStr">
        <is>
          <t>Auto</t>
        </is>
      </c>
      <c r="G307" s="44" t="n"/>
      <c r="H307" s="44">
        <f>IF(F307="No",0,IF(F307="Edited",IF(G307="",E307,G307),E307))</f>
        <v/>
      </c>
    </row>
    <row r="308">
      <c r="A308" s="41" t="n">
        <v>47270</v>
      </c>
      <c r="B308" s="32">
        <f>DATE(YEAR(A308),MONTH(A308),1)</f>
        <v/>
      </c>
      <c r="C308" t="inlineStr">
        <is>
          <t>Physical Gold</t>
        </is>
      </c>
      <c r="D308" t="inlineStr">
        <is>
          <t>PAC</t>
        </is>
      </c>
      <c r="E308" s="44">
        <f>IFERROR(VLOOKUP(C308,Assets!$A:$F,6,FALSE),0)</f>
        <v/>
      </c>
      <c r="F308" t="inlineStr">
        <is>
          <t>Auto</t>
        </is>
      </c>
      <c r="G308" s="44" t="n"/>
      <c r="H308" s="44">
        <f>IF(F308="No",0,IF(F308="Edited",IF(G308="",E308,G308),E308))</f>
        <v/>
      </c>
    </row>
    <row r="309">
      <c r="A309" s="41" t="n">
        <v>47270</v>
      </c>
      <c r="B309" s="32">
        <f>DATE(YEAR(A309),MONTH(A309),1)</f>
        <v/>
      </c>
      <c r="C309" t="inlineStr">
        <is>
          <t>Global Gov Bond</t>
        </is>
      </c>
      <c r="D309" t="inlineStr">
        <is>
          <t>PAC</t>
        </is>
      </c>
      <c r="E309" s="44">
        <f>IFERROR(VLOOKUP(C309,Assets!$A:$F,6,FALSE),0)</f>
        <v/>
      </c>
      <c r="F309" t="inlineStr">
        <is>
          <t>Auto</t>
        </is>
      </c>
      <c r="G309" s="44" t="n"/>
      <c r="H309" s="44">
        <f>IF(F309="No",0,IF(F309="Edited",IF(G309="",E309,G309),E309))</f>
        <v/>
      </c>
    </row>
    <row r="310">
      <c r="A310" s="41" t="n">
        <v>47270</v>
      </c>
      <c r="B310" s="32">
        <f>DATE(YEAR(A310),MONTH(A310),1)</f>
        <v/>
      </c>
      <c r="C310" t="inlineStr">
        <is>
          <t>Core EUR Corp Bond</t>
        </is>
      </c>
      <c r="D310" t="inlineStr">
        <is>
          <t>PAC</t>
        </is>
      </c>
      <c r="E310" s="44">
        <f>IFERROR(VLOOKUP(C310,Assets!$A:$F,6,FALSE),0)</f>
        <v/>
      </c>
      <c r="F310" t="inlineStr">
        <is>
          <t>Auto</t>
        </is>
      </c>
      <c r="G310" s="44" t="n"/>
      <c r="H310" s="44">
        <f>IF(F310="No",0,IF(F310="Edited",IF(G310="",E310,G310),E310))</f>
        <v/>
      </c>
    </row>
    <row r="311">
      <c r="A311" s="41" t="n">
        <v>47270</v>
      </c>
      <c r="B311" s="32">
        <f>DATE(YEAR(A311),MONTH(A311),1)</f>
        <v/>
      </c>
      <c r="C311" t="inlineStr">
        <is>
          <t>MSCI World Value</t>
        </is>
      </c>
      <c r="D311" t="inlineStr">
        <is>
          <t>PAC</t>
        </is>
      </c>
      <c r="E311" s="44">
        <f>IFERROR(VLOOKUP(C311,Assets!$A:$F,6,FALSE),0)</f>
        <v/>
      </c>
      <c r="F311" t="inlineStr">
        <is>
          <t>Auto</t>
        </is>
      </c>
      <c r="G311" s="44" t="n"/>
      <c r="H311" s="44">
        <f>IF(F311="No",0,IF(F311="Edited",IF(G311="",E311,G311),E311))</f>
        <v/>
      </c>
    </row>
    <row r="312">
      <c r="A312" s="41" t="n">
        <v>47270</v>
      </c>
      <c r="B312" s="32">
        <f>DATE(YEAR(A312),MONTH(A312),1)</f>
        <v/>
      </c>
      <c r="C312" t="inlineStr">
        <is>
          <t>MSCI EM</t>
        </is>
      </c>
      <c r="D312" t="inlineStr">
        <is>
          <t>PAC</t>
        </is>
      </c>
      <c r="E312" s="44">
        <f>IFERROR(VLOOKUP(C312,Assets!$A:$F,6,FALSE),0)</f>
        <v/>
      </c>
      <c r="F312" t="inlineStr">
        <is>
          <t>Auto</t>
        </is>
      </c>
      <c r="G312" s="44" t="n"/>
      <c r="H312" s="44">
        <f>IF(F312="No",0,IF(F312="Edited",IF(G312="",E312,G312),E312))</f>
        <v/>
      </c>
    </row>
    <row r="313">
      <c r="A313" s="41" t="n">
        <v>47270</v>
      </c>
      <c r="B313" s="32">
        <f>DATE(YEAR(A313),MONTH(A313),1)</f>
        <v/>
      </c>
      <c r="C313" t="inlineStr">
        <is>
          <t>Defence Tech</t>
        </is>
      </c>
      <c r="D313" t="inlineStr">
        <is>
          <t>PAC</t>
        </is>
      </c>
      <c r="E313" s="44">
        <f>IFERROR(VLOOKUP(C313,Assets!$A:$F,6,FALSE),0)</f>
        <v/>
      </c>
      <c r="F313" t="inlineStr">
        <is>
          <t>Auto</t>
        </is>
      </c>
      <c r="G313" s="44" t="n"/>
      <c r="H313" s="44">
        <f>IF(F313="No",0,IF(F313="Edited",IF(G313="",E313,G313),E313))</f>
        <v/>
      </c>
    </row>
    <row r="314">
      <c r="A314" s="41" t="n">
        <v>47300</v>
      </c>
      <c r="B314" s="32">
        <f>DATE(YEAR(A314),MONTH(A314),1)</f>
        <v/>
      </c>
      <c r="C314" t="inlineStr">
        <is>
          <t>Core MSCI World</t>
        </is>
      </c>
      <c r="D314" t="inlineStr">
        <is>
          <t>PAC</t>
        </is>
      </c>
      <c r="E314" s="44">
        <f>IFERROR(VLOOKUP(C314,Assets!$A:$F,6,FALSE),0)</f>
        <v/>
      </c>
      <c r="F314" t="inlineStr">
        <is>
          <t>Auto</t>
        </is>
      </c>
      <c r="G314" s="44" t="n"/>
      <c r="H314" s="44">
        <f>IF(F314="No",0,IF(F314="Edited",IF(G314="",E314,G314),E314))</f>
        <v/>
      </c>
    </row>
    <row r="315">
      <c r="A315" s="41" t="n">
        <v>47300</v>
      </c>
      <c r="B315" s="32">
        <f>DATE(YEAR(A315),MONTH(A315),1)</f>
        <v/>
      </c>
      <c r="C315" t="inlineStr">
        <is>
          <t>AI &amp; Big Data</t>
        </is>
      </c>
      <c r="D315" t="inlineStr">
        <is>
          <t>PAC</t>
        </is>
      </c>
      <c r="E315" s="44">
        <f>IFERROR(VLOOKUP(C315,Assets!$A:$F,6,FALSE),0)</f>
        <v/>
      </c>
      <c r="F315" t="inlineStr">
        <is>
          <t>Auto</t>
        </is>
      </c>
      <c r="G315" s="44" t="n"/>
      <c r="H315" s="44">
        <f>IF(F315="No",0,IF(F315="Edited",IF(G315="",E315,G315),E315))</f>
        <v/>
      </c>
    </row>
    <row r="316">
      <c r="A316" s="41" t="n">
        <v>47300</v>
      </c>
      <c r="B316" s="32">
        <f>DATE(YEAR(A316),MONTH(A316),1)</f>
        <v/>
      </c>
      <c r="C316" t="inlineStr">
        <is>
          <t>Physical Gold</t>
        </is>
      </c>
      <c r="D316" t="inlineStr">
        <is>
          <t>PAC</t>
        </is>
      </c>
      <c r="E316" s="44">
        <f>IFERROR(VLOOKUP(C316,Assets!$A:$F,6,FALSE),0)</f>
        <v/>
      </c>
      <c r="F316" t="inlineStr">
        <is>
          <t>Auto</t>
        </is>
      </c>
      <c r="G316" s="44" t="n"/>
      <c r="H316" s="44">
        <f>IF(F316="No",0,IF(F316="Edited",IF(G316="",E316,G316),E316))</f>
        <v/>
      </c>
    </row>
    <row r="317">
      <c r="A317" s="41" t="n">
        <v>47300</v>
      </c>
      <c r="B317" s="32">
        <f>DATE(YEAR(A317),MONTH(A317),1)</f>
        <v/>
      </c>
      <c r="C317" t="inlineStr">
        <is>
          <t>Global Gov Bond</t>
        </is>
      </c>
      <c r="D317" t="inlineStr">
        <is>
          <t>PAC</t>
        </is>
      </c>
      <c r="E317" s="44">
        <f>IFERROR(VLOOKUP(C317,Assets!$A:$F,6,FALSE),0)</f>
        <v/>
      </c>
      <c r="F317" t="inlineStr">
        <is>
          <t>Auto</t>
        </is>
      </c>
      <c r="G317" s="44" t="n"/>
      <c r="H317" s="44">
        <f>IF(F317="No",0,IF(F317="Edited",IF(G317="",E317,G317),E317))</f>
        <v/>
      </c>
    </row>
    <row r="318">
      <c r="A318" s="41" t="n">
        <v>47300</v>
      </c>
      <c r="B318" s="32">
        <f>DATE(YEAR(A318),MONTH(A318),1)</f>
        <v/>
      </c>
      <c r="C318" t="inlineStr">
        <is>
          <t>Core EUR Corp Bond</t>
        </is>
      </c>
      <c r="D318" t="inlineStr">
        <is>
          <t>PAC</t>
        </is>
      </c>
      <c r="E318" s="44">
        <f>IFERROR(VLOOKUP(C318,Assets!$A:$F,6,FALSE),0)</f>
        <v/>
      </c>
      <c r="F318" t="inlineStr">
        <is>
          <t>Auto</t>
        </is>
      </c>
      <c r="G318" s="44" t="n"/>
      <c r="H318" s="44">
        <f>IF(F318="No",0,IF(F318="Edited",IF(G318="",E318,G318),E318))</f>
        <v/>
      </c>
    </row>
    <row r="319">
      <c r="A319" s="41" t="n">
        <v>47300</v>
      </c>
      <c r="B319" s="32">
        <f>DATE(YEAR(A319),MONTH(A319),1)</f>
        <v/>
      </c>
      <c r="C319" t="inlineStr">
        <is>
          <t>MSCI World Value</t>
        </is>
      </c>
      <c r="D319" t="inlineStr">
        <is>
          <t>PAC</t>
        </is>
      </c>
      <c r="E319" s="44">
        <f>IFERROR(VLOOKUP(C319,Assets!$A:$F,6,FALSE),0)</f>
        <v/>
      </c>
      <c r="F319" t="inlineStr">
        <is>
          <t>Auto</t>
        </is>
      </c>
      <c r="G319" s="44" t="n"/>
      <c r="H319" s="44">
        <f>IF(F319="No",0,IF(F319="Edited",IF(G319="",E319,G319),E319))</f>
        <v/>
      </c>
    </row>
    <row r="320">
      <c r="A320" s="41" t="n">
        <v>47300</v>
      </c>
      <c r="B320" s="32">
        <f>DATE(YEAR(A320),MONTH(A320),1)</f>
        <v/>
      </c>
      <c r="C320" t="inlineStr">
        <is>
          <t>MSCI EM</t>
        </is>
      </c>
      <c r="D320" t="inlineStr">
        <is>
          <t>PAC</t>
        </is>
      </c>
      <c r="E320" s="44">
        <f>IFERROR(VLOOKUP(C320,Assets!$A:$F,6,FALSE),0)</f>
        <v/>
      </c>
      <c r="F320" t="inlineStr">
        <is>
          <t>Auto</t>
        </is>
      </c>
      <c r="G320" s="44" t="n"/>
      <c r="H320" s="44">
        <f>IF(F320="No",0,IF(F320="Edited",IF(G320="",E320,G320),E320))</f>
        <v/>
      </c>
    </row>
    <row r="321">
      <c r="A321" s="41" t="n">
        <v>47300</v>
      </c>
      <c r="B321" s="32">
        <f>DATE(YEAR(A321),MONTH(A321),1)</f>
        <v/>
      </c>
      <c r="C321" t="inlineStr">
        <is>
          <t>Defence Tech</t>
        </is>
      </c>
      <c r="D321" t="inlineStr">
        <is>
          <t>PAC</t>
        </is>
      </c>
      <c r="E321" s="44">
        <f>IFERROR(VLOOKUP(C321,Assets!$A:$F,6,FALSE),0)</f>
        <v/>
      </c>
      <c r="F321" t="inlineStr">
        <is>
          <t>Auto</t>
        </is>
      </c>
      <c r="G321" s="44" t="n"/>
      <c r="H321" s="44">
        <f>IF(F321="No",0,IF(F321="Edited",IF(G321="",E321,G321),E321))</f>
        <v/>
      </c>
    </row>
    <row r="322">
      <c r="A322" s="41" t="n">
        <v>47331</v>
      </c>
      <c r="B322" s="32">
        <f>DATE(YEAR(A322),MONTH(A322),1)</f>
        <v/>
      </c>
      <c r="C322" t="inlineStr">
        <is>
          <t>Core MSCI World</t>
        </is>
      </c>
      <c r="D322" t="inlineStr">
        <is>
          <t>PAC</t>
        </is>
      </c>
      <c r="E322" s="44">
        <f>IFERROR(VLOOKUP(C322,Assets!$A:$F,6,FALSE),0)</f>
        <v/>
      </c>
      <c r="F322" t="inlineStr">
        <is>
          <t>Auto</t>
        </is>
      </c>
      <c r="G322" s="44" t="n"/>
      <c r="H322" s="44">
        <f>IF(F322="No",0,IF(F322="Edited",IF(G322="",E322,G322),E322))</f>
        <v/>
      </c>
    </row>
    <row r="323">
      <c r="A323" s="41" t="n">
        <v>47331</v>
      </c>
      <c r="B323" s="32">
        <f>DATE(YEAR(A323),MONTH(A323),1)</f>
        <v/>
      </c>
      <c r="C323" t="inlineStr">
        <is>
          <t>AI &amp; Big Data</t>
        </is>
      </c>
      <c r="D323" t="inlineStr">
        <is>
          <t>PAC</t>
        </is>
      </c>
      <c r="E323" s="44">
        <f>IFERROR(VLOOKUP(C323,Assets!$A:$F,6,FALSE),0)</f>
        <v/>
      </c>
      <c r="F323" t="inlineStr">
        <is>
          <t>Auto</t>
        </is>
      </c>
      <c r="G323" s="44" t="n"/>
      <c r="H323" s="44">
        <f>IF(F323="No",0,IF(F323="Edited",IF(G323="",E323,G323),E323))</f>
        <v/>
      </c>
    </row>
    <row r="324">
      <c r="A324" s="41" t="n">
        <v>47331</v>
      </c>
      <c r="B324" s="32">
        <f>DATE(YEAR(A324),MONTH(A324),1)</f>
        <v/>
      </c>
      <c r="C324" t="inlineStr">
        <is>
          <t>Physical Gold</t>
        </is>
      </c>
      <c r="D324" t="inlineStr">
        <is>
          <t>PAC</t>
        </is>
      </c>
      <c r="E324" s="44">
        <f>IFERROR(VLOOKUP(C324,Assets!$A:$F,6,FALSE),0)</f>
        <v/>
      </c>
      <c r="F324" t="inlineStr">
        <is>
          <t>Auto</t>
        </is>
      </c>
      <c r="G324" s="44" t="n"/>
      <c r="H324" s="44">
        <f>IF(F324="No",0,IF(F324="Edited",IF(G324="",E324,G324),E324))</f>
        <v/>
      </c>
    </row>
    <row r="325">
      <c r="A325" s="41" t="n">
        <v>47331</v>
      </c>
      <c r="B325" s="32">
        <f>DATE(YEAR(A325),MONTH(A325),1)</f>
        <v/>
      </c>
      <c r="C325" t="inlineStr">
        <is>
          <t>Global Gov Bond</t>
        </is>
      </c>
      <c r="D325" t="inlineStr">
        <is>
          <t>PAC</t>
        </is>
      </c>
      <c r="E325" s="44">
        <f>IFERROR(VLOOKUP(C325,Assets!$A:$F,6,FALSE),0)</f>
        <v/>
      </c>
      <c r="F325" t="inlineStr">
        <is>
          <t>Auto</t>
        </is>
      </c>
      <c r="G325" s="44" t="n"/>
      <c r="H325" s="44">
        <f>IF(F325="No",0,IF(F325="Edited",IF(G325="",E325,G325),E325))</f>
        <v/>
      </c>
    </row>
    <row r="326">
      <c r="A326" s="41" t="n">
        <v>47331</v>
      </c>
      <c r="B326" s="32">
        <f>DATE(YEAR(A326),MONTH(A326),1)</f>
        <v/>
      </c>
      <c r="C326" t="inlineStr">
        <is>
          <t>Core EUR Corp Bond</t>
        </is>
      </c>
      <c r="D326" t="inlineStr">
        <is>
          <t>PAC</t>
        </is>
      </c>
      <c r="E326" s="44">
        <f>IFERROR(VLOOKUP(C326,Assets!$A:$F,6,FALSE),0)</f>
        <v/>
      </c>
      <c r="F326" t="inlineStr">
        <is>
          <t>Auto</t>
        </is>
      </c>
      <c r="G326" s="44" t="n"/>
      <c r="H326" s="44">
        <f>IF(F326="No",0,IF(F326="Edited",IF(G326="",E326,G326),E326))</f>
        <v/>
      </c>
    </row>
    <row r="327">
      <c r="A327" s="41" t="n">
        <v>47331</v>
      </c>
      <c r="B327" s="32">
        <f>DATE(YEAR(A327),MONTH(A327),1)</f>
        <v/>
      </c>
      <c r="C327" t="inlineStr">
        <is>
          <t>MSCI World Value</t>
        </is>
      </c>
      <c r="D327" t="inlineStr">
        <is>
          <t>PAC</t>
        </is>
      </c>
      <c r="E327" s="44">
        <f>IFERROR(VLOOKUP(C327,Assets!$A:$F,6,FALSE),0)</f>
        <v/>
      </c>
      <c r="F327" t="inlineStr">
        <is>
          <t>Auto</t>
        </is>
      </c>
      <c r="G327" s="44" t="n"/>
      <c r="H327" s="44">
        <f>IF(F327="No",0,IF(F327="Edited",IF(G327="",E327,G327),E327))</f>
        <v/>
      </c>
    </row>
    <row r="328">
      <c r="A328" s="41" t="n">
        <v>47331</v>
      </c>
      <c r="B328" s="32">
        <f>DATE(YEAR(A328),MONTH(A328),1)</f>
        <v/>
      </c>
      <c r="C328" t="inlineStr">
        <is>
          <t>MSCI EM</t>
        </is>
      </c>
      <c r="D328" t="inlineStr">
        <is>
          <t>PAC</t>
        </is>
      </c>
      <c r="E328" s="44">
        <f>IFERROR(VLOOKUP(C328,Assets!$A:$F,6,FALSE),0)</f>
        <v/>
      </c>
      <c r="F328" t="inlineStr">
        <is>
          <t>Auto</t>
        </is>
      </c>
      <c r="G328" s="44" t="n"/>
      <c r="H328" s="44">
        <f>IF(F328="No",0,IF(F328="Edited",IF(G328="",E328,G328),E328))</f>
        <v/>
      </c>
    </row>
    <row r="329">
      <c r="A329" s="41" t="n">
        <v>47331</v>
      </c>
      <c r="B329" s="32">
        <f>DATE(YEAR(A329),MONTH(A329),1)</f>
        <v/>
      </c>
      <c r="C329" t="inlineStr">
        <is>
          <t>Defence Tech</t>
        </is>
      </c>
      <c r="D329" t="inlineStr">
        <is>
          <t>PAC</t>
        </is>
      </c>
      <c r="E329" s="44">
        <f>IFERROR(VLOOKUP(C329,Assets!$A:$F,6,FALSE),0)</f>
        <v/>
      </c>
      <c r="F329" t="inlineStr">
        <is>
          <t>Auto</t>
        </is>
      </c>
      <c r="G329" s="44" t="n"/>
      <c r="H329" s="44">
        <f>IF(F329="No",0,IF(F329="Edited",IF(G329="",E329,G329),E329))</f>
        <v/>
      </c>
    </row>
    <row r="330">
      <c r="A330" s="41" t="n">
        <v>47362</v>
      </c>
      <c r="B330" s="32">
        <f>DATE(YEAR(A330),MONTH(A330),1)</f>
        <v/>
      </c>
      <c r="C330" t="inlineStr">
        <is>
          <t>Core MSCI World</t>
        </is>
      </c>
      <c r="D330" t="inlineStr">
        <is>
          <t>PAC</t>
        </is>
      </c>
      <c r="E330" s="44">
        <f>IFERROR(VLOOKUP(C330,Assets!$A:$F,6,FALSE),0)</f>
        <v/>
      </c>
      <c r="F330" t="inlineStr">
        <is>
          <t>Auto</t>
        </is>
      </c>
      <c r="G330" s="44" t="n"/>
      <c r="H330" s="44">
        <f>IF(F330="No",0,IF(F330="Edited",IF(G330="",E330,G330),E330))</f>
        <v/>
      </c>
    </row>
    <row r="331">
      <c r="A331" s="41" t="n">
        <v>47362</v>
      </c>
      <c r="B331" s="32">
        <f>DATE(YEAR(A331),MONTH(A331),1)</f>
        <v/>
      </c>
      <c r="C331" t="inlineStr">
        <is>
          <t>AI &amp; Big Data</t>
        </is>
      </c>
      <c r="D331" t="inlineStr">
        <is>
          <t>PAC</t>
        </is>
      </c>
      <c r="E331" s="44">
        <f>IFERROR(VLOOKUP(C331,Assets!$A:$F,6,FALSE),0)</f>
        <v/>
      </c>
      <c r="F331" t="inlineStr">
        <is>
          <t>Auto</t>
        </is>
      </c>
      <c r="G331" s="44" t="n"/>
      <c r="H331" s="44">
        <f>IF(F331="No",0,IF(F331="Edited",IF(G331="",E331,G331),E331))</f>
        <v/>
      </c>
    </row>
    <row r="332">
      <c r="A332" s="41" t="n">
        <v>47362</v>
      </c>
      <c r="B332" s="32">
        <f>DATE(YEAR(A332),MONTH(A332),1)</f>
        <v/>
      </c>
      <c r="C332" t="inlineStr">
        <is>
          <t>Physical Gold</t>
        </is>
      </c>
      <c r="D332" t="inlineStr">
        <is>
          <t>PAC</t>
        </is>
      </c>
      <c r="E332" s="44">
        <f>IFERROR(VLOOKUP(C332,Assets!$A:$F,6,FALSE),0)</f>
        <v/>
      </c>
      <c r="F332" t="inlineStr">
        <is>
          <t>Auto</t>
        </is>
      </c>
      <c r="G332" s="44" t="n"/>
      <c r="H332" s="44">
        <f>IF(F332="No",0,IF(F332="Edited",IF(G332="",E332,G332),E332))</f>
        <v/>
      </c>
    </row>
    <row r="333">
      <c r="A333" s="41" t="n">
        <v>47362</v>
      </c>
      <c r="B333" s="32">
        <f>DATE(YEAR(A333),MONTH(A333),1)</f>
        <v/>
      </c>
      <c r="C333" t="inlineStr">
        <is>
          <t>Global Gov Bond</t>
        </is>
      </c>
      <c r="D333" t="inlineStr">
        <is>
          <t>PAC</t>
        </is>
      </c>
      <c r="E333" s="44">
        <f>IFERROR(VLOOKUP(C333,Assets!$A:$F,6,FALSE),0)</f>
        <v/>
      </c>
      <c r="F333" t="inlineStr">
        <is>
          <t>Auto</t>
        </is>
      </c>
      <c r="G333" s="44" t="n"/>
      <c r="H333" s="44">
        <f>IF(F333="No",0,IF(F333="Edited",IF(G333="",E333,G333),E333))</f>
        <v/>
      </c>
    </row>
    <row r="334">
      <c r="A334" s="41" t="n">
        <v>47362</v>
      </c>
      <c r="B334" s="32">
        <f>DATE(YEAR(A334),MONTH(A334),1)</f>
        <v/>
      </c>
      <c r="C334" t="inlineStr">
        <is>
          <t>Core EUR Corp Bond</t>
        </is>
      </c>
      <c r="D334" t="inlineStr">
        <is>
          <t>PAC</t>
        </is>
      </c>
      <c r="E334" s="44">
        <f>IFERROR(VLOOKUP(C334,Assets!$A:$F,6,FALSE),0)</f>
        <v/>
      </c>
      <c r="F334" t="inlineStr">
        <is>
          <t>Auto</t>
        </is>
      </c>
      <c r="G334" s="44" t="n"/>
      <c r="H334" s="44">
        <f>IF(F334="No",0,IF(F334="Edited",IF(G334="",E334,G334),E334))</f>
        <v/>
      </c>
    </row>
    <row r="335">
      <c r="A335" s="41" t="n">
        <v>47362</v>
      </c>
      <c r="B335" s="32">
        <f>DATE(YEAR(A335),MONTH(A335),1)</f>
        <v/>
      </c>
      <c r="C335" t="inlineStr">
        <is>
          <t>MSCI World Value</t>
        </is>
      </c>
      <c r="D335" t="inlineStr">
        <is>
          <t>PAC</t>
        </is>
      </c>
      <c r="E335" s="44">
        <f>IFERROR(VLOOKUP(C335,Assets!$A:$F,6,FALSE),0)</f>
        <v/>
      </c>
      <c r="F335" t="inlineStr">
        <is>
          <t>Auto</t>
        </is>
      </c>
      <c r="G335" s="44" t="n"/>
      <c r="H335" s="44">
        <f>IF(F335="No",0,IF(F335="Edited",IF(G335="",E335,G335),E335))</f>
        <v/>
      </c>
    </row>
    <row r="336">
      <c r="A336" s="41" t="n">
        <v>47362</v>
      </c>
      <c r="B336" s="32">
        <f>DATE(YEAR(A336),MONTH(A336),1)</f>
        <v/>
      </c>
      <c r="C336" t="inlineStr">
        <is>
          <t>MSCI EM</t>
        </is>
      </c>
      <c r="D336" t="inlineStr">
        <is>
          <t>PAC</t>
        </is>
      </c>
      <c r="E336" s="44">
        <f>IFERROR(VLOOKUP(C336,Assets!$A:$F,6,FALSE),0)</f>
        <v/>
      </c>
      <c r="F336" t="inlineStr">
        <is>
          <t>Auto</t>
        </is>
      </c>
      <c r="G336" s="44" t="n"/>
      <c r="H336" s="44">
        <f>IF(F336="No",0,IF(F336="Edited",IF(G336="",E336,G336),E336))</f>
        <v/>
      </c>
    </row>
    <row r="337">
      <c r="A337" s="41" t="n">
        <v>47362</v>
      </c>
      <c r="B337" s="32">
        <f>DATE(YEAR(A337),MONTH(A337),1)</f>
        <v/>
      </c>
      <c r="C337" t="inlineStr">
        <is>
          <t>Defence Tech</t>
        </is>
      </c>
      <c r="D337" t="inlineStr">
        <is>
          <t>PAC</t>
        </is>
      </c>
      <c r="E337" s="44">
        <f>IFERROR(VLOOKUP(C337,Assets!$A:$F,6,FALSE),0)</f>
        <v/>
      </c>
      <c r="F337" t="inlineStr">
        <is>
          <t>Auto</t>
        </is>
      </c>
      <c r="G337" s="44" t="n"/>
      <c r="H337" s="44">
        <f>IF(F337="No",0,IF(F337="Edited",IF(G337="",E337,G337),E337))</f>
        <v/>
      </c>
    </row>
    <row r="338">
      <c r="A338" s="41" t="n">
        <v>47392</v>
      </c>
      <c r="B338" s="32">
        <f>DATE(YEAR(A338),MONTH(A338),1)</f>
        <v/>
      </c>
      <c r="C338" t="inlineStr">
        <is>
          <t>Core MSCI World</t>
        </is>
      </c>
      <c r="D338" t="inlineStr">
        <is>
          <t>PAC</t>
        </is>
      </c>
      <c r="E338" s="44">
        <f>IFERROR(VLOOKUP(C338,Assets!$A:$F,6,FALSE),0)</f>
        <v/>
      </c>
      <c r="F338" t="inlineStr">
        <is>
          <t>Auto</t>
        </is>
      </c>
      <c r="G338" s="44" t="n"/>
      <c r="H338" s="44">
        <f>IF(F338="No",0,IF(F338="Edited",IF(G338="",E338,G338),E338))</f>
        <v/>
      </c>
    </row>
    <row r="339">
      <c r="A339" s="41" t="n">
        <v>47392</v>
      </c>
      <c r="B339" s="32">
        <f>DATE(YEAR(A339),MONTH(A339),1)</f>
        <v/>
      </c>
      <c r="C339" t="inlineStr">
        <is>
          <t>AI &amp; Big Data</t>
        </is>
      </c>
      <c r="D339" t="inlineStr">
        <is>
          <t>PAC</t>
        </is>
      </c>
      <c r="E339" s="44">
        <f>IFERROR(VLOOKUP(C339,Assets!$A:$F,6,FALSE),0)</f>
        <v/>
      </c>
      <c r="F339" t="inlineStr">
        <is>
          <t>Auto</t>
        </is>
      </c>
      <c r="G339" s="44" t="n"/>
      <c r="H339" s="44">
        <f>IF(F339="No",0,IF(F339="Edited",IF(G339="",E339,G339),E339))</f>
        <v/>
      </c>
    </row>
    <row r="340">
      <c r="A340" s="41" t="n">
        <v>47392</v>
      </c>
      <c r="B340" s="32">
        <f>DATE(YEAR(A340),MONTH(A340),1)</f>
        <v/>
      </c>
      <c r="C340" t="inlineStr">
        <is>
          <t>Physical Gold</t>
        </is>
      </c>
      <c r="D340" t="inlineStr">
        <is>
          <t>PAC</t>
        </is>
      </c>
      <c r="E340" s="44">
        <f>IFERROR(VLOOKUP(C340,Assets!$A:$F,6,FALSE),0)</f>
        <v/>
      </c>
      <c r="F340" t="inlineStr">
        <is>
          <t>Auto</t>
        </is>
      </c>
      <c r="G340" s="44" t="n"/>
      <c r="H340" s="44">
        <f>IF(F340="No",0,IF(F340="Edited",IF(G340="",E340,G340),E340))</f>
        <v/>
      </c>
    </row>
    <row r="341">
      <c r="A341" s="41" t="n">
        <v>47392</v>
      </c>
      <c r="B341" s="32">
        <f>DATE(YEAR(A341),MONTH(A341),1)</f>
        <v/>
      </c>
      <c r="C341" t="inlineStr">
        <is>
          <t>Global Gov Bond</t>
        </is>
      </c>
      <c r="D341" t="inlineStr">
        <is>
          <t>PAC</t>
        </is>
      </c>
      <c r="E341" s="44">
        <f>IFERROR(VLOOKUP(C341,Assets!$A:$F,6,FALSE),0)</f>
        <v/>
      </c>
      <c r="F341" t="inlineStr">
        <is>
          <t>Auto</t>
        </is>
      </c>
      <c r="G341" s="44" t="n"/>
      <c r="H341" s="44">
        <f>IF(F341="No",0,IF(F341="Edited",IF(G341="",E341,G341),E341))</f>
        <v/>
      </c>
    </row>
    <row r="342">
      <c r="A342" s="41" t="n">
        <v>47392</v>
      </c>
      <c r="B342" s="32">
        <f>DATE(YEAR(A342),MONTH(A342),1)</f>
        <v/>
      </c>
      <c r="C342" t="inlineStr">
        <is>
          <t>Core EUR Corp Bond</t>
        </is>
      </c>
      <c r="D342" t="inlineStr">
        <is>
          <t>PAC</t>
        </is>
      </c>
      <c r="E342" s="44">
        <f>IFERROR(VLOOKUP(C342,Assets!$A:$F,6,FALSE),0)</f>
        <v/>
      </c>
      <c r="F342" t="inlineStr">
        <is>
          <t>Auto</t>
        </is>
      </c>
      <c r="G342" s="44" t="n"/>
      <c r="H342" s="44">
        <f>IF(F342="No",0,IF(F342="Edited",IF(G342="",E342,G342),E342))</f>
        <v/>
      </c>
    </row>
    <row r="343">
      <c r="A343" s="41" t="n">
        <v>47392</v>
      </c>
      <c r="B343" s="32">
        <f>DATE(YEAR(A343),MONTH(A343),1)</f>
        <v/>
      </c>
      <c r="C343" t="inlineStr">
        <is>
          <t>MSCI World Value</t>
        </is>
      </c>
      <c r="D343" t="inlineStr">
        <is>
          <t>PAC</t>
        </is>
      </c>
      <c r="E343" s="44">
        <f>IFERROR(VLOOKUP(C343,Assets!$A:$F,6,FALSE),0)</f>
        <v/>
      </c>
      <c r="F343" t="inlineStr">
        <is>
          <t>Auto</t>
        </is>
      </c>
      <c r="G343" s="44" t="n"/>
      <c r="H343" s="44">
        <f>IF(F343="No",0,IF(F343="Edited",IF(G343="",E343,G343),E343))</f>
        <v/>
      </c>
    </row>
    <row r="344">
      <c r="A344" s="41" t="n">
        <v>47392</v>
      </c>
      <c r="B344" s="32">
        <f>DATE(YEAR(A344),MONTH(A344),1)</f>
        <v/>
      </c>
      <c r="C344" t="inlineStr">
        <is>
          <t>MSCI EM</t>
        </is>
      </c>
      <c r="D344" t="inlineStr">
        <is>
          <t>PAC</t>
        </is>
      </c>
      <c r="E344" s="44">
        <f>IFERROR(VLOOKUP(C344,Assets!$A:$F,6,FALSE),0)</f>
        <v/>
      </c>
      <c r="F344" t="inlineStr">
        <is>
          <t>Auto</t>
        </is>
      </c>
      <c r="G344" s="44" t="n"/>
      <c r="H344" s="44">
        <f>IF(F344="No",0,IF(F344="Edited",IF(G344="",E344,G344),E344))</f>
        <v/>
      </c>
    </row>
    <row r="345">
      <c r="A345" s="41" t="n">
        <v>47392</v>
      </c>
      <c r="B345" s="32">
        <f>DATE(YEAR(A345),MONTH(A345),1)</f>
        <v/>
      </c>
      <c r="C345" t="inlineStr">
        <is>
          <t>Defence Tech</t>
        </is>
      </c>
      <c r="D345" t="inlineStr">
        <is>
          <t>PAC</t>
        </is>
      </c>
      <c r="E345" s="44">
        <f>IFERROR(VLOOKUP(C345,Assets!$A:$F,6,FALSE),0)</f>
        <v/>
      </c>
      <c r="F345" t="inlineStr">
        <is>
          <t>Auto</t>
        </is>
      </c>
      <c r="G345" s="44" t="n"/>
      <c r="H345" s="44">
        <f>IF(F345="No",0,IF(F345="Edited",IF(G345="",E345,G345),E345))</f>
        <v/>
      </c>
    </row>
    <row r="346">
      <c r="A346" s="41" t="n">
        <v>47423</v>
      </c>
      <c r="B346" s="32">
        <f>DATE(YEAR(A346),MONTH(A346),1)</f>
        <v/>
      </c>
      <c r="C346" t="inlineStr">
        <is>
          <t>Core MSCI World</t>
        </is>
      </c>
      <c r="D346" t="inlineStr">
        <is>
          <t>PAC</t>
        </is>
      </c>
      <c r="E346" s="44">
        <f>IFERROR(VLOOKUP(C346,Assets!$A:$F,6,FALSE),0)</f>
        <v/>
      </c>
      <c r="F346" t="inlineStr">
        <is>
          <t>Auto</t>
        </is>
      </c>
      <c r="G346" s="44" t="n"/>
      <c r="H346" s="44">
        <f>IF(F346="No",0,IF(F346="Edited",IF(G346="",E346,G346),E346))</f>
        <v/>
      </c>
    </row>
    <row r="347">
      <c r="A347" s="41" t="n">
        <v>47423</v>
      </c>
      <c r="B347" s="32">
        <f>DATE(YEAR(A347),MONTH(A347),1)</f>
        <v/>
      </c>
      <c r="C347" t="inlineStr">
        <is>
          <t>AI &amp; Big Data</t>
        </is>
      </c>
      <c r="D347" t="inlineStr">
        <is>
          <t>PAC</t>
        </is>
      </c>
      <c r="E347" s="44">
        <f>IFERROR(VLOOKUP(C347,Assets!$A:$F,6,FALSE),0)</f>
        <v/>
      </c>
      <c r="F347" t="inlineStr">
        <is>
          <t>Auto</t>
        </is>
      </c>
      <c r="G347" s="44" t="n"/>
      <c r="H347" s="44">
        <f>IF(F347="No",0,IF(F347="Edited",IF(G347="",E347,G347),E347))</f>
        <v/>
      </c>
    </row>
    <row r="348">
      <c r="A348" s="41" t="n">
        <v>47423</v>
      </c>
      <c r="B348" s="32">
        <f>DATE(YEAR(A348),MONTH(A348),1)</f>
        <v/>
      </c>
      <c r="C348" t="inlineStr">
        <is>
          <t>Physical Gold</t>
        </is>
      </c>
      <c r="D348" t="inlineStr">
        <is>
          <t>PAC</t>
        </is>
      </c>
      <c r="E348" s="44">
        <f>IFERROR(VLOOKUP(C348,Assets!$A:$F,6,FALSE),0)</f>
        <v/>
      </c>
      <c r="F348" t="inlineStr">
        <is>
          <t>Auto</t>
        </is>
      </c>
      <c r="G348" s="44" t="n"/>
      <c r="H348" s="44">
        <f>IF(F348="No",0,IF(F348="Edited",IF(G348="",E348,G348),E348))</f>
        <v/>
      </c>
    </row>
    <row r="349">
      <c r="A349" s="41" t="n">
        <v>47423</v>
      </c>
      <c r="B349" s="32">
        <f>DATE(YEAR(A349),MONTH(A349),1)</f>
        <v/>
      </c>
      <c r="C349" t="inlineStr">
        <is>
          <t>Global Gov Bond</t>
        </is>
      </c>
      <c r="D349" t="inlineStr">
        <is>
          <t>PAC</t>
        </is>
      </c>
      <c r="E349" s="44">
        <f>IFERROR(VLOOKUP(C349,Assets!$A:$F,6,FALSE),0)</f>
        <v/>
      </c>
      <c r="F349" t="inlineStr">
        <is>
          <t>Auto</t>
        </is>
      </c>
      <c r="G349" s="44" t="n"/>
      <c r="H349" s="44">
        <f>IF(F349="No",0,IF(F349="Edited",IF(G349="",E349,G349),E349))</f>
        <v/>
      </c>
    </row>
    <row r="350">
      <c r="A350" s="41" t="n">
        <v>47423</v>
      </c>
      <c r="B350" s="32">
        <f>DATE(YEAR(A350),MONTH(A350),1)</f>
        <v/>
      </c>
      <c r="C350" t="inlineStr">
        <is>
          <t>Core EUR Corp Bond</t>
        </is>
      </c>
      <c r="D350" t="inlineStr">
        <is>
          <t>PAC</t>
        </is>
      </c>
      <c r="E350" s="44">
        <f>IFERROR(VLOOKUP(C350,Assets!$A:$F,6,FALSE),0)</f>
        <v/>
      </c>
      <c r="F350" t="inlineStr">
        <is>
          <t>Auto</t>
        </is>
      </c>
      <c r="G350" s="44" t="n"/>
      <c r="H350" s="44">
        <f>IF(F350="No",0,IF(F350="Edited",IF(G350="",E350,G350),E350))</f>
        <v/>
      </c>
    </row>
    <row r="351">
      <c r="A351" s="41" t="n">
        <v>47423</v>
      </c>
      <c r="B351" s="32">
        <f>DATE(YEAR(A351),MONTH(A351),1)</f>
        <v/>
      </c>
      <c r="C351" t="inlineStr">
        <is>
          <t>MSCI World Value</t>
        </is>
      </c>
      <c r="D351" t="inlineStr">
        <is>
          <t>PAC</t>
        </is>
      </c>
      <c r="E351" s="44">
        <f>IFERROR(VLOOKUP(C351,Assets!$A:$F,6,FALSE),0)</f>
        <v/>
      </c>
      <c r="F351" t="inlineStr">
        <is>
          <t>Auto</t>
        </is>
      </c>
      <c r="G351" s="44" t="n"/>
      <c r="H351" s="44">
        <f>IF(F351="No",0,IF(F351="Edited",IF(G351="",E351,G351),E351))</f>
        <v/>
      </c>
    </row>
    <row r="352">
      <c r="A352" s="41" t="n">
        <v>47423</v>
      </c>
      <c r="B352" s="32">
        <f>DATE(YEAR(A352),MONTH(A352),1)</f>
        <v/>
      </c>
      <c r="C352" t="inlineStr">
        <is>
          <t>MSCI EM</t>
        </is>
      </c>
      <c r="D352" t="inlineStr">
        <is>
          <t>PAC</t>
        </is>
      </c>
      <c r="E352" s="44">
        <f>IFERROR(VLOOKUP(C352,Assets!$A:$F,6,FALSE),0)</f>
        <v/>
      </c>
      <c r="F352" t="inlineStr">
        <is>
          <t>Auto</t>
        </is>
      </c>
      <c r="G352" s="44" t="n"/>
      <c r="H352" s="44">
        <f>IF(F352="No",0,IF(F352="Edited",IF(G352="",E352,G352),E352))</f>
        <v/>
      </c>
    </row>
    <row r="353">
      <c r="A353" s="41" t="n">
        <v>47423</v>
      </c>
      <c r="B353" s="32">
        <f>DATE(YEAR(A353),MONTH(A353),1)</f>
        <v/>
      </c>
      <c r="C353" t="inlineStr">
        <is>
          <t>Defence Tech</t>
        </is>
      </c>
      <c r="D353" t="inlineStr">
        <is>
          <t>PAC</t>
        </is>
      </c>
      <c r="E353" s="44">
        <f>IFERROR(VLOOKUP(C353,Assets!$A:$F,6,FALSE),0)</f>
        <v/>
      </c>
      <c r="F353" t="inlineStr">
        <is>
          <t>Auto</t>
        </is>
      </c>
      <c r="G353" s="44" t="n"/>
      <c r="H353" s="44">
        <f>IF(F353="No",0,IF(F353="Edited",IF(G353="",E353,G353),E353))</f>
        <v/>
      </c>
    </row>
    <row r="354">
      <c r="A354" s="41" t="n">
        <v>47453</v>
      </c>
      <c r="B354" s="32">
        <f>DATE(YEAR(A354),MONTH(A354),1)</f>
        <v/>
      </c>
      <c r="C354" t="inlineStr">
        <is>
          <t>Core MSCI World</t>
        </is>
      </c>
      <c r="D354" t="inlineStr">
        <is>
          <t>PAC</t>
        </is>
      </c>
      <c r="E354" s="44">
        <f>IFERROR(VLOOKUP(C354,Assets!$A:$F,6,FALSE),0)</f>
        <v/>
      </c>
      <c r="F354" t="inlineStr">
        <is>
          <t>Auto</t>
        </is>
      </c>
      <c r="G354" s="44" t="n"/>
      <c r="H354" s="44">
        <f>IF(F354="No",0,IF(F354="Edited",IF(G354="",E354,G354),E354))</f>
        <v/>
      </c>
    </row>
    <row r="355">
      <c r="A355" s="41" t="n">
        <v>47453</v>
      </c>
      <c r="B355" s="32">
        <f>DATE(YEAR(A355),MONTH(A355),1)</f>
        <v/>
      </c>
      <c r="C355" t="inlineStr">
        <is>
          <t>AI &amp; Big Data</t>
        </is>
      </c>
      <c r="D355" t="inlineStr">
        <is>
          <t>PAC</t>
        </is>
      </c>
      <c r="E355" s="44">
        <f>IFERROR(VLOOKUP(C355,Assets!$A:$F,6,FALSE),0)</f>
        <v/>
      </c>
      <c r="F355" t="inlineStr">
        <is>
          <t>Auto</t>
        </is>
      </c>
      <c r="G355" s="44" t="n"/>
      <c r="H355" s="44">
        <f>IF(F355="No",0,IF(F355="Edited",IF(G355="",E355,G355),E355))</f>
        <v/>
      </c>
    </row>
    <row r="356">
      <c r="A356" s="41" t="n">
        <v>47453</v>
      </c>
      <c r="B356" s="32">
        <f>DATE(YEAR(A356),MONTH(A356),1)</f>
        <v/>
      </c>
      <c r="C356" t="inlineStr">
        <is>
          <t>Physical Gold</t>
        </is>
      </c>
      <c r="D356" t="inlineStr">
        <is>
          <t>PAC</t>
        </is>
      </c>
      <c r="E356" s="44">
        <f>IFERROR(VLOOKUP(C356,Assets!$A:$F,6,FALSE),0)</f>
        <v/>
      </c>
      <c r="F356" t="inlineStr">
        <is>
          <t>Auto</t>
        </is>
      </c>
      <c r="G356" s="44" t="n"/>
      <c r="H356" s="44">
        <f>IF(F356="No",0,IF(F356="Edited",IF(G356="",E356,G356),E356))</f>
        <v/>
      </c>
    </row>
    <row r="357">
      <c r="A357" s="41" t="n">
        <v>47453</v>
      </c>
      <c r="B357" s="32">
        <f>DATE(YEAR(A357),MONTH(A357),1)</f>
        <v/>
      </c>
      <c r="C357" t="inlineStr">
        <is>
          <t>Global Gov Bond</t>
        </is>
      </c>
      <c r="D357" t="inlineStr">
        <is>
          <t>PAC</t>
        </is>
      </c>
      <c r="E357" s="44">
        <f>IFERROR(VLOOKUP(C357,Assets!$A:$F,6,FALSE),0)</f>
        <v/>
      </c>
      <c r="F357" t="inlineStr">
        <is>
          <t>Auto</t>
        </is>
      </c>
      <c r="G357" s="44" t="n"/>
      <c r="H357" s="44">
        <f>IF(F357="No",0,IF(F357="Edited",IF(G357="",E357,G357),E357))</f>
        <v/>
      </c>
    </row>
    <row r="358">
      <c r="A358" s="41" t="n">
        <v>47453</v>
      </c>
      <c r="B358" s="32">
        <f>DATE(YEAR(A358),MONTH(A358),1)</f>
        <v/>
      </c>
      <c r="C358" t="inlineStr">
        <is>
          <t>Core EUR Corp Bond</t>
        </is>
      </c>
      <c r="D358" t="inlineStr">
        <is>
          <t>PAC</t>
        </is>
      </c>
      <c r="E358" s="44">
        <f>IFERROR(VLOOKUP(C358,Assets!$A:$F,6,FALSE),0)</f>
        <v/>
      </c>
      <c r="F358" t="inlineStr">
        <is>
          <t>Auto</t>
        </is>
      </c>
      <c r="G358" s="44" t="n"/>
      <c r="H358" s="44">
        <f>IF(F358="No",0,IF(F358="Edited",IF(G358="",E358,G358),E358))</f>
        <v/>
      </c>
    </row>
    <row r="359">
      <c r="A359" s="41" t="n">
        <v>47453</v>
      </c>
      <c r="B359" s="32">
        <f>DATE(YEAR(A359),MONTH(A359),1)</f>
        <v/>
      </c>
      <c r="C359" t="inlineStr">
        <is>
          <t>MSCI World Value</t>
        </is>
      </c>
      <c r="D359" t="inlineStr">
        <is>
          <t>PAC</t>
        </is>
      </c>
      <c r="E359" s="44">
        <f>IFERROR(VLOOKUP(C359,Assets!$A:$F,6,FALSE),0)</f>
        <v/>
      </c>
      <c r="F359" t="inlineStr">
        <is>
          <t>Auto</t>
        </is>
      </c>
      <c r="G359" s="44" t="n"/>
      <c r="H359" s="44">
        <f>IF(F359="No",0,IF(F359="Edited",IF(G359="",E359,G359),E359))</f>
        <v/>
      </c>
    </row>
    <row r="360">
      <c r="A360" s="41" t="n">
        <v>47453</v>
      </c>
      <c r="B360" s="32">
        <f>DATE(YEAR(A360),MONTH(A360),1)</f>
        <v/>
      </c>
      <c r="C360" t="inlineStr">
        <is>
          <t>MSCI EM</t>
        </is>
      </c>
      <c r="D360" t="inlineStr">
        <is>
          <t>PAC</t>
        </is>
      </c>
      <c r="E360" s="44">
        <f>IFERROR(VLOOKUP(C360,Assets!$A:$F,6,FALSE),0)</f>
        <v/>
      </c>
      <c r="F360" t="inlineStr">
        <is>
          <t>Auto</t>
        </is>
      </c>
      <c r="G360" s="44" t="n"/>
      <c r="H360" s="44">
        <f>IF(F360="No",0,IF(F360="Edited",IF(G360="",E360,G360),E360))</f>
        <v/>
      </c>
    </row>
    <row r="361">
      <c r="A361" s="41" t="n">
        <v>47453</v>
      </c>
      <c r="B361" s="32">
        <f>DATE(YEAR(A361),MONTH(A361),1)</f>
        <v/>
      </c>
      <c r="C361" t="inlineStr">
        <is>
          <t>Defence Tech</t>
        </is>
      </c>
      <c r="D361" t="inlineStr">
        <is>
          <t>PAC</t>
        </is>
      </c>
      <c r="E361" s="44">
        <f>IFERROR(VLOOKUP(C361,Assets!$A:$F,6,FALSE),0)</f>
        <v/>
      </c>
      <c r="F361" t="inlineStr">
        <is>
          <t>Auto</t>
        </is>
      </c>
      <c r="G361" s="44" t="n"/>
      <c r="H361" s="44">
        <f>IF(F361="No",0,IF(F361="Edited",IF(G361="",E361,G361),E361))</f>
        <v/>
      </c>
    </row>
    <row r="362">
      <c r="A362" s="41" t="n">
        <v>47484</v>
      </c>
      <c r="B362" s="32">
        <f>DATE(YEAR(A362),MONTH(A362),1)</f>
        <v/>
      </c>
      <c r="C362" t="inlineStr">
        <is>
          <t>Core MSCI World</t>
        </is>
      </c>
      <c r="D362" t="inlineStr">
        <is>
          <t>PAC</t>
        </is>
      </c>
      <c r="E362" s="44">
        <f>IFERROR(VLOOKUP(C362,Assets!$A:$F,6,FALSE),0)</f>
        <v/>
      </c>
      <c r="F362" t="inlineStr">
        <is>
          <t>Auto</t>
        </is>
      </c>
      <c r="G362" s="44" t="n"/>
      <c r="H362" s="44">
        <f>IF(F362="No",0,IF(F362="Edited",IF(G362="",E362,G362),E362))</f>
        <v/>
      </c>
    </row>
    <row r="363">
      <c r="A363" s="41" t="n">
        <v>47484</v>
      </c>
      <c r="B363" s="32">
        <f>DATE(YEAR(A363),MONTH(A363),1)</f>
        <v/>
      </c>
      <c r="C363" t="inlineStr">
        <is>
          <t>AI &amp; Big Data</t>
        </is>
      </c>
      <c r="D363" t="inlineStr">
        <is>
          <t>PAC</t>
        </is>
      </c>
      <c r="E363" s="44">
        <f>IFERROR(VLOOKUP(C363,Assets!$A:$F,6,FALSE),0)</f>
        <v/>
      </c>
      <c r="F363" t="inlineStr">
        <is>
          <t>Auto</t>
        </is>
      </c>
      <c r="G363" s="44" t="n"/>
      <c r="H363" s="44">
        <f>IF(F363="No",0,IF(F363="Edited",IF(G363="",E363,G363),E363))</f>
        <v/>
      </c>
    </row>
    <row r="364">
      <c r="A364" s="41" t="n">
        <v>47484</v>
      </c>
      <c r="B364" s="32">
        <f>DATE(YEAR(A364),MONTH(A364),1)</f>
        <v/>
      </c>
      <c r="C364" t="inlineStr">
        <is>
          <t>Physical Gold</t>
        </is>
      </c>
      <c r="D364" t="inlineStr">
        <is>
          <t>PAC</t>
        </is>
      </c>
      <c r="E364" s="44">
        <f>IFERROR(VLOOKUP(C364,Assets!$A:$F,6,FALSE),0)</f>
        <v/>
      </c>
      <c r="F364" t="inlineStr">
        <is>
          <t>Auto</t>
        </is>
      </c>
      <c r="G364" s="44" t="n"/>
      <c r="H364" s="44">
        <f>IF(F364="No",0,IF(F364="Edited",IF(G364="",E364,G364),E364))</f>
        <v/>
      </c>
    </row>
    <row r="365">
      <c r="A365" s="41" t="n">
        <v>47484</v>
      </c>
      <c r="B365" s="32">
        <f>DATE(YEAR(A365),MONTH(A365),1)</f>
        <v/>
      </c>
      <c r="C365" t="inlineStr">
        <is>
          <t>Global Gov Bond</t>
        </is>
      </c>
      <c r="D365" t="inlineStr">
        <is>
          <t>PAC</t>
        </is>
      </c>
      <c r="E365" s="44">
        <f>IFERROR(VLOOKUP(C365,Assets!$A:$F,6,FALSE),0)</f>
        <v/>
      </c>
      <c r="F365" t="inlineStr">
        <is>
          <t>Auto</t>
        </is>
      </c>
      <c r="G365" s="44" t="n"/>
      <c r="H365" s="44">
        <f>IF(F365="No",0,IF(F365="Edited",IF(G365="",E365,G365),E365))</f>
        <v/>
      </c>
    </row>
    <row r="366">
      <c r="A366" s="41" t="n">
        <v>47484</v>
      </c>
      <c r="B366" s="32">
        <f>DATE(YEAR(A366),MONTH(A366),1)</f>
        <v/>
      </c>
      <c r="C366" t="inlineStr">
        <is>
          <t>Core EUR Corp Bond</t>
        </is>
      </c>
      <c r="D366" t="inlineStr">
        <is>
          <t>PAC</t>
        </is>
      </c>
      <c r="E366" s="44">
        <f>IFERROR(VLOOKUP(C366,Assets!$A:$F,6,FALSE),0)</f>
        <v/>
      </c>
      <c r="F366" t="inlineStr">
        <is>
          <t>Auto</t>
        </is>
      </c>
      <c r="G366" s="44" t="n"/>
      <c r="H366" s="44">
        <f>IF(F366="No",0,IF(F366="Edited",IF(G366="",E366,G366),E366))</f>
        <v/>
      </c>
    </row>
    <row r="367">
      <c r="A367" s="41" t="n">
        <v>47484</v>
      </c>
      <c r="B367" s="32">
        <f>DATE(YEAR(A367),MONTH(A367),1)</f>
        <v/>
      </c>
      <c r="C367" t="inlineStr">
        <is>
          <t>MSCI World Value</t>
        </is>
      </c>
      <c r="D367" t="inlineStr">
        <is>
          <t>PAC</t>
        </is>
      </c>
      <c r="E367" s="44">
        <f>IFERROR(VLOOKUP(C367,Assets!$A:$F,6,FALSE),0)</f>
        <v/>
      </c>
      <c r="F367" t="inlineStr">
        <is>
          <t>Auto</t>
        </is>
      </c>
      <c r="G367" s="44" t="n"/>
      <c r="H367" s="44">
        <f>IF(F367="No",0,IF(F367="Edited",IF(G367="",E367,G367),E367))</f>
        <v/>
      </c>
    </row>
    <row r="368">
      <c r="A368" s="41" t="n">
        <v>47484</v>
      </c>
      <c r="B368" s="32">
        <f>DATE(YEAR(A368),MONTH(A368),1)</f>
        <v/>
      </c>
      <c r="C368" t="inlineStr">
        <is>
          <t>MSCI EM</t>
        </is>
      </c>
      <c r="D368" t="inlineStr">
        <is>
          <t>PAC</t>
        </is>
      </c>
      <c r="E368" s="44">
        <f>IFERROR(VLOOKUP(C368,Assets!$A:$F,6,FALSE),0)</f>
        <v/>
      </c>
      <c r="F368" t="inlineStr">
        <is>
          <t>Auto</t>
        </is>
      </c>
      <c r="G368" s="44" t="n"/>
      <c r="H368" s="44">
        <f>IF(F368="No",0,IF(F368="Edited",IF(G368="",E368,G368),E368))</f>
        <v/>
      </c>
    </row>
    <row r="369">
      <c r="A369" s="41" t="n">
        <v>47484</v>
      </c>
      <c r="B369" s="32">
        <f>DATE(YEAR(A369),MONTH(A369),1)</f>
        <v/>
      </c>
      <c r="C369" t="inlineStr">
        <is>
          <t>Defence Tech</t>
        </is>
      </c>
      <c r="D369" t="inlineStr">
        <is>
          <t>PAC</t>
        </is>
      </c>
      <c r="E369" s="44">
        <f>IFERROR(VLOOKUP(C369,Assets!$A:$F,6,FALSE),0)</f>
        <v/>
      </c>
      <c r="F369" t="inlineStr">
        <is>
          <t>Auto</t>
        </is>
      </c>
      <c r="G369" s="44" t="n"/>
      <c r="H369" s="44">
        <f>IF(F369="No",0,IF(F369="Edited",IF(G369="",E369,G369),E369))</f>
        <v/>
      </c>
    </row>
    <row r="370">
      <c r="A370" s="41" t="n">
        <v>47515</v>
      </c>
      <c r="B370" s="32">
        <f>DATE(YEAR(A370),MONTH(A370),1)</f>
        <v/>
      </c>
      <c r="C370" t="inlineStr">
        <is>
          <t>Core MSCI World</t>
        </is>
      </c>
      <c r="D370" t="inlineStr">
        <is>
          <t>PAC</t>
        </is>
      </c>
      <c r="E370" s="44">
        <f>IFERROR(VLOOKUP(C370,Assets!$A:$F,6,FALSE),0)</f>
        <v/>
      </c>
      <c r="F370" t="inlineStr">
        <is>
          <t>Auto</t>
        </is>
      </c>
      <c r="G370" s="44" t="n"/>
      <c r="H370" s="44">
        <f>IF(F370="No",0,IF(F370="Edited",IF(G370="",E370,G370),E370))</f>
        <v/>
      </c>
    </row>
    <row r="371">
      <c r="A371" s="41" t="n">
        <v>47515</v>
      </c>
      <c r="B371" s="32">
        <f>DATE(YEAR(A371),MONTH(A371),1)</f>
        <v/>
      </c>
      <c r="C371" t="inlineStr">
        <is>
          <t>AI &amp; Big Data</t>
        </is>
      </c>
      <c r="D371" t="inlineStr">
        <is>
          <t>PAC</t>
        </is>
      </c>
      <c r="E371" s="44">
        <f>IFERROR(VLOOKUP(C371,Assets!$A:$F,6,FALSE),0)</f>
        <v/>
      </c>
      <c r="F371" t="inlineStr">
        <is>
          <t>Auto</t>
        </is>
      </c>
      <c r="G371" s="44" t="n"/>
      <c r="H371" s="44">
        <f>IF(F371="No",0,IF(F371="Edited",IF(G371="",E371,G371),E371))</f>
        <v/>
      </c>
    </row>
    <row r="372">
      <c r="A372" s="41" t="n">
        <v>47515</v>
      </c>
      <c r="B372" s="32">
        <f>DATE(YEAR(A372),MONTH(A372),1)</f>
        <v/>
      </c>
      <c r="C372" t="inlineStr">
        <is>
          <t>Physical Gold</t>
        </is>
      </c>
      <c r="D372" t="inlineStr">
        <is>
          <t>PAC</t>
        </is>
      </c>
      <c r="E372" s="44">
        <f>IFERROR(VLOOKUP(C372,Assets!$A:$F,6,FALSE),0)</f>
        <v/>
      </c>
      <c r="F372" t="inlineStr">
        <is>
          <t>Auto</t>
        </is>
      </c>
      <c r="G372" s="44" t="n"/>
      <c r="H372" s="44">
        <f>IF(F372="No",0,IF(F372="Edited",IF(G372="",E372,G372),E372))</f>
        <v/>
      </c>
    </row>
    <row r="373">
      <c r="A373" s="41" t="n">
        <v>47515</v>
      </c>
      <c r="B373" s="32">
        <f>DATE(YEAR(A373),MONTH(A373),1)</f>
        <v/>
      </c>
      <c r="C373" t="inlineStr">
        <is>
          <t>Global Gov Bond</t>
        </is>
      </c>
      <c r="D373" t="inlineStr">
        <is>
          <t>PAC</t>
        </is>
      </c>
      <c r="E373" s="44">
        <f>IFERROR(VLOOKUP(C373,Assets!$A:$F,6,FALSE),0)</f>
        <v/>
      </c>
      <c r="F373" t="inlineStr">
        <is>
          <t>Auto</t>
        </is>
      </c>
      <c r="G373" s="44" t="n"/>
      <c r="H373" s="44">
        <f>IF(F373="No",0,IF(F373="Edited",IF(G373="",E373,G373),E373))</f>
        <v/>
      </c>
    </row>
    <row r="374">
      <c r="A374" s="41" t="n">
        <v>47515</v>
      </c>
      <c r="B374" s="32">
        <f>DATE(YEAR(A374),MONTH(A374),1)</f>
        <v/>
      </c>
      <c r="C374" t="inlineStr">
        <is>
          <t>Core EUR Corp Bond</t>
        </is>
      </c>
      <c r="D374" t="inlineStr">
        <is>
          <t>PAC</t>
        </is>
      </c>
      <c r="E374" s="44">
        <f>IFERROR(VLOOKUP(C374,Assets!$A:$F,6,FALSE),0)</f>
        <v/>
      </c>
      <c r="F374" t="inlineStr">
        <is>
          <t>Auto</t>
        </is>
      </c>
      <c r="G374" s="44" t="n"/>
      <c r="H374" s="44">
        <f>IF(F374="No",0,IF(F374="Edited",IF(G374="",E374,G374),E374))</f>
        <v/>
      </c>
    </row>
    <row r="375">
      <c r="A375" s="41" t="n">
        <v>47515</v>
      </c>
      <c r="B375" s="32">
        <f>DATE(YEAR(A375),MONTH(A375),1)</f>
        <v/>
      </c>
      <c r="C375" t="inlineStr">
        <is>
          <t>MSCI World Value</t>
        </is>
      </c>
      <c r="D375" t="inlineStr">
        <is>
          <t>PAC</t>
        </is>
      </c>
      <c r="E375" s="44">
        <f>IFERROR(VLOOKUP(C375,Assets!$A:$F,6,FALSE),0)</f>
        <v/>
      </c>
      <c r="F375" t="inlineStr">
        <is>
          <t>Auto</t>
        </is>
      </c>
      <c r="G375" s="44" t="n"/>
      <c r="H375" s="44">
        <f>IF(F375="No",0,IF(F375="Edited",IF(G375="",E375,G375),E375))</f>
        <v/>
      </c>
    </row>
    <row r="376">
      <c r="A376" s="41" t="n">
        <v>47515</v>
      </c>
      <c r="B376" s="32">
        <f>DATE(YEAR(A376),MONTH(A376),1)</f>
        <v/>
      </c>
      <c r="C376" t="inlineStr">
        <is>
          <t>MSCI EM</t>
        </is>
      </c>
      <c r="D376" t="inlineStr">
        <is>
          <t>PAC</t>
        </is>
      </c>
      <c r="E376" s="44">
        <f>IFERROR(VLOOKUP(C376,Assets!$A:$F,6,FALSE),0)</f>
        <v/>
      </c>
      <c r="F376" t="inlineStr">
        <is>
          <t>Auto</t>
        </is>
      </c>
      <c r="G376" s="44" t="n"/>
      <c r="H376" s="44">
        <f>IF(F376="No",0,IF(F376="Edited",IF(G376="",E376,G376),E376))</f>
        <v/>
      </c>
    </row>
    <row r="377">
      <c r="A377" s="41" t="n">
        <v>47515</v>
      </c>
      <c r="B377" s="32">
        <f>DATE(YEAR(A377),MONTH(A377),1)</f>
        <v/>
      </c>
      <c r="C377" t="inlineStr">
        <is>
          <t>Defence Tech</t>
        </is>
      </c>
      <c r="D377" t="inlineStr">
        <is>
          <t>PAC</t>
        </is>
      </c>
      <c r="E377" s="44">
        <f>IFERROR(VLOOKUP(C377,Assets!$A:$F,6,FALSE),0)</f>
        <v/>
      </c>
      <c r="F377" t="inlineStr">
        <is>
          <t>Auto</t>
        </is>
      </c>
      <c r="G377" s="44" t="n"/>
      <c r="H377" s="44">
        <f>IF(F377="No",0,IF(F377="Edited",IF(G377="",E377,G377),E377))</f>
        <v/>
      </c>
    </row>
    <row r="378">
      <c r="A378" s="41" t="n">
        <v>47543</v>
      </c>
      <c r="B378" s="32">
        <f>DATE(YEAR(A378),MONTH(A378),1)</f>
        <v/>
      </c>
      <c r="C378" t="inlineStr">
        <is>
          <t>Core MSCI World</t>
        </is>
      </c>
      <c r="D378" t="inlineStr">
        <is>
          <t>PAC</t>
        </is>
      </c>
      <c r="E378" s="44">
        <f>IFERROR(VLOOKUP(C378,Assets!$A:$F,6,FALSE),0)</f>
        <v/>
      </c>
      <c r="F378" t="inlineStr">
        <is>
          <t>Auto</t>
        </is>
      </c>
      <c r="G378" s="44" t="n"/>
      <c r="H378" s="44">
        <f>IF(F378="No",0,IF(F378="Edited",IF(G378="",E378,G378),E378))</f>
        <v/>
      </c>
    </row>
    <row r="379">
      <c r="A379" s="41" t="n">
        <v>47543</v>
      </c>
      <c r="B379" s="32">
        <f>DATE(YEAR(A379),MONTH(A379),1)</f>
        <v/>
      </c>
      <c r="C379" t="inlineStr">
        <is>
          <t>AI &amp; Big Data</t>
        </is>
      </c>
      <c r="D379" t="inlineStr">
        <is>
          <t>PAC</t>
        </is>
      </c>
      <c r="E379" s="44">
        <f>IFERROR(VLOOKUP(C379,Assets!$A:$F,6,FALSE),0)</f>
        <v/>
      </c>
      <c r="F379" t="inlineStr">
        <is>
          <t>Auto</t>
        </is>
      </c>
      <c r="G379" s="44" t="n"/>
      <c r="H379" s="44">
        <f>IF(F379="No",0,IF(F379="Edited",IF(G379="",E379,G379),E379))</f>
        <v/>
      </c>
    </row>
    <row r="380">
      <c r="A380" s="41" t="n">
        <v>47543</v>
      </c>
      <c r="B380" s="32">
        <f>DATE(YEAR(A380),MONTH(A380),1)</f>
        <v/>
      </c>
      <c r="C380" t="inlineStr">
        <is>
          <t>Physical Gold</t>
        </is>
      </c>
      <c r="D380" t="inlineStr">
        <is>
          <t>PAC</t>
        </is>
      </c>
      <c r="E380" s="44">
        <f>IFERROR(VLOOKUP(C380,Assets!$A:$F,6,FALSE),0)</f>
        <v/>
      </c>
      <c r="F380" t="inlineStr">
        <is>
          <t>Auto</t>
        </is>
      </c>
      <c r="G380" s="44" t="n"/>
      <c r="H380" s="44">
        <f>IF(F380="No",0,IF(F380="Edited",IF(G380="",E380,G380),E380))</f>
        <v/>
      </c>
    </row>
    <row r="381">
      <c r="A381" s="41" t="n">
        <v>47543</v>
      </c>
      <c r="B381" s="32">
        <f>DATE(YEAR(A381),MONTH(A381),1)</f>
        <v/>
      </c>
      <c r="C381" t="inlineStr">
        <is>
          <t>Global Gov Bond</t>
        </is>
      </c>
      <c r="D381" t="inlineStr">
        <is>
          <t>PAC</t>
        </is>
      </c>
      <c r="E381" s="44">
        <f>IFERROR(VLOOKUP(C381,Assets!$A:$F,6,FALSE),0)</f>
        <v/>
      </c>
      <c r="F381" t="inlineStr">
        <is>
          <t>Auto</t>
        </is>
      </c>
      <c r="G381" s="44" t="n"/>
      <c r="H381" s="44">
        <f>IF(F381="No",0,IF(F381="Edited",IF(G381="",E381,G381),E381))</f>
        <v/>
      </c>
    </row>
    <row r="382">
      <c r="A382" s="41" t="n">
        <v>47543</v>
      </c>
      <c r="B382" s="32">
        <f>DATE(YEAR(A382),MONTH(A382),1)</f>
        <v/>
      </c>
      <c r="C382" t="inlineStr">
        <is>
          <t>Core EUR Corp Bond</t>
        </is>
      </c>
      <c r="D382" t="inlineStr">
        <is>
          <t>PAC</t>
        </is>
      </c>
      <c r="E382" s="44">
        <f>IFERROR(VLOOKUP(C382,Assets!$A:$F,6,FALSE),0)</f>
        <v/>
      </c>
      <c r="F382" t="inlineStr">
        <is>
          <t>Auto</t>
        </is>
      </c>
      <c r="G382" s="44" t="n"/>
      <c r="H382" s="44">
        <f>IF(F382="No",0,IF(F382="Edited",IF(G382="",E382,G382),E382))</f>
        <v/>
      </c>
    </row>
    <row r="383">
      <c r="A383" s="41" t="n">
        <v>47543</v>
      </c>
      <c r="B383" s="32">
        <f>DATE(YEAR(A383),MONTH(A383),1)</f>
        <v/>
      </c>
      <c r="C383" t="inlineStr">
        <is>
          <t>MSCI World Value</t>
        </is>
      </c>
      <c r="D383" t="inlineStr">
        <is>
          <t>PAC</t>
        </is>
      </c>
      <c r="E383" s="44">
        <f>IFERROR(VLOOKUP(C383,Assets!$A:$F,6,FALSE),0)</f>
        <v/>
      </c>
      <c r="F383" t="inlineStr">
        <is>
          <t>Auto</t>
        </is>
      </c>
      <c r="G383" s="44" t="n"/>
      <c r="H383" s="44">
        <f>IF(F383="No",0,IF(F383="Edited",IF(G383="",E383,G383),E383))</f>
        <v/>
      </c>
    </row>
    <row r="384">
      <c r="A384" s="41" t="n">
        <v>47543</v>
      </c>
      <c r="B384" s="32">
        <f>DATE(YEAR(A384),MONTH(A384),1)</f>
        <v/>
      </c>
      <c r="C384" t="inlineStr">
        <is>
          <t>MSCI EM</t>
        </is>
      </c>
      <c r="D384" t="inlineStr">
        <is>
          <t>PAC</t>
        </is>
      </c>
      <c r="E384" s="44">
        <f>IFERROR(VLOOKUP(C384,Assets!$A:$F,6,FALSE),0)</f>
        <v/>
      </c>
      <c r="F384" t="inlineStr">
        <is>
          <t>Auto</t>
        </is>
      </c>
      <c r="G384" s="44" t="n"/>
      <c r="H384" s="44">
        <f>IF(F384="No",0,IF(F384="Edited",IF(G384="",E384,G384),E384))</f>
        <v/>
      </c>
    </row>
    <row r="385">
      <c r="A385" s="41" t="n">
        <v>47543</v>
      </c>
      <c r="B385" s="32">
        <f>DATE(YEAR(A385),MONTH(A385),1)</f>
        <v/>
      </c>
      <c r="C385" t="inlineStr">
        <is>
          <t>Defence Tech</t>
        </is>
      </c>
      <c r="D385" t="inlineStr">
        <is>
          <t>PAC</t>
        </is>
      </c>
      <c r="E385" s="44">
        <f>IFERROR(VLOOKUP(C385,Assets!$A:$F,6,FALSE),0)</f>
        <v/>
      </c>
      <c r="F385" t="inlineStr">
        <is>
          <t>Auto</t>
        </is>
      </c>
      <c r="G385" s="44" t="n"/>
      <c r="H385" s="44">
        <f>IF(F385="No",0,IF(F385="Edited",IF(G385="",E385,G385),E385))</f>
        <v/>
      </c>
    </row>
    <row r="386">
      <c r="A386" s="41" t="n">
        <v>47574</v>
      </c>
      <c r="B386" s="32">
        <f>DATE(YEAR(A386),MONTH(A386),1)</f>
        <v/>
      </c>
      <c r="C386" t="inlineStr">
        <is>
          <t>Core MSCI World</t>
        </is>
      </c>
      <c r="D386" t="inlineStr">
        <is>
          <t>PAC</t>
        </is>
      </c>
      <c r="E386" s="44">
        <f>IFERROR(VLOOKUP(C386,Assets!$A:$F,6,FALSE),0)</f>
        <v/>
      </c>
      <c r="F386" t="inlineStr">
        <is>
          <t>Auto</t>
        </is>
      </c>
      <c r="G386" s="44" t="n"/>
      <c r="H386" s="44">
        <f>IF(F386="No",0,IF(F386="Edited",IF(G386="",E386,G386),E386))</f>
        <v/>
      </c>
    </row>
    <row r="387">
      <c r="A387" s="41" t="n">
        <v>47574</v>
      </c>
      <c r="B387" s="32">
        <f>DATE(YEAR(A387),MONTH(A387),1)</f>
        <v/>
      </c>
      <c r="C387" t="inlineStr">
        <is>
          <t>AI &amp; Big Data</t>
        </is>
      </c>
      <c r="D387" t="inlineStr">
        <is>
          <t>PAC</t>
        </is>
      </c>
      <c r="E387" s="44">
        <f>IFERROR(VLOOKUP(C387,Assets!$A:$F,6,FALSE),0)</f>
        <v/>
      </c>
      <c r="F387" t="inlineStr">
        <is>
          <t>Auto</t>
        </is>
      </c>
      <c r="G387" s="44" t="n"/>
      <c r="H387" s="44">
        <f>IF(F387="No",0,IF(F387="Edited",IF(G387="",E387,G387),E387))</f>
        <v/>
      </c>
    </row>
    <row r="388">
      <c r="A388" s="41" t="n">
        <v>47574</v>
      </c>
      <c r="B388" s="32">
        <f>DATE(YEAR(A388),MONTH(A388),1)</f>
        <v/>
      </c>
      <c r="C388" t="inlineStr">
        <is>
          <t>Physical Gold</t>
        </is>
      </c>
      <c r="D388" t="inlineStr">
        <is>
          <t>PAC</t>
        </is>
      </c>
      <c r="E388" s="44">
        <f>IFERROR(VLOOKUP(C388,Assets!$A:$F,6,FALSE),0)</f>
        <v/>
      </c>
      <c r="F388" t="inlineStr">
        <is>
          <t>Auto</t>
        </is>
      </c>
      <c r="G388" s="44" t="n"/>
      <c r="H388" s="44">
        <f>IF(F388="No",0,IF(F388="Edited",IF(G388="",E388,G388),E388))</f>
        <v/>
      </c>
    </row>
    <row r="389">
      <c r="A389" s="41" t="n">
        <v>47574</v>
      </c>
      <c r="B389" s="32">
        <f>DATE(YEAR(A389),MONTH(A389),1)</f>
        <v/>
      </c>
      <c r="C389" t="inlineStr">
        <is>
          <t>Global Gov Bond</t>
        </is>
      </c>
      <c r="D389" t="inlineStr">
        <is>
          <t>PAC</t>
        </is>
      </c>
      <c r="E389" s="44">
        <f>IFERROR(VLOOKUP(C389,Assets!$A:$F,6,FALSE),0)</f>
        <v/>
      </c>
      <c r="F389" t="inlineStr">
        <is>
          <t>Auto</t>
        </is>
      </c>
      <c r="G389" s="44" t="n"/>
      <c r="H389" s="44">
        <f>IF(F389="No",0,IF(F389="Edited",IF(G389="",E389,G389),E389))</f>
        <v/>
      </c>
    </row>
    <row r="390">
      <c r="A390" s="41" t="n">
        <v>47574</v>
      </c>
      <c r="B390" s="32">
        <f>DATE(YEAR(A390),MONTH(A390),1)</f>
        <v/>
      </c>
      <c r="C390" t="inlineStr">
        <is>
          <t>Core EUR Corp Bond</t>
        </is>
      </c>
      <c r="D390" t="inlineStr">
        <is>
          <t>PAC</t>
        </is>
      </c>
      <c r="E390" s="44">
        <f>IFERROR(VLOOKUP(C390,Assets!$A:$F,6,FALSE),0)</f>
        <v/>
      </c>
      <c r="F390" t="inlineStr">
        <is>
          <t>Auto</t>
        </is>
      </c>
      <c r="G390" s="44" t="n"/>
      <c r="H390" s="44">
        <f>IF(F390="No",0,IF(F390="Edited",IF(G390="",E390,G390),E390))</f>
        <v/>
      </c>
    </row>
    <row r="391">
      <c r="A391" s="41" t="n">
        <v>47574</v>
      </c>
      <c r="B391" s="32">
        <f>DATE(YEAR(A391),MONTH(A391),1)</f>
        <v/>
      </c>
      <c r="C391" t="inlineStr">
        <is>
          <t>MSCI World Value</t>
        </is>
      </c>
      <c r="D391" t="inlineStr">
        <is>
          <t>PAC</t>
        </is>
      </c>
      <c r="E391" s="44">
        <f>IFERROR(VLOOKUP(C391,Assets!$A:$F,6,FALSE),0)</f>
        <v/>
      </c>
      <c r="F391" t="inlineStr">
        <is>
          <t>Auto</t>
        </is>
      </c>
      <c r="G391" s="44" t="n"/>
      <c r="H391" s="44">
        <f>IF(F391="No",0,IF(F391="Edited",IF(G391="",E391,G391),E391))</f>
        <v/>
      </c>
    </row>
    <row r="392">
      <c r="A392" s="41" t="n">
        <v>47574</v>
      </c>
      <c r="B392" s="32">
        <f>DATE(YEAR(A392),MONTH(A392),1)</f>
        <v/>
      </c>
      <c r="C392" t="inlineStr">
        <is>
          <t>MSCI EM</t>
        </is>
      </c>
      <c r="D392" t="inlineStr">
        <is>
          <t>PAC</t>
        </is>
      </c>
      <c r="E392" s="44">
        <f>IFERROR(VLOOKUP(C392,Assets!$A:$F,6,FALSE),0)</f>
        <v/>
      </c>
      <c r="F392" t="inlineStr">
        <is>
          <t>Auto</t>
        </is>
      </c>
      <c r="G392" s="44" t="n"/>
      <c r="H392" s="44">
        <f>IF(F392="No",0,IF(F392="Edited",IF(G392="",E392,G392),E392))</f>
        <v/>
      </c>
    </row>
    <row r="393">
      <c r="A393" s="41" t="n">
        <v>47574</v>
      </c>
      <c r="B393" s="32">
        <f>DATE(YEAR(A393),MONTH(A393),1)</f>
        <v/>
      </c>
      <c r="C393" t="inlineStr">
        <is>
          <t>Defence Tech</t>
        </is>
      </c>
      <c r="D393" t="inlineStr">
        <is>
          <t>PAC</t>
        </is>
      </c>
      <c r="E393" s="44">
        <f>IFERROR(VLOOKUP(C393,Assets!$A:$F,6,FALSE),0)</f>
        <v/>
      </c>
      <c r="F393" t="inlineStr">
        <is>
          <t>Auto</t>
        </is>
      </c>
      <c r="G393" s="44" t="n"/>
      <c r="H393" s="44">
        <f>IF(F393="No",0,IF(F393="Edited",IF(G393="",E393,G393),E393))</f>
        <v/>
      </c>
    </row>
    <row r="394">
      <c r="A394" s="41" t="n">
        <v>47604</v>
      </c>
      <c r="B394" s="32">
        <f>DATE(YEAR(A394),MONTH(A394),1)</f>
        <v/>
      </c>
      <c r="C394" t="inlineStr">
        <is>
          <t>Core MSCI World</t>
        </is>
      </c>
      <c r="D394" t="inlineStr">
        <is>
          <t>PAC</t>
        </is>
      </c>
      <c r="E394" s="44">
        <f>IFERROR(VLOOKUP(C394,Assets!$A:$F,6,FALSE),0)</f>
        <v/>
      </c>
      <c r="F394" t="inlineStr">
        <is>
          <t>Auto</t>
        </is>
      </c>
      <c r="G394" s="44" t="n"/>
      <c r="H394" s="44">
        <f>IF(F394="No",0,IF(F394="Edited",IF(G394="",E394,G394),E394))</f>
        <v/>
      </c>
    </row>
    <row r="395">
      <c r="A395" s="41" t="n">
        <v>47604</v>
      </c>
      <c r="B395" s="32">
        <f>DATE(YEAR(A395),MONTH(A395),1)</f>
        <v/>
      </c>
      <c r="C395" t="inlineStr">
        <is>
          <t>AI &amp; Big Data</t>
        </is>
      </c>
      <c r="D395" t="inlineStr">
        <is>
          <t>PAC</t>
        </is>
      </c>
      <c r="E395" s="44">
        <f>IFERROR(VLOOKUP(C395,Assets!$A:$F,6,FALSE),0)</f>
        <v/>
      </c>
      <c r="F395" t="inlineStr">
        <is>
          <t>Auto</t>
        </is>
      </c>
      <c r="G395" s="44" t="n"/>
      <c r="H395" s="44">
        <f>IF(F395="No",0,IF(F395="Edited",IF(G395="",E395,G395),E395))</f>
        <v/>
      </c>
    </row>
    <row r="396">
      <c r="A396" s="41" t="n">
        <v>47604</v>
      </c>
      <c r="B396" s="32">
        <f>DATE(YEAR(A396),MONTH(A396),1)</f>
        <v/>
      </c>
      <c r="C396" t="inlineStr">
        <is>
          <t>Physical Gold</t>
        </is>
      </c>
      <c r="D396" t="inlineStr">
        <is>
          <t>PAC</t>
        </is>
      </c>
      <c r="E396" s="44">
        <f>IFERROR(VLOOKUP(C396,Assets!$A:$F,6,FALSE),0)</f>
        <v/>
      </c>
      <c r="F396" t="inlineStr">
        <is>
          <t>Auto</t>
        </is>
      </c>
      <c r="G396" s="44" t="n"/>
      <c r="H396" s="44">
        <f>IF(F396="No",0,IF(F396="Edited",IF(G396="",E396,G396),E396))</f>
        <v/>
      </c>
    </row>
    <row r="397">
      <c r="A397" s="41" t="n">
        <v>47604</v>
      </c>
      <c r="B397" s="32">
        <f>DATE(YEAR(A397),MONTH(A397),1)</f>
        <v/>
      </c>
      <c r="C397" t="inlineStr">
        <is>
          <t>Global Gov Bond</t>
        </is>
      </c>
      <c r="D397" t="inlineStr">
        <is>
          <t>PAC</t>
        </is>
      </c>
      <c r="E397" s="44">
        <f>IFERROR(VLOOKUP(C397,Assets!$A:$F,6,FALSE),0)</f>
        <v/>
      </c>
      <c r="F397" t="inlineStr">
        <is>
          <t>Auto</t>
        </is>
      </c>
      <c r="G397" s="44" t="n"/>
      <c r="H397" s="44">
        <f>IF(F397="No",0,IF(F397="Edited",IF(G397="",E397,G397),E397))</f>
        <v/>
      </c>
    </row>
    <row r="398">
      <c r="A398" s="41" t="n">
        <v>47604</v>
      </c>
      <c r="B398" s="32">
        <f>DATE(YEAR(A398),MONTH(A398),1)</f>
        <v/>
      </c>
      <c r="C398" t="inlineStr">
        <is>
          <t>Core EUR Corp Bond</t>
        </is>
      </c>
      <c r="D398" t="inlineStr">
        <is>
          <t>PAC</t>
        </is>
      </c>
      <c r="E398" s="44">
        <f>IFERROR(VLOOKUP(C398,Assets!$A:$F,6,FALSE),0)</f>
        <v/>
      </c>
      <c r="F398" t="inlineStr">
        <is>
          <t>Auto</t>
        </is>
      </c>
      <c r="G398" s="44" t="n"/>
      <c r="H398" s="44">
        <f>IF(F398="No",0,IF(F398="Edited",IF(G398="",E398,G398),E398))</f>
        <v/>
      </c>
    </row>
    <row r="399">
      <c r="A399" s="41" t="n">
        <v>47604</v>
      </c>
      <c r="B399" s="32">
        <f>DATE(YEAR(A399),MONTH(A399),1)</f>
        <v/>
      </c>
      <c r="C399" t="inlineStr">
        <is>
          <t>MSCI World Value</t>
        </is>
      </c>
      <c r="D399" t="inlineStr">
        <is>
          <t>PAC</t>
        </is>
      </c>
      <c r="E399" s="44">
        <f>IFERROR(VLOOKUP(C399,Assets!$A:$F,6,FALSE),0)</f>
        <v/>
      </c>
      <c r="F399" t="inlineStr">
        <is>
          <t>Auto</t>
        </is>
      </c>
      <c r="G399" s="44" t="n"/>
      <c r="H399" s="44">
        <f>IF(F399="No",0,IF(F399="Edited",IF(G399="",E399,G399),E399))</f>
        <v/>
      </c>
    </row>
    <row r="400">
      <c r="A400" s="41" t="n">
        <v>47604</v>
      </c>
      <c r="B400" s="32">
        <f>DATE(YEAR(A400),MONTH(A400),1)</f>
        <v/>
      </c>
      <c r="C400" t="inlineStr">
        <is>
          <t>MSCI EM</t>
        </is>
      </c>
      <c r="D400" t="inlineStr">
        <is>
          <t>PAC</t>
        </is>
      </c>
      <c r="E400" s="44">
        <f>IFERROR(VLOOKUP(C400,Assets!$A:$F,6,FALSE),0)</f>
        <v/>
      </c>
      <c r="F400" t="inlineStr">
        <is>
          <t>Auto</t>
        </is>
      </c>
      <c r="G400" s="44" t="n"/>
      <c r="H400" s="44">
        <f>IF(F400="No",0,IF(F400="Edited",IF(G400="",E400,G400),E400))</f>
        <v/>
      </c>
    </row>
    <row r="401">
      <c r="A401" s="41" t="n">
        <v>47604</v>
      </c>
      <c r="B401" s="32">
        <f>DATE(YEAR(A401),MONTH(A401),1)</f>
        <v/>
      </c>
      <c r="C401" t="inlineStr">
        <is>
          <t>Defence Tech</t>
        </is>
      </c>
      <c r="D401" t="inlineStr">
        <is>
          <t>PAC</t>
        </is>
      </c>
      <c r="E401" s="44">
        <f>IFERROR(VLOOKUP(C401,Assets!$A:$F,6,FALSE),0)</f>
        <v/>
      </c>
      <c r="F401" t="inlineStr">
        <is>
          <t>Auto</t>
        </is>
      </c>
      <c r="G401" s="44" t="n"/>
      <c r="H401" s="44">
        <f>IF(F401="No",0,IF(F401="Edited",IF(G401="",E401,G401),E401))</f>
        <v/>
      </c>
    </row>
    <row r="402">
      <c r="A402" s="41" t="n">
        <v>47635</v>
      </c>
      <c r="B402" s="32">
        <f>DATE(YEAR(A402),MONTH(A402),1)</f>
        <v/>
      </c>
      <c r="C402" t="inlineStr">
        <is>
          <t>Core MSCI World</t>
        </is>
      </c>
      <c r="D402" t="inlineStr">
        <is>
          <t>PAC</t>
        </is>
      </c>
      <c r="E402" s="44">
        <f>IFERROR(VLOOKUP(C402,Assets!$A:$F,6,FALSE),0)</f>
        <v/>
      </c>
      <c r="F402" t="inlineStr">
        <is>
          <t>Auto</t>
        </is>
      </c>
      <c r="G402" s="44" t="n"/>
      <c r="H402" s="44">
        <f>IF(F402="No",0,IF(F402="Edited",IF(G402="",E402,G402),E402))</f>
        <v/>
      </c>
    </row>
    <row r="403">
      <c r="A403" s="41" t="n">
        <v>47635</v>
      </c>
      <c r="B403" s="32">
        <f>DATE(YEAR(A403),MONTH(A403),1)</f>
        <v/>
      </c>
      <c r="C403" t="inlineStr">
        <is>
          <t>AI &amp; Big Data</t>
        </is>
      </c>
      <c r="D403" t="inlineStr">
        <is>
          <t>PAC</t>
        </is>
      </c>
      <c r="E403" s="44">
        <f>IFERROR(VLOOKUP(C403,Assets!$A:$F,6,FALSE),0)</f>
        <v/>
      </c>
      <c r="F403" t="inlineStr">
        <is>
          <t>Auto</t>
        </is>
      </c>
      <c r="G403" s="44" t="n"/>
      <c r="H403" s="44">
        <f>IF(F403="No",0,IF(F403="Edited",IF(G403="",E403,G403),E403))</f>
        <v/>
      </c>
    </row>
    <row r="404">
      <c r="A404" s="41" t="n">
        <v>47635</v>
      </c>
      <c r="B404" s="32">
        <f>DATE(YEAR(A404),MONTH(A404),1)</f>
        <v/>
      </c>
      <c r="C404" t="inlineStr">
        <is>
          <t>Physical Gold</t>
        </is>
      </c>
      <c r="D404" t="inlineStr">
        <is>
          <t>PAC</t>
        </is>
      </c>
      <c r="E404" s="44">
        <f>IFERROR(VLOOKUP(C404,Assets!$A:$F,6,FALSE),0)</f>
        <v/>
      </c>
      <c r="F404" t="inlineStr">
        <is>
          <t>Auto</t>
        </is>
      </c>
      <c r="G404" s="44" t="n"/>
      <c r="H404" s="44">
        <f>IF(F404="No",0,IF(F404="Edited",IF(G404="",E404,G404),E404))</f>
        <v/>
      </c>
    </row>
    <row r="405">
      <c r="A405" s="41" t="n">
        <v>47635</v>
      </c>
      <c r="B405" s="32">
        <f>DATE(YEAR(A405),MONTH(A405),1)</f>
        <v/>
      </c>
      <c r="C405" t="inlineStr">
        <is>
          <t>Global Gov Bond</t>
        </is>
      </c>
      <c r="D405" t="inlineStr">
        <is>
          <t>PAC</t>
        </is>
      </c>
      <c r="E405" s="44">
        <f>IFERROR(VLOOKUP(C405,Assets!$A:$F,6,FALSE),0)</f>
        <v/>
      </c>
      <c r="F405" t="inlineStr">
        <is>
          <t>Auto</t>
        </is>
      </c>
      <c r="G405" s="44" t="n"/>
      <c r="H405" s="44">
        <f>IF(F405="No",0,IF(F405="Edited",IF(G405="",E405,G405),E405))</f>
        <v/>
      </c>
    </row>
    <row r="406">
      <c r="A406" s="41" t="n">
        <v>47635</v>
      </c>
      <c r="B406" s="32">
        <f>DATE(YEAR(A406),MONTH(A406),1)</f>
        <v/>
      </c>
      <c r="C406" t="inlineStr">
        <is>
          <t>Core EUR Corp Bond</t>
        </is>
      </c>
      <c r="D406" t="inlineStr">
        <is>
          <t>PAC</t>
        </is>
      </c>
      <c r="E406" s="44">
        <f>IFERROR(VLOOKUP(C406,Assets!$A:$F,6,FALSE),0)</f>
        <v/>
      </c>
      <c r="F406" t="inlineStr">
        <is>
          <t>Auto</t>
        </is>
      </c>
      <c r="G406" s="44" t="n"/>
      <c r="H406" s="44">
        <f>IF(F406="No",0,IF(F406="Edited",IF(G406="",E406,G406),E406))</f>
        <v/>
      </c>
    </row>
    <row r="407">
      <c r="A407" s="41" t="n">
        <v>47635</v>
      </c>
      <c r="B407" s="32">
        <f>DATE(YEAR(A407),MONTH(A407),1)</f>
        <v/>
      </c>
      <c r="C407" t="inlineStr">
        <is>
          <t>MSCI World Value</t>
        </is>
      </c>
      <c r="D407" t="inlineStr">
        <is>
          <t>PAC</t>
        </is>
      </c>
      <c r="E407" s="44">
        <f>IFERROR(VLOOKUP(C407,Assets!$A:$F,6,FALSE),0)</f>
        <v/>
      </c>
      <c r="F407" t="inlineStr">
        <is>
          <t>Auto</t>
        </is>
      </c>
      <c r="G407" s="44" t="n"/>
      <c r="H407" s="44">
        <f>IF(F407="No",0,IF(F407="Edited",IF(G407="",E407,G407),E407))</f>
        <v/>
      </c>
    </row>
    <row r="408">
      <c r="A408" s="41" t="n">
        <v>47635</v>
      </c>
      <c r="B408" s="32">
        <f>DATE(YEAR(A408),MONTH(A408),1)</f>
        <v/>
      </c>
      <c r="C408" t="inlineStr">
        <is>
          <t>MSCI EM</t>
        </is>
      </c>
      <c r="D408" t="inlineStr">
        <is>
          <t>PAC</t>
        </is>
      </c>
      <c r="E408" s="44">
        <f>IFERROR(VLOOKUP(C408,Assets!$A:$F,6,FALSE),0)</f>
        <v/>
      </c>
      <c r="F408" t="inlineStr">
        <is>
          <t>Auto</t>
        </is>
      </c>
      <c r="G408" s="44" t="n"/>
      <c r="H408" s="44">
        <f>IF(F408="No",0,IF(F408="Edited",IF(G408="",E408,G408),E408))</f>
        <v/>
      </c>
    </row>
    <row r="409">
      <c r="A409" s="41" t="n">
        <v>47635</v>
      </c>
      <c r="B409" s="32">
        <f>DATE(YEAR(A409),MONTH(A409),1)</f>
        <v/>
      </c>
      <c r="C409" t="inlineStr">
        <is>
          <t>Defence Tech</t>
        </is>
      </c>
      <c r="D409" t="inlineStr">
        <is>
          <t>PAC</t>
        </is>
      </c>
      <c r="E409" s="44">
        <f>IFERROR(VLOOKUP(C409,Assets!$A:$F,6,FALSE),0)</f>
        <v/>
      </c>
      <c r="F409" t="inlineStr">
        <is>
          <t>Auto</t>
        </is>
      </c>
      <c r="G409" s="44" t="n"/>
      <c r="H409" s="44">
        <f>IF(F409="No",0,IF(F409="Edited",IF(G409="",E409,G409),E409))</f>
        <v/>
      </c>
    </row>
    <row r="410">
      <c r="A410" s="41" t="n">
        <v>47665</v>
      </c>
      <c r="B410" s="32">
        <f>DATE(YEAR(A410),MONTH(A410),1)</f>
        <v/>
      </c>
      <c r="C410" t="inlineStr">
        <is>
          <t>Core MSCI World</t>
        </is>
      </c>
      <c r="D410" t="inlineStr">
        <is>
          <t>PAC</t>
        </is>
      </c>
      <c r="E410" s="44">
        <f>IFERROR(VLOOKUP(C410,Assets!$A:$F,6,FALSE),0)</f>
        <v/>
      </c>
      <c r="F410" t="inlineStr">
        <is>
          <t>Auto</t>
        </is>
      </c>
      <c r="G410" s="44" t="n"/>
      <c r="H410" s="44">
        <f>IF(F410="No",0,IF(F410="Edited",IF(G410="",E410,G410),E410))</f>
        <v/>
      </c>
    </row>
    <row r="411">
      <c r="A411" s="41" t="n">
        <v>47665</v>
      </c>
      <c r="B411" s="32">
        <f>DATE(YEAR(A411),MONTH(A411),1)</f>
        <v/>
      </c>
      <c r="C411" t="inlineStr">
        <is>
          <t>AI &amp; Big Data</t>
        </is>
      </c>
      <c r="D411" t="inlineStr">
        <is>
          <t>PAC</t>
        </is>
      </c>
      <c r="E411" s="44">
        <f>IFERROR(VLOOKUP(C411,Assets!$A:$F,6,FALSE),0)</f>
        <v/>
      </c>
      <c r="F411" t="inlineStr">
        <is>
          <t>Auto</t>
        </is>
      </c>
      <c r="G411" s="44" t="n"/>
      <c r="H411" s="44">
        <f>IF(F411="No",0,IF(F411="Edited",IF(G411="",E411,G411),E411))</f>
        <v/>
      </c>
    </row>
    <row r="412">
      <c r="A412" s="41" t="n">
        <v>47665</v>
      </c>
      <c r="B412" s="32">
        <f>DATE(YEAR(A412),MONTH(A412),1)</f>
        <v/>
      </c>
      <c r="C412" t="inlineStr">
        <is>
          <t>Physical Gold</t>
        </is>
      </c>
      <c r="D412" t="inlineStr">
        <is>
          <t>PAC</t>
        </is>
      </c>
      <c r="E412" s="44">
        <f>IFERROR(VLOOKUP(C412,Assets!$A:$F,6,FALSE),0)</f>
        <v/>
      </c>
      <c r="F412" t="inlineStr">
        <is>
          <t>Auto</t>
        </is>
      </c>
      <c r="G412" s="44" t="n"/>
      <c r="H412" s="44">
        <f>IF(F412="No",0,IF(F412="Edited",IF(G412="",E412,G412),E412))</f>
        <v/>
      </c>
    </row>
    <row r="413">
      <c r="A413" s="41" t="n">
        <v>47665</v>
      </c>
      <c r="B413" s="32">
        <f>DATE(YEAR(A413),MONTH(A413),1)</f>
        <v/>
      </c>
      <c r="C413" t="inlineStr">
        <is>
          <t>Global Gov Bond</t>
        </is>
      </c>
      <c r="D413" t="inlineStr">
        <is>
          <t>PAC</t>
        </is>
      </c>
      <c r="E413" s="44">
        <f>IFERROR(VLOOKUP(C413,Assets!$A:$F,6,FALSE),0)</f>
        <v/>
      </c>
      <c r="F413" t="inlineStr">
        <is>
          <t>Auto</t>
        </is>
      </c>
      <c r="G413" s="44" t="n"/>
      <c r="H413" s="44">
        <f>IF(F413="No",0,IF(F413="Edited",IF(G413="",E413,G413),E413))</f>
        <v/>
      </c>
    </row>
    <row r="414">
      <c r="A414" s="41" t="n">
        <v>47665</v>
      </c>
      <c r="B414" s="32">
        <f>DATE(YEAR(A414),MONTH(A414),1)</f>
        <v/>
      </c>
      <c r="C414" t="inlineStr">
        <is>
          <t>Core EUR Corp Bond</t>
        </is>
      </c>
      <c r="D414" t="inlineStr">
        <is>
          <t>PAC</t>
        </is>
      </c>
      <c r="E414" s="44">
        <f>IFERROR(VLOOKUP(C414,Assets!$A:$F,6,FALSE),0)</f>
        <v/>
      </c>
      <c r="F414" t="inlineStr">
        <is>
          <t>Auto</t>
        </is>
      </c>
      <c r="G414" s="44" t="n"/>
      <c r="H414" s="44">
        <f>IF(F414="No",0,IF(F414="Edited",IF(G414="",E414,G414),E414))</f>
        <v/>
      </c>
    </row>
    <row r="415">
      <c r="A415" s="41" t="n">
        <v>47665</v>
      </c>
      <c r="B415" s="32">
        <f>DATE(YEAR(A415),MONTH(A415),1)</f>
        <v/>
      </c>
      <c r="C415" t="inlineStr">
        <is>
          <t>MSCI World Value</t>
        </is>
      </c>
      <c r="D415" t="inlineStr">
        <is>
          <t>PAC</t>
        </is>
      </c>
      <c r="E415" s="44">
        <f>IFERROR(VLOOKUP(C415,Assets!$A:$F,6,FALSE),0)</f>
        <v/>
      </c>
      <c r="F415" t="inlineStr">
        <is>
          <t>Auto</t>
        </is>
      </c>
      <c r="G415" s="44" t="n"/>
      <c r="H415" s="44">
        <f>IF(F415="No",0,IF(F415="Edited",IF(G415="",E415,G415),E415))</f>
        <v/>
      </c>
    </row>
    <row r="416">
      <c r="A416" s="41" t="n">
        <v>47665</v>
      </c>
      <c r="B416" s="32">
        <f>DATE(YEAR(A416),MONTH(A416),1)</f>
        <v/>
      </c>
      <c r="C416" t="inlineStr">
        <is>
          <t>MSCI EM</t>
        </is>
      </c>
      <c r="D416" t="inlineStr">
        <is>
          <t>PAC</t>
        </is>
      </c>
      <c r="E416" s="44">
        <f>IFERROR(VLOOKUP(C416,Assets!$A:$F,6,FALSE),0)</f>
        <v/>
      </c>
      <c r="F416" t="inlineStr">
        <is>
          <t>Auto</t>
        </is>
      </c>
      <c r="G416" s="44" t="n"/>
      <c r="H416" s="44">
        <f>IF(F416="No",0,IF(F416="Edited",IF(G416="",E416,G416),E416))</f>
        <v/>
      </c>
    </row>
    <row r="417">
      <c r="A417" s="41" t="n">
        <v>47665</v>
      </c>
      <c r="B417" s="32">
        <f>DATE(YEAR(A417),MONTH(A417),1)</f>
        <v/>
      </c>
      <c r="C417" t="inlineStr">
        <is>
          <t>Defence Tech</t>
        </is>
      </c>
      <c r="D417" t="inlineStr">
        <is>
          <t>PAC</t>
        </is>
      </c>
      <c r="E417" s="44">
        <f>IFERROR(VLOOKUP(C417,Assets!$A:$F,6,FALSE),0)</f>
        <v/>
      </c>
      <c r="F417" t="inlineStr">
        <is>
          <t>Auto</t>
        </is>
      </c>
      <c r="G417" s="44" t="n"/>
      <c r="H417" s="44">
        <f>IF(F417="No",0,IF(F417="Edited",IF(G417="",E417,G417),E417))</f>
        <v/>
      </c>
    </row>
    <row r="418">
      <c r="A418" s="41" t="n">
        <v>47696</v>
      </c>
      <c r="B418" s="32">
        <f>DATE(YEAR(A418),MONTH(A418),1)</f>
        <v/>
      </c>
      <c r="C418" t="inlineStr">
        <is>
          <t>Core MSCI World</t>
        </is>
      </c>
      <c r="D418" t="inlineStr">
        <is>
          <t>PAC</t>
        </is>
      </c>
      <c r="E418" s="44">
        <f>IFERROR(VLOOKUP(C418,Assets!$A:$F,6,FALSE),0)</f>
        <v/>
      </c>
      <c r="F418" t="inlineStr">
        <is>
          <t>Auto</t>
        </is>
      </c>
      <c r="G418" s="44" t="n"/>
      <c r="H418" s="44">
        <f>IF(F418="No",0,IF(F418="Edited",IF(G418="",E418,G418),E418))</f>
        <v/>
      </c>
    </row>
    <row r="419">
      <c r="A419" s="41" t="n">
        <v>47696</v>
      </c>
      <c r="B419" s="32">
        <f>DATE(YEAR(A419),MONTH(A419),1)</f>
        <v/>
      </c>
      <c r="C419" t="inlineStr">
        <is>
          <t>AI &amp; Big Data</t>
        </is>
      </c>
      <c r="D419" t="inlineStr">
        <is>
          <t>PAC</t>
        </is>
      </c>
      <c r="E419" s="44">
        <f>IFERROR(VLOOKUP(C419,Assets!$A:$F,6,FALSE),0)</f>
        <v/>
      </c>
      <c r="F419" t="inlineStr">
        <is>
          <t>Auto</t>
        </is>
      </c>
      <c r="G419" s="44" t="n"/>
      <c r="H419" s="44">
        <f>IF(F419="No",0,IF(F419="Edited",IF(G419="",E419,G419),E419))</f>
        <v/>
      </c>
    </row>
    <row r="420">
      <c r="A420" s="41" t="n">
        <v>47696</v>
      </c>
      <c r="B420" s="32">
        <f>DATE(YEAR(A420),MONTH(A420),1)</f>
        <v/>
      </c>
      <c r="C420" t="inlineStr">
        <is>
          <t>Physical Gold</t>
        </is>
      </c>
      <c r="D420" t="inlineStr">
        <is>
          <t>PAC</t>
        </is>
      </c>
      <c r="E420" s="44">
        <f>IFERROR(VLOOKUP(C420,Assets!$A:$F,6,FALSE),0)</f>
        <v/>
      </c>
      <c r="F420" t="inlineStr">
        <is>
          <t>Auto</t>
        </is>
      </c>
      <c r="G420" s="44" t="n"/>
      <c r="H420" s="44">
        <f>IF(F420="No",0,IF(F420="Edited",IF(G420="",E420,G420),E420))</f>
        <v/>
      </c>
    </row>
    <row r="421">
      <c r="A421" s="41" t="n">
        <v>47696</v>
      </c>
      <c r="B421" s="32">
        <f>DATE(YEAR(A421),MONTH(A421),1)</f>
        <v/>
      </c>
      <c r="C421" t="inlineStr">
        <is>
          <t>Global Gov Bond</t>
        </is>
      </c>
      <c r="D421" t="inlineStr">
        <is>
          <t>PAC</t>
        </is>
      </c>
      <c r="E421" s="44">
        <f>IFERROR(VLOOKUP(C421,Assets!$A:$F,6,FALSE),0)</f>
        <v/>
      </c>
      <c r="F421" t="inlineStr">
        <is>
          <t>Auto</t>
        </is>
      </c>
      <c r="G421" s="44" t="n"/>
      <c r="H421" s="44">
        <f>IF(F421="No",0,IF(F421="Edited",IF(G421="",E421,G421),E421))</f>
        <v/>
      </c>
    </row>
    <row r="422">
      <c r="A422" s="41" t="n">
        <v>47696</v>
      </c>
      <c r="B422" s="32">
        <f>DATE(YEAR(A422),MONTH(A422),1)</f>
        <v/>
      </c>
      <c r="C422" t="inlineStr">
        <is>
          <t>Core EUR Corp Bond</t>
        </is>
      </c>
      <c r="D422" t="inlineStr">
        <is>
          <t>PAC</t>
        </is>
      </c>
      <c r="E422" s="44">
        <f>IFERROR(VLOOKUP(C422,Assets!$A:$F,6,FALSE),0)</f>
        <v/>
      </c>
      <c r="F422" t="inlineStr">
        <is>
          <t>Auto</t>
        </is>
      </c>
      <c r="G422" s="44" t="n"/>
      <c r="H422" s="44">
        <f>IF(F422="No",0,IF(F422="Edited",IF(G422="",E422,G422),E422))</f>
        <v/>
      </c>
    </row>
    <row r="423">
      <c r="A423" s="41" t="n">
        <v>47696</v>
      </c>
      <c r="B423" s="32">
        <f>DATE(YEAR(A423),MONTH(A423),1)</f>
        <v/>
      </c>
      <c r="C423" t="inlineStr">
        <is>
          <t>MSCI World Value</t>
        </is>
      </c>
      <c r="D423" t="inlineStr">
        <is>
          <t>PAC</t>
        </is>
      </c>
      <c r="E423" s="44">
        <f>IFERROR(VLOOKUP(C423,Assets!$A:$F,6,FALSE),0)</f>
        <v/>
      </c>
      <c r="F423" t="inlineStr">
        <is>
          <t>Auto</t>
        </is>
      </c>
      <c r="G423" s="44" t="n"/>
      <c r="H423" s="44">
        <f>IF(F423="No",0,IF(F423="Edited",IF(G423="",E423,G423),E423))</f>
        <v/>
      </c>
    </row>
    <row r="424">
      <c r="A424" s="41" t="n">
        <v>47696</v>
      </c>
      <c r="B424" s="32">
        <f>DATE(YEAR(A424),MONTH(A424),1)</f>
        <v/>
      </c>
      <c r="C424" t="inlineStr">
        <is>
          <t>MSCI EM</t>
        </is>
      </c>
      <c r="D424" t="inlineStr">
        <is>
          <t>PAC</t>
        </is>
      </c>
      <c r="E424" s="44">
        <f>IFERROR(VLOOKUP(C424,Assets!$A:$F,6,FALSE),0)</f>
        <v/>
      </c>
      <c r="F424" t="inlineStr">
        <is>
          <t>Auto</t>
        </is>
      </c>
      <c r="G424" s="44" t="n"/>
      <c r="H424" s="44">
        <f>IF(F424="No",0,IF(F424="Edited",IF(G424="",E424,G424),E424))</f>
        <v/>
      </c>
    </row>
    <row r="425">
      <c r="A425" s="41" t="n">
        <v>47696</v>
      </c>
      <c r="B425" s="32">
        <f>DATE(YEAR(A425),MONTH(A425),1)</f>
        <v/>
      </c>
      <c r="C425" t="inlineStr">
        <is>
          <t>Defence Tech</t>
        </is>
      </c>
      <c r="D425" t="inlineStr">
        <is>
          <t>PAC</t>
        </is>
      </c>
      <c r="E425" s="44">
        <f>IFERROR(VLOOKUP(C425,Assets!$A:$F,6,FALSE),0)</f>
        <v/>
      </c>
      <c r="F425" t="inlineStr">
        <is>
          <t>Auto</t>
        </is>
      </c>
      <c r="G425" s="44" t="n"/>
      <c r="H425" s="44">
        <f>IF(F425="No",0,IF(F425="Edited",IF(G425="",E425,G425),E425))</f>
        <v/>
      </c>
    </row>
    <row r="426">
      <c r="A426" s="41" t="n">
        <v>47727</v>
      </c>
      <c r="B426" s="32">
        <f>DATE(YEAR(A426),MONTH(A426),1)</f>
        <v/>
      </c>
      <c r="C426" t="inlineStr">
        <is>
          <t>Core MSCI World</t>
        </is>
      </c>
      <c r="D426" t="inlineStr">
        <is>
          <t>PAC</t>
        </is>
      </c>
      <c r="E426" s="44">
        <f>IFERROR(VLOOKUP(C426,Assets!$A:$F,6,FALSE),0)</f>
        <v/>
      </c>
      <c r="F426" t="inlineStr">
        <is>
          <t>Auto</t>
        </is>
      </c>
      <c r="G426" s="44" t="n"/>
      <c r="H426" s="44">
        <f>IF(F426="No",0,IF(F426="Edited",IF(G426="",E426,G426),E426))</f>
        <v/>
      </c>
    </row>
    <row r="427">
      <c r="A427" s="41" t="n">
        <v>47727</v>
      </c>
      <c r="B427" s="32">
        <f>DATE(YEAR(A427),MONTH(A427),1)</f>
        <v/>
      </c>
      <c r="C427" t="inlineStr">
        <is>
          <t>AI &amp; Big Data</t>
        </is>
      </c>
      <c r="D427" t="inlineStr">
        <is>
          <t>PAC</t>
        </is>
      </c>
      <c r="E427" s="44">
        <f>IFERROR(VLOOKUP(C427,Assets!$A:$F,6,FALSE),0)</f>
        <v/>
      </c>
      <c r="F427" t="inlineStr">
        <is>
          <t>Auto</t>
        </is>
      </c>
      <c r="G427" s="44" t="n"/>
      <c r="H427" s="44">
        <f>IF(F427="No",0,IF(F427="Edited",IF(G427="",E427,G427),E427))</f>
        <v/>
      </c>
    </row>
    <row r="428">
      <c r="A428" s="41" t="n">
        <v>47727</v>
      </c>
      <c r="B428" s="32">
        <f>DATE(YEAR(A428),MONTH(A428),1)</f>
        <v/>
      </c>
      <c r="C428" t="inlineStr">
        <is>
          <t>Physical Gold</t>
        </is>
      </c>
      <c r="D428" t="inlineStr">
        <is>
          <t>PAC</t>
        </is>
      </c>
      <c r="E428" s="44">
        <f>IFERROR(VLOOKUP(C428,Assets!$A:$F,6,FALSE),0)</f>
        <v/>
      </c>
      <c r="F428" t="inlineStr">
        <is>
          <t>Auto</t>
        </is>
      </c>
      <c r="G428" s="44" t="n"/>
      <c r="H428" s="44">
        <f>IF(F428="No",0,IF(F428="Edited",IF(G428="",E428,G428),E428))</f>
        <v/>
      </c>
    </row>
    <row r="429">
      <c r="A429" s="41" t="n">
        <v>47727</v>
      </c>
      <c r="B429" s="32">
        <f>DATE(YEAR(A429),MONTH(A429),1)</f>
        <v/>
      </c>
      <c r="C429" t="inlineStr">
        <is>
          <t>Global Gov Bond</t>
        </is>
      </c>
      <c r="D429" t="inlineStr">
        <is>
          <t>PAC</t>
        </is>
      </c>
      <c r="E429" s="44">
        <f>IFERROR(VLOOKUP(C429,Assets!$A:$F,6,FALSE),0)</f>
        <v/>
      </c>
      <c r="F429" t="inlineStr">
        <is>
          <t>Auto</t>
        </is>
      </c>
      <c r="G429" s="44" t="n"/>
      <c r="H429" s="44">
        <f>IF(F429="No",0,IF(F429="Edited",IF(G429="",E429,G429),E429))</f>
        <v/>
      </c>
    </row>
    <row r="430">
      <c r="A430" s="41" t="n">
        <v>47727</v>
      </c>
      <c r="B430" s="32">
        <f>DATE(YEAR(A430),MONTH(A430),1)</f>
        <v/>
      </c>
      <c r="C430" t="inlineStr">
        <is>
          <t>Core EUR Corp Bond</t>
        </is>
      </c>
      <c r="D430" t="inlineStr">
        <is>
          <t>PAC</t>
        </is>
      </c>
      <c r="E430" s="44">
        <f>IFERROR(VLOOKUP(C430,Assets!$A:$F,6,FALSE),0)</f>
        <v/>
      </c>
      <c r="F430" t="inlineStr">
        <is>
          <t>Auto</t>
        </is>
      </c>
      <c r="G430" s="44" t="n"/>
      <c r="H430" s="44">
        <f>IF(F430="No",0,IF(F430="Edited",IF(G430="",E430,G430),E430))</f>
        <v/>
      </c>
    </row>
    <row r="431">
      <c r="A431" s="41" t="n">
        <v>47727</v>
      </c>
      <c r="B431" s="32">
        <f>DATE(YEAR(A431),MONTH(A431),1)</f>
        <v/>
      </c>
      <c r="C431" t="inlineStr">
        <is>
          <t>MSCI World Value</t>
        </is>
      </c>
      <c r="D431" t="inlineStr">
        <is>
          <t>PAC</t>
        </is>
      </c>
      <c r="E431" s="44">
        <f>IFERROR(VLOOKUP(C431,Assets!$A:$F,6,FALSE),0)</f>
        <v/>
      </c>
      <c r="F431" t="inlineStr">
        <is>
          <t>Auto</t>
        </is>
      </c>
      <c r="G431" s="44" t="n"/>
      <c r="H431" s="44">
        <f>IF(F431="No",0,IF(F431="Edited",IF(G431="",E431,G431),E431))</f>
        <v/>
      </c>
    </row>
    <row r="432">
      <c r="A432" s="41" t="n">
        <v>47727</v>
      </c>
      <c r="B432" s="32">
        <f>DATE(YEAR(A432),MONTH(A432),1)</f>
        <v/>
      </c>
      <c r="C432" t="inlineStr">
        <is>
          <t>MSCI EM</t>
        </is>
      </c>
      <c r="D432" t="inlineStr">
        <is>
          <t>PAC</t>
        </is>
      </c>
      <c r="E432" s="44">
        <f>IFERROR(VLOOKUP(C432,Assets!$A:$F,6,FALSE),0)</f>
        <v/>
      </c>
      <c r="F432" t="inlineStr">
        <is>
          <t>Auto</t>
        </is>
      </c>
      <c r="G432" s="44" t="n"/>
      <c r="H432" s="44">
        <f>IF(F432="No",0,IF(F432="Edited",IF(G432="",E432,G432),E432))</f>
        <v/>
      </c>
    </row>
    <row r="433">
      <c r="A433" s="41" t="n">
        <v>47727</v>
      </c>
      <c r="B433" s="32">
        <f>DATE(YEAR(A433),MONTH(A433),1)</f>
        <v/>
      </c>
      <c r="C433" t="inlineStr">
        <is>
          <t>Defence Tech</t>
        </is>
      </c>
      <c r="D433" t="inlineStr">
        <is>
          <t>PAC</t>
        </is>
      </c>
      <c r="E433" s="44">
        <f>IFERROR(VLOOKUP(C433,Assets!$A:$F,6,FALSE),0)</f>
        <v/>
      </c>
      <c r="F433" t="inlineStr">
        <is>
          <t>Auto</t>
        </is>
      </c>
      <c r="G433" s="44" t="n"/>
      <c r="H433" s="44">
        <f>IF(F433="No",0,IF(F433="Edited",IF(G433="",E433,G433),E433))</f>
        <v/>
      </c>
    </row>
    <row r="434">
      <c r="A434" s="41" t="n">
        <v>47757</v>
      </c>
      <c r="B434" s="32">
        <f>DATE(YEAR(A434),MONTH(A434),1)</f>
        <v/>
      </c>
      <c r="C434" t="inlineStr">
        <is>
          <t>Core MSCI World</t>
        </is>
      </c>
      <c r="D434" t="inlineStr">
        <is>
          <t>PAC</t>
        </is>
      </c>
      <c r="E434" s="44">
        <f>IFERROR(VLOOKUP(C434,Assets!$A:$F,6,FALSE),0)</f>
        <v/>
      </c>
      <c r="F434" t="inlineStr">
        <is>
          <t>Auto</t>
        </is>
      </c>
      <c r="G434" s="44" t="n"/>
      <c r="H434" s="44">
        <f>IF(F434="No",0,IF(F434="Edited",IF(G434="",E434,G434),E434))</f>
        <v/>
      </c>
    </row>
    <row r="435">
      <c r="A435" s="41" t="n">
        <v>47757</v>
      </c>
      <c r="B435" s="32">
        <f>DATE(YEAR(A435),MONTH(A435),1)</f>
        <v/>
      </c>
      <c r="C435" t="inlineStr">
        <is>
          <t>AI &amp; Big Data</t>
        </is>
      </c>
      <c r="D435" t="inlineStr">
        <is>
          <t>PAC</t>
        </is>
      </c>
      <c r="E435" s="44">
        <f>IFERROR(VLOOKUP(C435,Assets!$A:$F,6,FALSE),0)</f>
        <v/>
      </c>
      <c r="F435" t="inlineStr">
        <is>
          <t>Auto</t>
        </is>
      </c>
      <c r="G435" s="44" t="n"/>
      <c r="H435" s="44">
        <f>IF(F435="No",0,IF(F435="Edited",IF(G435="",E435,G435),E435))</f>
        <v/>
      </c>
    </row>
    <row r="436">
      <c r="A436" s="41" t="n">
        <v>47757</v>
      </c>
      <c r="B436" s="32">
        <f>DATE(YEAR(A436),MONTH(A436),1)</f>
        <v/>
      </c>
      <c r="C436" t="inlineStr">
        <is>
          <t>Physical Gold</t>
        </is>
      </c>
      <c r="D436" t="inlineStr">
        <is>
          <t>PAC</t>
        </is>
      </c>
      <c r="E436" s="44">
        <f>IFERROR(VLOOKUP(C436,Assets!$A:$F,6,FALSE),0)</f>
        <v/>
      </c>
      <c r="F436" t="inlineStr">
        <is>
          <t>Auto</t>
        </is>
      </c>
      <c r="G436" s="44" t="n"/>
      <c r="H436" s="44">
        <f>IF(F436="No",0,IF(F436="Edited",IF(G436="",E436,G436),E436))</f>
        <v/>
      </c>
    </row>
    <row r="437">
      <c r="A437" s="41" t="n">
        <v>47757</v>
      </c>
      <c r="B437" s="32">
        <f>DATE(YEAR(A437),MONTH(A437),1)</f>
        <v/>
      </c>
      <c r="C437" t="inlineStr">
        <is>
          <t>Global Gov Bond</t>
        </is>
      </c>
      <c r="D437" t="inlineStr">
        <is>
          <t>PAC</t>
        </is>
      </c>
      <c r="E437" s="44">
        <f>IFERROR(VLOOKUP(C437,Assets!$A:$F,6,FALSE),0)</f>
        <v/>
      </c>
      <c r="F437" t="inlineStr">
        <is>
          <t>Auto</t>
        </is>
      </c>
      <c r="G437" s="44" t="n"/>
      <c r="H437" s="44">
        <f>IF(F437="No",0,IF(F437="Edited",IF(G437="",E437,G437),E437))</f>
        <v/>
      </c>
    </row>
    <row r="438">
      <c r="A438" s="41" t="n">
        <v>47757</v>
      </c>
      <c r="B438" s="32">
        <f>DATE(YEAR(A438),MONTH(A438),1)</f>
        <v/>
      </c>
      <c r="C438" t="inlineStr">
        <is>
          <t>Core EUR Corp Bond</t>
        </is>
      </c>
      <c r="D438" t="inlineStr">
        <is>
          <t>PAC</t>
        </is>
      </c>
      <c r="E438" s="44">
        <f>IFERROR(VLOOKUP(C438,Assets!$A:$F,6,FALSE),0)</f>
        <v/>
      </c>
      <c r="F438" t="inlineStr">
        <is>
          <t>Auto</t>
        </is>
      </c>
      <c r="G438" s="44" t="n"/>
      <c r="H438" s="44">
        <f>IF(F438="No",0,IF(F438="Edited",IF(G438="",E438,G438),E438))</f>
        <v/>
      </c>
    </row>
    <row r="439">
      <c r="A439" s="41" t="n">
        <v>47757</v>
      </c>
      <c r="B439" s="32">
        <f>DATE(YEAR(A439),MONTH(A439),1)</f>
        <v/>
      </c>
      <c r="C439" t="inlineStr">
        <is>
          <t>MSCI World Value</t>
        </is>
      </c>
      <c r="D439" t="inlineStr">
        <is>
          <t>PAC</t>
        </is>
      </c>
      <c r="E439" s="44">
        <f>IFERROR(VLOOKUP(C439,Assets!$A:$F,6,FALSE),0)</f>
        <v/>
      </c>
      <c r="F439" t="inlineStr">
        <is>
          <t>Auto</t>
        </is>
      </c>
      <c r="G439" s="44" t="n"/>
      <c r="H439" s="44">
        <f>IF(F439="No",0,IF(F439="Edited",IF(G439="",E439,G439),E439))</f>
        <v/>
      </c>
    </row>
    <row r="440">
      <c r="A440" s="41" t="n">
        <v>47757</v>
      </c>
      <c r="B440" s="32">
        <f>DATE(YEAR(A440),MONTH(A440),1)</f>
        <v/>
      </c>
      <c r="C440" t="inlineStr">
        <is>
          <t>MSCI EM</t>
        </is>
      </c>
      <c r="D440" t="inlineStr">
        <is>
          <t>PAC</t>
        </is>
      </c>
      <c r="E440" s="44">
        <f>IFERROR(VLOOKUP(C440,Assets!$A:$F,6,FALSE),0)</f>
        <v/>
      </c>
      <c r="F440" t="inlineStr">
        <is>
          <t>Auto</t>
        </is>
      </c>
      <c r="G440" s="44" t="n"/>
      <c r="H440" s="44">
        <f>IF(F440="No",0,IF(F440="Edited",IF(G440="",E440,G440),E440))</f>
        <v/>
      </c>
    </row>
    <row r="441">
      <c r="A441" s="41" t="n">
        <v>47757</v>
      </c>
      <c r="B441" s="32">
        <f>DATE(YEAR(A441),MONTH(A441),1)</f>
        <v/>
      </c>
      <c r="C441" t="inlineStr">
        <is>
          <t>Defence Tech</t>
        </is>
      </c>
      <c r="D441" t="inlineStr">
        <is>
          <t>PAC</t>
        </is>
      </c>
      <c r="E441" s="44">
        <f>IFERROR(VLOOKUP(C441,Assets!$A:$F,6,FALSE),0)</f>
        <v/>
      </c>
      <c r="F441" t="inlineStr">
        <is>
          <t>Auto</t>
        </is>
      </c>
      <c r="G441" s="44" t="n"/>
      <c r="H441" s="44">
        <f>IF(F441="No",0,IF(F441="Edited",IF(G441="",E441,G441),E441))</f>
        <v/>
      </c>
    </row>
    <row r="442">
      <c r="A442" s="41" t="n">
        <v>47788</v>
      </c>
      <c r="B442" s="32">
        <f>DATE(YEAR(A442),MONTH(A442),1)</f>
        <v/>
      </c>
      <c r="C442" t="inlineStr">
        <is>
          <t>Core MSCI World</t>
        </is>
      </c>
      <c r="D442" t="inlineStr">
        <is>
          <t>PAC</t>
        </is>
      </c>
      <c r="E442" s="44">
        <f>IFERROR(VLOOKUP(C442,Assets!$A:$F,6,FALSE),0)</f>
        <v/>
      </c>
      <c r="F442" t="inlineStr">
        <is>
          <t>Auto</t>
        </is>
      </c>
      <c r="G442" s="44" t="n"/>
      <c r="H442" s="44">
        <f>IF(F442="No",0,IF(F442="Edited",IF(G442="",E442,G442),E442))</f>
        <v/>
      </c>
    </row>
    <row r="443">
      <c r="A443" s="41" t="n">
        <v>47788</v>
      </c>
      <c r="B443" s="32">
        <f>DATE(YEAR(A443),MONTH(A443),1)</f>
        <v/>
      </c>
      <c r="C443" t="inlineStr">
        <is>
          <t>AI &amp; Big Data</t>
        </is>
      </c>
      <c r="D443" t="inlineStr">
        <is>
          <t>PAC</t>
        </is>
      </c>
      <c r="E443" s="44">
        <f>IFERROR(VLOOKUP(C443,Assets!$A:$F,6,FALSE),0)</f>
        <v/>
      </c>
      <c r="F443" t="inlineStr">
        <is>
          <t>Auto</t>
        </is>
      </c>
      <c r="G443" s="44" t="n"/>
      <c r="H443" s="44">
        <f>IF(F443="No",0,IF(F443="Edited",IF(G443="",E443,G443),E443))</f>
        <v/>
      </c>
    </row>
    <row r="444">
      <c r="A444" s="41" t="n">
        <v>47788</v>
      </c>
      <c r="B444" s="32">
        <f>DATE(YEAR(A444),MONTH(A444),1)</f>
        <v/>
      </c>
      <c r="C444" t="inlineStr">
        <is>
          <t>Physical Gold</t>
        </is>
      </c>
      <c r="D444" t="inlineStr">
        <is>
          <t>PAC</t>
        </is>
      </c>
      <c r="E444" s="44">
        <f>IFERROR(VLOOKUP(C444,Assets!$A:$F,6,FALSE),0)</f>
        <v/>
      </c>
      <c r="F444" t="inlineStr">
        <is>
          <t>Auto</t>
        </is>
      </c>
      <c r="G444" s="44" t="n"/>
      <c r="H444" s="44">
        <f>IF(F444="No",0,IF(F444="Edited",IF(G444="",E444,G444),E444))</f>
        <v/>
      </c>
    </row>
    <row r="445">
      <c r="A445" s="41" t="n">
        <v>47788</v>
      </c>
      <c r="B445" s="32">
        <f>DATE(YEAR(A445),MONTH(A445),1)</f>
        <v/>
      </c>
      <c r="C445" t="inlineStr">
        <is>
          <t>Global Gov Bond</t>
        </is>
      </c>
      <c r="D445" t="inlineStr">
        <is>
          <t>PAC</t>
        </is>
      </c>
      <c r="E445" s="44">
        <f>IFERROR(VLOOKUP(C445,Assets!$A:$F,6,FALSE),0)</f>
        <v/>
      </c>
      <c r="F445" t="inlineStr">
        <is>
          <t>Auto</t>
        </is>
      </c>
      <c r="G445" s="44" t="n"/>
      <c r="H445" s="44">
        <f>IF(F445="No",0,IF(F445="Edited",IF(G445="",E445,G445),E445))</f>
        <v/>
      </c>
    </row>
    <row r="446">
      <c r="A446" s="41" t="n">
        <v>47788</v>
      </c>
      <c r="B446" s="32">
        <f>DATE(YEAR(A446),MONTH(A446),1)</f>
        <v/>
      </c>
      <c r="C446" t="inlineStr">
        <is>
          <t>Core EUR Corp Bond</t>
        </is>
      </c>
      <c r="D446" t="inlineStr">
        <is>
          <t>PAC</t>
        </is>
      </c>
      <c r="E446" s="44">
        <f>IFERROR(VLOOKUP(C446,Assets!$A:$F,6,FALSE),0)</f>
        <v/>
      </c>
      <c r="F446" t="inlineStr">
        <is>
          <t>Auto</t>
        </is>
      </c>
      <c r="G446" s="44" t="n"/>
      <c r="H446" s="44">
        <f>IF(F446="No",0,IF(F446="Edited",IF(G446="",E446,G446),E446))</f>
        <v/>
      </c>
    </row>
    <row r="447">
      <c r="A447" s="41" t="n">
        <v>47788</v>
      </c>
      <c r="B447" s="32">
        <f>DATE(YEAR(A447),MONTH(A447),1)</f>
        <v/>
      </c>
      <c r="C447" t="inlineStr">
        <is>
          <t>MSCI World Value</t>
        </is>
      </c>
      <c r="D447" t="inlineStr">
        <is>
          <t>PAC</t>
        </is>
      </c>
      <c r="E447" s="44">
        <f>IFERROR(VLOOKUP(C447,Assets!$A:$F,6,FALSE),0)</f>
        <v/>
      </c>
      <c r="F447" t="inlineStr">
        <is>
          <t>Auto</t>
        </is>
      </c>
      <c r="G447" s="44" t="n"/>
      <c r="H447" s="44">
        <f>IF(F447="No",0,IF(F447="Edited",IF(G447="",E447,G447),E447))</f>
        <v/>
      </c>
    </row>
    <row r="448">
      <c r="A448" s="41" t="n">
        <v>47788</v>
      </c>
      <c r="B448" s="32">
        <f>DATE(YEAR(A448),MONTH(A448),1)</f>
        <v/>
      </c>
      <c r="C448" t="inlineStr">
        <is>
          <t>MSCI EM</t>
        </is>
      </c>
      <c r="D448" t="inlineStr">
        <is>
          <t>PAC</t>
        </is>
      </c>
      <c r="E448" s="44">
        <f>IFERROR(VLOOKUP(C448,Assets!$A:$F,6,FALSE),0)</f>
        <v/>
      </c>
      <c r="F448" t="inlineStr">
        <is>
          <t>Auto</t>
        </is>
      </c>
      <c r="G448" s="44" t="n"/>
      <c r="H448" s="44">
        <f>IF(F448="No",0,IF(F448="Edited",IF(G448="",E448,G448),E448))</f>
        <v/>
      </c>
    </row>
    <row r="449">
      <c r="A449" s="41" t="n">
        <v>47788</v>
      </c>
      <c r="B449" s="32">
        <f>DATE(YEAR(A449),MONTH(A449),1)</f>
        <v/>
      </c>
      <c r="C449" t="inlineStr">
        <is>
          <t>Defence Tech</t>
        </is>
      </c>
      <c r="D449" t="inlineStr">
        <is>
          <t>PAC</t>
        </is>
      </c>
      <c r="E449" s="44">
        <f>IFERROR(VLOOKUP(C449,Assets!$A:$F,6,FALSE),0)</f>
        <v/>
      </c>
      <c r="F449" t="inlineStr">
        <is>
          <t>Auto</t>
        </is>
      </c>
      <c r="G449" s="44" t="n"/>
      <c r="H449" s="44">
        <f>IF(F449="No",0,IF(F449="Edited",IF(G449="",E449,G449),E449))</f>
        <v/>
      </c>
    </row>
    <row r="450">
      <c r="A450" s="41" t="n">
        <v>47818</v>
      </c>
      <c r="B450" s="32">
        <f>DATE(YEAR(A450),MONTH(A450),1)</f>
        <v/>
      </c>
      <c r="C450" t="inlineStr">
        <is>
          <t>Core MSCI World</t>
        </is>
      </c>
      <c r="D450" t="inlineStr">
        <is>
          <t>PAC</t>
        </is>
      </c>
      <c r="E450" s="44">
        <f>IFERROR(VLOOKUP(C450,Assets!$A:$F,6,FALSE),0)</f>
        <v/>
      </c>
      <c r="F450" t="inlineStr">
        <is>
          <t>Auto</t>
        </is>
      </c>
      <c r="G450" s="44" t="n"/>
      <c r="H450" s="44">
        <f>IF(F450="No",0,IF(F450="Edited",IF(G450="",E450,G450),E450))</f>
        <v/>
      </c>
    </row>
    <row r="451">
      <c r="A451" s="41" t="n">
        <v>47818</v>
      </c>
      <c r="B451" s="32">
        <f>DATE(YEAR(A451),MONTH(A451),1)</f>
        <v/>
      </c>
      <c r="C451" t="inlineStr">
        <is>
          <t>AI &amp; Big Data</t>
        </is>
      </c>
      <c r="D451" t="inlineStr">
        <is>
          <t>PAC</t>
        </is>
      </c>
      <c r="E451" s="44">
        <f>IFERROR(VLOOKUP(C451,Assets!$A:$F,6,FALSE),0)</f>
        <v/>
      </c>
      <c r="F451" t="inlineStr">
        <is>
          <t>Auto</t>
        </is>
      </c>
      <c r="G451" s="44" t="n"/>
      <c r="H451" s="44">
        <f>IF(F451="No",0,IF(F451="Edited",IF(G451="",E451,G451),E451))</f>
        <v/>
      </c>
    </row>
    <row r="452">
      <c r="A452" s="41" t="n">
        <v>47818</v>
      </c>
      <c r="B452" s="32">
        <f>DATE(YEAR(A452),MONTH(A452),1)</f>
        <v/>
      </c>
      <c r="C452" t="inlineStr">
        <is>
          <t>Physical Gold</t>
        </is>
      </c>
      <c r="D452" t="inlineStr">
        <is>
          <t>PAC</t>
        </is>
      </c>
      <c r="E452" s="44">
        <f>IFERROR(VLOOKUP(C452,Assets!$A:$F,6,FALSE),0)</f>
        <v/>
      </c>
      <c r="F452" t="inlineStr">
        <is>
          <t>Auto</t>
        </is>
      </c>
      <c r="G452" s="44" t="n"/>
      <c r="H452" s="44">
        <f>IF(F452="No",0,IF(F452="Edited",IF(G452="",E452,G452),E452))</f>
        <v/>
      </c>
    </row>
    <row r="453">
      <c r="A453" s="41" t="n">
        <v>47818</v>
      </c>
      <c r="B453" s="32">
        <f>DATE(YEAR(A453),MONTH(A453),1)</f>
        <v/>
      </c>
      <c r="C453" t="inlineStr">
        <is>
          <t>Global Gov Bond</t>
        </is>
      </c>
      <c r="D453" t="inlineStr">
        <is>
          <t>PAC</t>
        </is>
      </c>
      <c r="E453" s="44">
        <f>IFERROR(VLOOKUP(C453,Assets!$A:$F,6,FALSE),0)</f>
        <v/>
      </c>
      <c r="F453" t="inlineStr">
        <is>
          <t>Auto</t>
        </is>
      </c>
      <c r="G453" s="44" t="n"/>
      <c r="H453" s="44">
        <f>IF(F453="No",0,IF(F453="Edited",IF(G453="",E453,G453),E453))</f>
        <v/>
      </c>
    </row>
    <row r="454">
      <c r="A454" s="41" t="n">
        <v>47818</v>
      </c>
      <c r="B454" s="32">
        <f>DATE(YEAR(A454),MONTH(A454),1)</f>
        <v/>
      </c>
      <c r="C454" t="inlineStr">
        <is>
          <t>Core EUR Corp Bond</t>
        </is>
      </c>
      <c r="D454" t="inlineStr">
        <is>
          <t>PAC</t>
        </is>
      </c>
      <c r="E454" s="44">
        <f>IFERROR(VLOOKUP(C454,Assets!$A:$F,6,FALSE),0)</f>
        <v/>
      </c>
      <c r="F454" t="inlineStr">
        <is>
          <t>Auto</t>
        </is>
      </c>
      <c r="G454" s="44" t="n"/>
      <c r="H454" s="44">
        <f>IF(F454="No",0,IF(F454="Edited",IF(G454="",E454,G454),E454))</f>
        <v/>
      </c>
    </row>
    <row r="455">
      <c r="A455" s="41" t="n">
        <v>47818</v>
      </c>
      <c r="B455" s="32">
        <f>DATE(YEAR(A455),MONTH(A455),1)</f>
        <v/>
      </c>
      <c r="C455" t="inlineStr">
        <is>
          <t>MSCI World Value</t>
        </is>
      </c>
      <c r="D455" t="inlineStr">
        <is>
          <t>PAC</t>
        </is>
      </c>
      <c r="E455" s="44">
        <f>IFERROR(VLOOKUP(C455,Assets!$A:$F,6,FALSE),0)</f>
        <v/>
      </c>
      <c r="F455" t="inlineStr">
        <is>
          <t>Auto</t>
        </is>
      </c>
      <c r="G455" s="44" t="n"/>
      <c r="H455" s="44">
        <f>IF(F455="No",0,IF(F455="Edited",IF(G455="",E455,G455),E455))</f>
        <v/>
      </c>
    </row>
    <row r="456">
      <c r="A456" s="41" t="n">
        <v>47818</v>
      </c>
      <c r="B456" s="32">
        <f>DATE(YEAR(A456),MONTH(A456),1)</f>
        <v/>
      </c>
      <c r="C456" t="inlineStr">
        <is>
          <t>MSCI EM</t>
        </is>
      </c>
      <c r="D456" t="inlineStr">
        <is>
          <t>PAC</t>
        </is>
      </c>
      <c r="E456" s="44">
        <f>IFERROR(VLOOKUP(C456,Assets!$A:$F,6,FALSE),0)</f>
        <v/>
      </c>
      <c r="F456" t="inlineStr">
        <is>
          <t>Auto</t>
        </is>
      </c>
      <c r="G456" s="44" t="n"/>
      <c r="H456" s="44">
        <f>IF(F456="No",0,IF(F456="Edited",IF(G456="",E456,G456),E456))</f>
        <v/>
      </c>
    </row>
    <row r="457">
      <c r="A457" s="41" t="n">
        <v>47818</v>
      </c>
      <c r="B457" s="32">
        <f>DATE(YEAR(A457),MONTH(A457),1)</f>
        <v/>
      </c>
      <c r="C457" t="inlineStr">
        <is>
          <t>Defence Tech</t>
        </is>
      </c>
      <c r="D457" t="inlineStr">
        <is>
          <t>PAC</t>
        </is>
      </c>
      <c r="E457" s="44">
        <f>IFERROR(VLOOKUP(C457,Assets!$A:$F,6,FALSE),0)</f>
        <v/>
      </c>
      <c r="F457" t="inlineStr">
        <is>
          <t>Auto</t>
        </is>
      </c>
      <c r="G457" s="44" t="n"/>
      <c r="H457" s="44">
        <f>IF(F457="No",0,IF(F457="Edited",IF(G457="",E457,G457),E457))</f>
        <v/>
      </c>
    </row>
    <row r="458">
      <c r="A458" s="41" t="n">
        <v>47849</v>
      </c>
      <c r="B458" s="32">
        <f>DATE(YEAR(A458),MONTH(A458),1)</f>
        <v/>
      </c>
      <c r="C458" t="inlineStr">
        <is>
          <t>Core MSCI World</t>
        </is>
      </c>
      <c r="D458" t="inlineStr">
        <is>
          <t>PAC</t>
        </is>
      </c>
      <c r="E458" s="44">
        <f>IFERROR(VLOOKUP(C458,Assets!$A:$F,6,FALSE),0)</f>
        <v/>
      </c>
      <c r="F458" t="inlineStr">
        <is>
          <t>Auto</t>
        </is>
      </c>
      <c r="G458" s="44" t="n"/>
      <c r="H458" s="44">
        <f>IF(F458="No",0,IF(F458="Edited",IF(G458="",E458,G458),E458))</f>
        <v/>
      </c>
    </row>
    <row r="459">
      <c r="A459" s="41" t="n">
        <v>47849</v>
      </c>
      <c r="B459" s="32">
        <f>DATE(YEAR(A459),MONTH(A459),1)</f>
        <v/>
      </c>
      <c r="C459" t="inlineStr">
        <is>
          <t>AI &amp; Big Data</t>
        </is>
      </c>
      <c r="D459" t="inlineStr">
        <is>
          <t>PAC</t>
        </is>
      </c>
      <c r="E459" s="44">
        <f>IFERROR(VLOOKUP(C459,Assets!$A:$F,6,FALSE),0)</f>
        <v/>
      </c>
      <c r="F459" t="inlineStr">
        <is>
          <t>Auto</t>
        </is>
      </c>
      <c r="G459" s="44" t="n"/>
      <c r="H459" s="44">
        <f>IF(F459="No",0,IF(F459="Edited",IF(G459="",E459,G459),E459))</f>
        <v/>
      </c>
    </row>
    <row r="460">
      <c r="A460" s="41" t="n">
        <v>47849</v>
      </c>
      <c r="B460" s="32">
        <f>DATE(YEAR(A460),MONTH(A460),1)</f>
        <v/>
      </c>
      <c r="C460" t="inlineStr">
        <is>
          <t>Physical Gold</t>
        </is>
      </c>
      <c r="D460" t="inlineStr">
        <is>
          <t>PAC</t>
        </is>
      </c>
      <c r="E460" s="44">
        <f>IFERROR(VLOOKUP(C460,Assets!$A:$F,6,FALSE),0)</f>
        <v/>
      </c>
      <c r="F460" t="inlineStr">
        <is>
          <t>Auto</t>
        </is>
      </c>
      <c r="G460" s="44" t="n"/>
      <c r="H460" s="44">
        <f>IF(F460="No",0,IF(F460="Edited",IF(G460="",E460,G460),E460))</f>
        <v/>
      </c>
    </row>
    <row r="461">
      <c r="A461" s="41" t="n">
        <v>47849</v>
      </c>
      <c r="B461" s="32">
        <f>DATE(YEAR(A461),MONTH(A461),1)</f>
        <v/>
      </c>
      <c r="C461" t="inlineStr">
        <is>
          <t>Global Gov Bond</t>
        </is>
      </c>
      <c r="D461" t="inlineStr">
        <is>
          <t>PAC</t>
        </is>
      </c>
      <c r="E461" s="44">
        <f>IFERROR(VLOOKUP(C461,Assets!$A:$F,6,FALSE),0)</f>
        <v/>
      </c>
      <c r="F461" t="inlineStr">
        <is>
          <t>Auto</t>
        </is>
      </c>
      <c r="G461" s="44" t="n"/>
      <c r="H461" s="44">
        <f>IF(F461="No",0,IF(F461="Edited",IF(G461="",E461,G461),E461))</f>
        <v/>
      </c>
    </row>
    <row r="462">
      <c r="A462" s="41" t="n">
        <v>47849</v>
      </c>
      <c r="B462" s="32">
        <f>DATE(YEAR(A462),MONTH(A462),1)</f>
        <v/>
      </c>
      <c r="C462" t="inlineStr">
        <is>
          <t>Core EUR Corp Bond</t>
        </is>
      </c>
      <c r="D462" t="inlineStr">
        <is>
          <t>PAC</t>
        </is>
      </c>
      <c r="E462" s="44">
        <f>IFERROR(VLOOKUP(C462,Assets!$A:$F,6,FALSE),0)</f>
        <v/>
      </c>
      <c r="F462" t="inlineStr">
        <is>
          <t>Auto</t>
        </is>
      </c>
      <c r="G462" s="44" t="n"/>
      <c r="H462" s="44">
        <f>IF(F462="No",0,IF(F462="Edited",IF(G462="",E462,G462),E462))</f>
        <v/>
      </c>
    </row>
    <row r="463">
      <c r="A463" s="41" t="n">
        <v>47849</v>
      </c>
      <c r="B463" s="32">
        <f>DATE(YEAR(A463),MONTH(A463),1)</f>
        <v/>
      </c>
      <c r="C463" t="inlineStr">
        <is>
          <t>MSCI World Value</t>
        </is>
      </c>
      <c r="D463" t="inlineStr">
        <is>
          <t>PAC</t>
        </is>
      </c>
      <c r="E463" s="44">
        <f>IFERROR(VLOOKUP(C463,Assets!$A:$F,6,FALSE),0)</f>
        <v/>
      </c>
      <c r="F463" t="inlineStr">
        <is>
          <t>Auto</t>
        </is>
      </c>
      <c r="G463" s="44" t="n"/>
      <c r="H463" s="44">
        <f>IF(F463="No",0,IF(F463="Edited",IF(G463="",E463,G463),E463))</f>
        <v/>
      </c>
    </row>
    <row r="464">
      <c r="A464" s="41" t="n">
        <v>47849</v>
      </c>
      <c r="B464" s="32">
        <f>DATE(YEAR(A464),MONTH(A464),1)</f>
        <v/>
      </c>
      <c r="C464" t="inlineStr">
        <is>
          <t>MSCI EM</t>
        </is>
      </c>
      <c r="D464" t="inlineStr">
        <is>
          <t>PAC</t>
        </is>
      </c>
      <c r="E464" s="44">
        <f>IFERROR(VLOOKUP(C464,Assets!$A:$F,6,FALSE),0)</f>
        <v/>
      </c>
      <c r="F464" t="inlineStr">
        <is>
          <t>Auto</t>
        </is>
      </c>
      <c r="G464" s="44" t="n"/>
      <c r="H464" s="44">
        <f>IF(F464="No",0,IF(F464="Edited",IF(G464="",E464,G464),E464))</f>
        <v/>
      </c>
    </row>
    <row r="465">
      <c r="A465" s="41" t="n">
        <v>47849</v>
      </c>
      <c r="B465" s="32">
        <f>DATE(YEAR(A465),MONTH(A465),1)</f>
        <v/>
      </c>
      <c r="C465" t="inlineStr">
        <is>
          <t>Defence Tech</t>
        </is>
      </c>
      <c r="D465" t="inlineStr">
        <is>
          <t>PAC</t>
        </is>
      </c>
      <c r="E465" s="44">
        <f>IFERROR(VLOOKUP(C465,Assets!$A:$F,6,FALSE),0)</f>
        <v/>
      </c>
      <c r="F465" t="inlineStr">
        <is>
          <t>Auto</t>
        </is>
      </c>
      <c r="G465" s="44" t="n"/>
      <c r="H465" s="44">
        <f>IF(F465="No",0,IF(F465="Edited",IF(G465="",E465,G465),E465))</f>
        <v/>
      </c>
    </row>
    <row r="466">
      <c r="A466" s="41" t="n">
        <v>47880</v>
      </c>
      <c r="B466" s="32">
        <f>DATE(YEAR(A466),MONTH(A466),1)</f>
        <v/>
      </c>
      <c r="C466" t="inlineStr">
        <is>
          <t>Core MSCI World</t>
        </is>
      </c>
      <c r="D466" t="inlineStr">
        <is>
          <t>PAC</t>
        </is>
      </c>
      <c r="E466" s="44">
        <f>IFERROR(VLOOKUP(C466,Assets!$A:$F,6,FALSE),0)</f>
        <v/>
      </c>
      <c r="F466" t="inlineStr">
        <is>
          <t>Auto</t>
        </is>
      </c>
      <c r="G466" s="44" t="n"/>
      <c r="H466" s="44">
        <f>IF(F466="No",0,IF(F466="Edited",IF(G466="",E466,G466),E466))</f>
        <v/>
      </c>
    </row>
    <row r="467">
      <c r="A467" s="41" t="n">
        <v>47880</v>
      </c>
      <c r="B467" s="32">
        <f>DATE(YEAR(A467),MONTH(A467),1)</f>
        <v/>
      </c>
      <c r="C467" t="inlineStr">
        <is>
          <t>AI &amp; Big Data</t>
        </is>
      </c>
      <c r="D467" t="inlineStr">
        <is>
          <t>PAC</t>
        </is>
      </c>
      <c r="E467" s="44">
        <f>IFERROR(VLOOKUP(C467,Assets!$A:$F,6,FALSE),0)</f>
        <v/>
      </c>
      <c r="F467" t="inlineStr">
        <is>
          <t>Auto</t>
        </is>
      </c>
      <c r="G467" s="44" t="n"/>
      <c r="H467" s="44">
        <f>IF(F467="No",0,IF(F467="Edited",IF(G467="",E467,G467),E467))</f>
        <v/>
      </c>
    </row>
    <row r="468">
      <c r="A468" s="41" t="n">
        <v>47880</v>
      </c>
      <c r="B468" s="32">
        <f>DATE(YEAR(A468),MONTH(A468),1)</f>
        <v/>
      </c>
      <c r="C468" t="inlineStr">
        <is>
          <t>Physical Gold</t>
        </is>
      </c>
      <c r="D468" t="inlineStr">
        <is>
          <t>PAC</t>
        </is>
      </c>
      <c r="E468" s="44">
        <f>IFERROR(VLOOKUP(C468,Assets!$A:$F,6,FALSE),0)</f>
        <v/>
      </c>
      <c r="F468" t="inlineStr">
        <is>
          <t>Auto</t>
        </is>
      </c>
      <c r="G468" s="44" t="n"/>
      <c r="H468" s="44">
        <f>IF(F468="No",0,IF(F468="Edited",IF(G468="",E468,G468),E468))</f>
        <v/>
      </c>
    </row>
    <row r="469">
      <c r="A469" s="41" t="n">
        <v>47880</v>
      </c>
      <c r="B469" s="32">
        <f>DATE(YEAR(A469),MONTH(A469),1)</f>
        <v/>
      </c>
      <c r="C469" t="inlineStr">
        <is>
          <t>Global Gov Bond</t>
        </is>
      </c>
      <c r="D469" t="inlineStr">
        <is>
          <t>PAC</t>
        </is>
      </c>
      <c r="E469" s="44">
        <f>IFERROR(VLOOKUP(C469,Assets!$A:$F,6,FALSE),0)</f>
        <v/>
      </c>
      <c r="F469" t="inlineStr">
        <is>
          <t>Auto</t>
        </is>
      </c>
      <c r="G469" s="44" t="n"/>
      <c r="H469" s="44">
        <f>IF(F469="No",0,IF(F469="Edited",IF(G469="",E469,G469),E469))</f>
        <v/>
      </c>
    </row>
    <row r="470">
      <c r="A470" s="41" t="n">
        <v>47880</v>
      </c>
      <c r="B470" s="32">
        <f>DATE(YEAR(A470),MONTH(A470),1)</f>
        <v/>
      </c>
      <c r="C470" t="inlineStr">
        <is>
          <t>Core EUR Corp Bond</t>
        </is>
      </c>
      <c r="D470" t="inlineStr">
        <is>
          <t>PAC</t>
        </is>
      </c>
      <c r="E470" s="44">
        <f>IFERROR(VLOOKUP(C470,Assets!$A:$F,6,FALSE),0)</f>
        <v/>
      </c>
      <c r="F470" t="inlineStr">
        <is>
          <t>Auto</t>
        </is>
      </c>
      <c r="G470" s="44" t="n"/>
      <c r="H470" s="44">
        <f>IF(F470="No",0,IF(F470="Edited",IF(G470="",E470,G470),E470))</f>
        <v/>
      </c>
    </row>
    <row r="471">
      <c r="A471" s="41" t="n">
        <v>47880</v>
      </c>
      <c r="B471" s="32">
        <f>DATE(YEAR(A471),MONTH(A471),1)</f>
        <v/>
      </c>
      <c r="C471" t="inlineStr">
        <is>
          <t>MSCI World Value</t>
        </is>
      </c>
      <c r="D471" t="inlineStr">
        <is>
          <t>PAC</t>
        </is>
      </c>
      <c r="E471" s="44">
        <f>IFERROR(VLOOKUP(C471,Assets!$A:$F,6,FALSE),0)</f>
        <v/>
      </c>
      <c r="F471" t="inlineStr">
        <is>
          <t>Auto</t>
        </is>
      </c>
      <c r="G471" s="44" t="n"/>
      <c r="H471" s="44">
        <f>IF(F471="No",0,IF(F471="Edited",IF(G471="",E471,G471),E471))</f>
        <v/>
      </c>
    </row>
    <row r="472">
      <c r="A472" s="41" t="n">
        <v>47880</v>
      </c>
      <c r="B472" s="32">
        <f>DATE(YEAR(A472),MONTH(A472),1)</f>
        <v/>
      </c>
      <c r="C472" t="inlineStr">
        <is>
          <t>MSCI EM</t>
        </is>
      </c>
      <c r="D472" t="inlineStr">
        <is>
          <t>PAC</t>
        </is>
      </c>
      <c r="E472" s="44">
        <f>IFERROR(VLOOKUP(C472,Assets!$A:$F,6,FALSE),0)</f>
        <v/>
      </c>
      <c r="F472" t="inlineStr">
        <is>
          <t>Auto</t>
        </is>
      </c>
      <c r="G472" s="44" t="n"/>
      <c r="H472" s="44">
        <f>IF(F472="No",0,IF(F472="Edited",IF(G472="",E472,G472),E472))</f>
        <v/>
      </c>
    </row>
    <row r="473">
      <c r="A473" s="41" t="n">
        <v>47880</v>
      </c>
      <c r="B473" s="32">
        <f>DATE(YEAR(A473),MONTH(A473),1)</f>
        <v/>
      </c>
      <c r="C473" t="inlineStr">
        <is>
          <t>Defence Tech</t>
        </is>
      </c>
      <c r="D473" t="inlineStr">
        <is>
          <t>PAC</t>
        </is>
      </c>
      <c r="E473" s="44">
        <f>IFERROR(VLOOKUP(C473,Assets!$A:$F,6,FALSE),0)</f>
        <v/>
      </c>
      <c r="F473" t="inlineStr">
        <is>
          <t>Auto</t>
        </is>
      </c>
      <c r="G473" s="44" t="n"/>
      <c r="H473" s="44">
        <f>IF(F473="No",0,IF(F473="Edited",IF(G473="",E473,G473),E473))</f>
        <v/>
      </c>
    </row>
    <row r="474">
      <c r="A474" s="41" t="n">
        <v>47908</v>
      </c>
      <c r="B474" s="32">
        <f>DATE(YEAR(A474),MONTH(A474),1)</f>
        <v/>
      </c>
      <c r="C474" t="inlineStr">
        <is>
          <t>Core MSCI World</t>
        </is>
      </c>
      <c r="D474" t="inlineStr">
        <is>
          <t>PAC</t>
        </is>
      </c>
      <c r="E474" s="44">
        <f>IFERROR(VLOOKUP(C474,Assets!$A:$F,6,FALSE),0)</f>
        <v/>
      </c>
      <c r="F474" t="inlineStr">
        <is>
          <t>Auto</t>
        </is>
      </c>
      <c r="G474" s="44" t="n"/>
      <c r="H474" s="44">
        <f>IF(F474="No",0,IF(F474="Edited",IF(G474="",E474,G474),E474))</f>
        <v/>
      </c>
    </row>
    <row r="475">
      <c r="A475" s="41" t="n">
        <v>47908</v>
      </c>
      <c r="B475" s="32">
        <f>DATE(YEAR(A475),MONTH(A475),1)</f>
        <v/>
      </c>
      <c r="C475" t="inlineStr">
        <is>
          <t>AI &amp; Big Data</t>
        </is>
      </c>
      <c r="D475" t="inlineStr">
        <is>
          <t>PAC</t>
        </is>
      </c>
      <c r="E475" s="44">
        <f>IFERROR(VLOOKUP(C475,Assets!$A:$F,6,FALSE),0)</f>
        <v/>
      </c>
      <c r="F475" t="inlineStr">
        <is>
          <t>Auto</t>
        </is>
      </c>
      <c r="G475" s="44" t="n"/>
      <c r="H475" s="44">
        <f>IF(F475="No",0,IF(F475="Edited",IF(G475="",E475,G475),E475))</f>
        <v/>
      </c>
    </row>
    <row r="476">
      <c r="A476" s="41" t="n">
        <v>47908</v>
      </c>
      <c r="B476" s="32">
        <f>DATE(YEAR(A476),MONTH(A476),1)</f>
        <v/>
      </c>
      <c r="C476" t="inlineStr">
        <is>
          <t>Physical Gold</t>
        </is>
      </c>
      <c r="D476" t="inlineStr">
        <is>
          <t>PAC</t>
        </is>
      </c>
      <c r="E476" s="44">
        <f>IFERROR(VLOOKUP(C476,Assets!$A:$F,6,FALSE),0)</f>
        <v/>
      </c>
      <c r="F476" t="inlineStr">
        <is>
          <t>Auto</t>
        </is>
      </c>
      <c r="G476" s="44" t="n"/>
      <c r="H476" s="44">
        <f>IF(F476="No",0,IF(F476="Edited",IF(G476="",E476,G476),E476))</f>
        <v/>
      </c>
    </row>
    <row r="477">
      <c r="A477" s="41" t="n">
        <v>47908</v>
      </c>
      <c r="B477" s="32">
        <f>DATE(YEAR(A477),MONTH(A477),1)</f>
        <v/>
      </c>
      <c r="C477" t="inlineStr">
        <is>
          <t>Global Gov Bond</t>
        </is>
      </c>
      <c r="D477" t="inlineStr">
        <is>
          <t>PAC</t>
        </is>
      </c>
      <c r="E477" s="44">
        <f>IFERROR(VLOOKUP(C477,Assets!$A:$F,6,FALSE),0)</f>
        <v/>
      </c>
      <c r="F477" t="inlineStr">
        <is>
          <t>Auto</t>
        </is>
      </c>
      <c r="G477" s="44" t="n"/>
      <c r="H477" s="44">
        <f>IF(F477="No",0,IF(F477="Edited",IF(G477="",E477,G477),E477))</f>
        <v/>
      </c>
    </row>
    <row r="478">
      <c r="A478" s="41" t="n">
        <v>47908</v>
      </c>
      <c r="B478" s="32">
        <f>DATE(YEAR(A478),MONTH(A478),1)</f>
        <v/>
      </c>
      <c r="C478" t="inlineStr">
        <is>
          <t>Core EUR Corp Bond</t>
        </is>
      </c>
      <c r="D478" t="inlineStr">
        <is>
          <t>PAC</t>
        </is>
      </c>
      <c r="E478" s="44">
        <f>IFERROR(VLOOKUP(C478,Assets!$A:$F,6,FALSE),0)</f>
        <v/>
      </c>
      <c r="F478" t="inlineStr">
        <is>
          <t>Auto</t>
        </is>
      </c>
      <c r="G478" s="44" t="n"/>
      <c r="H478" s="44">
        <f>IF(F478="No",0,IF(F478="Edited",IF(G478="",E478,G478),E478))</f>
        <v/>
      </c>
    </row>
    <row r="479">
      <c r="A479" s="41" t="n">
        <v>47908</v>
      </c>
      <c r="B479" s="32">
        <f>DATE(YEAR(A479),MONTH(A479),1)</f>
        <v/>
      </c>
      <c r="C479" t="inlineStr">
        <is>
          <t>MSCI World Value</t>
        </is>
      </c>
      <c r="D479" t="inlineStr">
        <is>
          <t>PAC</t>
        </is>
      </c>
      <c r="E479" s="44">
        <f>IFERROR(VLOOKUP(C479,Assets!$A:$F,6,FALSE),0)</f>
        <v/>
      </c>
      <c r="F479" t="inlineStr">
        <is>
          <t>Auto</t>
        </is>
      </c>
      <c r="G479" s="44" t="n"/>
      <c r="H479" s="44">
        <f>IF(F479="No",0,IF(F479="Edited",IF(G479="",E479,G479),E479))</f>
        <v/>
      </c>
    </row>
    <row r="480">
      <c r="A480" s="41" t="n">
        <v>47908</v>
      </c>
      <c r="B480" s="32">
        <f>DATE(YEAR(A480),MONTH(A480),1)</f>
        <v/>
      </c>
      <c r="C480" t="inlineStr">
        <is>
          <t>MSCI EM</t>
        </is>
      </c>
      <c r="D480" t="inlineStr">
        <is>
          <t>PAC</t>
        </is>
      </c>
      <c r="E480" s="44">
        <f>IFERROR(VLOOKUP(C480,Assets!$A:$F,6,FALSE),0)</f>
        <v/>
      </c>
      <c r="F480" t="inlineStr">
        <is>
          <t>Auto</t>
        </is>
      </c>
      <c r="G480" s="44" t="n"/>
      <c r="H480" s="44">
        <f>IF(F480="No",0,IF(F480="Edited",IF(G480="",E480,G480),E480))</f>
        <v/>
      </c>
    </row>
    <row r="481">
      <c r="A481" s="41" t="n">
        <v>47908</v>
      </c>
      <c r="B481" s="32">
        <f>DATE(YEAR(A481),MONTH(A481),1)</f>
        <v/>
      </c>
      <c r="C481" t="inlineStr">
        <is>
          <t>Defence Tech</t>
        </is>
      </c>
      <c r="D481" t="inlineStr">
        <is>
          <t>PAC</t>
        </is>
      </c>
      <c r="E481" s="44">
        <f>IFERROR(VLOOKUP(C481,Assets!$A:$F,6,FALSE),0)</f>
        <v/>
      </c>
      <c r="F481" t="inlineStr">
        <is>
          <t>Auto</t>
        </is>
      </c>
      <c r="G481" s="44" t="n"/>
      <c r="H481" s="44">
        <f>IF(F481="No",0,IF(F481="Edited",IF(G481="",E481,G481),E481))</f>
        <v/>
      </c>
    </row>
    <row r="482">
      <c r="A482" s="41" t="n">
        <v>47939</v>
      </c>
      <c r="B482" s="32">
        <f>DATE(YEAR(A482),MONTH(A482),1)</f>
        <v/>
      </c>
      <c r="C482" t="inlineStr">
        <is>
          <t>Core MSCI World</t>
        </is>
      </c>
      <c r="D482" t="inlineStr">
        <is>
          <t>PAC</t>
        </is>
      </c>
      <c r="E482" s="44">
        <f>IFERROR(VLOOKUP(C482,Assets!$A:$F,6,FALSE),0)</f>
        <v/>
      </c>
      <c r="F482" t="inlineStr">
        <is>
          <t>Auto</t>
        </is>
      </c>
      <c r="G482" s="44" t="n"/>
      <c r="H482" s="44">
        <f>IF(F482="No",0,IF(F482="Edited",IF(G482="",E482,G482),E482))</f>
        <v/>
      </c>
    </row>
    <row r="483">
      <c r="A483" s="41" t="n">
        <v>47939</v>
      </c>
      <c r="B483" s="32">
        <f>DATE(YEAR(A483),MONTH(A483),1)</f>
        <v/>
      </c>
      <c r="C483" t="inlineStr">
        <is>
          <t>AI &amp; Big Data</t>
        </is>
      </c>
      <c r="D483" t="inlineStr">
        <is>
          <t>PAC</t>
        </is>
      </c>
      <c r="E483" s="44">
        <f>IFERROR(VLOOKUP(C483,Assets!$A:$F,6,FALSE),0)</f>
        <v/>
      </c>
      <c r="F483" t="inlineStr">
        <is>
          <t>Auto</t>
        </is>
      </c>
      <c r="G483" s="44" t="n"/>
      <c r="H483" s="44">
        <f>IF(F483="No",0,IF(F483="Edited",IF(G483="",E483,G483),E483))</f>
        <v/>
      </c>
    </row>
    <row r="484">
      <c r="A484" s="41" t="n">
        <v>47939</v>
      </c>
      <c r="B484" s="32">
        <f>DATE(YEAR(A484),MONTH(A484),1)</f>
        <v/>
      </c>
      <c r="C484" t="inlineStr">
        <is>
          <t>Physical Gold</t>
        </is>
      </c>
      <c r="D484" t="inlineStr">
        <is>
          <t>PAC</t>
        </is>
      </c>
      <c r="E484" s="44">
        <f>IFERROR(VLOOKUP(C484,Assets!$A:$F,6,FALSE),0)</f>
        <v/>
      </c>
      <c r="F484" t="inlineStr">
        <is>
          <t>Auto</t>
        </is>
      </c>
      <c r="G484" s="44" t="n"/>
      <c r="H484" s="44">
        <f>IF(F484="No",0,IF(F484="Edited",IF(G484="",E484,G484),E484))</f>
        <v/>
      </c>
    </row>
    <row r="485">
      <c r="A485" s="41" t="n">
        <v>47939</v>
      </c>
      <c r="B485" s="32">
        <f>DATE(YEAR(A485),MONTH(A485),1)</f>
        <v/>
      </c>
      <c r="C485" t="inlineStr">
        <is>
          <t>Global Gov Bond</t>
        </is>
      </c>
      <c r="D485" t="inlineStr">
        <is>
          <t>PAC</t>
        </is>
      </c>
      <c r="E485" s="44">
        <f>IFERROR(VLOOKUP(C485,Assets!$A:$F,6,FALSE),0)</f>
        <v/>
      </c>
      <c r="F485" t="inlineStr">
        <is>
          <t>Auto</t>
        </is>
      </c>
      <c r="G485" s="44" t="n"/>
      <c r="H485" s="44">
        <f>IF(F485="No",0,IF(F485="Edited",IF(G485="",E485,G485),E485))</f>
        <v/>
      </c>
    </row>
    <row r="486">
      <c r="A486" s="41" t="n">
        <v>47939</v>
      </c>
      <c r="B486" s="32">
        <f>DATE(YEAR(A486),MONTH(A486),1)</f>
        <v/>
      </c>
      <c r="C486" t="inlineStr">
        <is>
          <t>Core EUR Corp Bond</t>
        </is>
      </c>
      <c r="D486" t="inlineStr">
        <is>
          <t>PAC</t>
        </is>
      </c>
      <c r="E486" s="44">
        <f>IFERROR(VLOOKUP(C486,Assets!$A:$F,6,FALSE),0)</f>
        <v/>
      </c>
      <c r="F486" t="inlineStr">
        <is>
          <t>Auto</t>
        </is>
      </c>
      <c r="G486" s="44" t="n"/>
      <c r="H486" s="44">
        <f>IF(F486="No",0,IF(F486="Edited",IF(G486="",E486,G486),E486))</f>
        <v/>
      </c>
    </row>
    <row r="487">
      <c r="A487" s="41" t="n">
        <v>47939</v>
      </c>
      <c r="B487" s="32">
        <f>DATE(YEAR(A487),MONTH(A487),1)</f>
        <v/>
      </c>
      <c r="C487" t="inlineStr">
        <is>
          <t>MSCI World Value</t>
        </is>
      </c>
      <c r="D487" t="inlineStr">
        <is>
          <t>PAC</t>
        </is>
      </c>
      <c r="E487" s="44">
        <f>IFERROR(VLOOKUP(C487,Assets!$A:$F,6,FALSE),0)</f>
        <v/>
      </c>
      <c r="F487" t="inlineStr">
        <is>
          <t>Auto</t>
        </is>
      </c>
      <c r="G487" s="44" t="n"/>
      <c r="H487" s="44">
        <f>IF(F487="No",0,IF(F487="Edited",IF(G487="",E487,G487),E487))</f>
        <v/>
      </c>
    </row>
    <row r="488">
      <c r="A488" s="41" t="n">
        <v>47939</v>
      </c>
      <c r="B488" s="32">
        <f>DATE(YEAR(A488),MONTH(A488),1)</f>
        <v/>
      </c>
      <c r="C488" t="inlineStr">
        <is>
          <t>MSCI EM</t>
        </is>
      </c>
      <c r="D488" t="inlineStr">
        <is>
          <t>PAC</t>
        </is>
      </c>
      <c r="E488" s="44">
        <f>IFERROR(VLOOKUP(C488,Assets!$A:$F,6,FALSE),0)</f>
        <v/>
      </c>
      <c r="F488" t="inlineStr">
        <is>
          <t>Auto</t>
        </is>
      </c>
      <c r="G488" s="44" t="n"/>
      <c r="H488" s="44">
        <f>IF(F488="No",0,IF(F488="Edited",IF(G488="",E488,G488),E488))</f>
        <v/>
      </c>
    </row>
    <row r="489">
      <c r="A489" s="41" t="n">
        <v>47939</v>
      </c>
      <c r="B489" s="32">
        <f>DATE(YEAR(A489),MONTH(A489),1)</f>
        <v/>
      </c>
      <c r="C489" t="inlineStr">
        <is>
          <t>Defence Tech</t>
        </is>
      </c>
      <c r="D489" t="inlineStr">
        <is>
          <t>PAC</t>
        </is>
      </c>
      <c r="E489" s="44">
        <f>IFERROR(VLOOKUP(C489,Assets!$A:$F,6,FALSE),0)</f>
        <v/>
      </c>
      <c r="F489" t="inlineStr">
        <is>
          <t>Auto</t>
        </is>
      </c>
      <c r="G489" s="44" t="n"/>
      <c r="H489" s="44">
        <f>IF(F489="No",0,IF(F489="Edited",IF(G489="",E489,G489),E489))</f>
        <v/>
      </c>
    </row>
    <row r="490">
      <c r="A490" s="41" t="n">
        <v>47969</v>
      </c>
      <c r="B490" s="32">
        <f>DATE(YEAR(A490),MONTH(A490),1)</f>
        <v/>
      </c>
      <c r="C490" t="inlineStr">
        <is>
          <t>Core MSCI World</t>
        </is>
      </c>
      <c r="D490" t="inlineStr">
        <is>
          <t>PAC</t>
        </is>
      </c>
      <c r="E490" s="44">
        <f>IFERROR(VLOOKUP(C490,Assets!$A:$F,6,FALSE),0)</f>
        <v/>
      </c>
      <c r="F490" t="inlineStr">
        <is>
          <t>Auto</t>
        </is>
      </c>
      <c r="G490" s="44" t="n"/>
      <c r="H490" s="44">
        <f>IF(F490="No",0,IF(F490="Edited",IF(G490="",E490,G490),E490))</f>
        <v/>
      </c>
    </row>
    <row r="491">
      <c r="A491" s="41" t="n">
        <v>47969</v>
      </c>
      <c r="B491" s="32">
        <f>DATE(YEAR(A491),MONTH(A491),1)</f>
        <v/>
      </c>
      <c r="C491" t="inlineStr">
        <is>
          <t>AI &amp; Big Data</t>
        </is>
      </c>
      <c r="D491" t="inlineStr">
        <is>
          <t>PAC</t>
        </is>
      </c>
      <c r="E491" s="44">
        <f>IFERROR(VLOOKUP(C491,Assets!$A:$F,6,FALSE),0)</f>
        <v/>
      </c>
      <c r="F491" t="inlineStr">
        <is>
          <t>Auto</t>
        </is>
      </c>
      <c r="G491" s="44" t="n"/>
      <c r="H491" s="44">
        <f>IF(F491="No",0,IF(F491="Edited",IF(G491="",E491,G491),E491))</f>
        <v/>
      </c>
    </row>
    <row r="492">
      <c r="A492" s="41" t="n">
        <v>47969</v>
      </c>
      <c r="B492" s="32">
        <f>DATE(YEAR(A492),MONTH(A492),1)</f>
        <v/>
      </c>
      <c r="C492" t="inlineStr">
        <is>
          <t>Physical Gold</t>
        </is>
      </c>
      <c r="D492" t="inlineStr">
        <is>
          <t>PAC</t>
        </is>
      </c>
      <c r="E492" s="44">
        <f>IFERROR(VLOOKUP(C492,Assets!$A:$F,6,FALSE),0)</f>
        <v/>
      </c>
      <c r="F492" t="inlineStr">
        <is>
          <t>Auto</t>
        </is>
      </c>
      <c r="G492" s="44" t="n"/>
      <c r="H492" s="44">
        <f>IF(F492="No",0,IF(F492="Edited",IF(G492="",E492,G492),E492))</f>
        <v/>
      </c>
    </row>
    <row r="493">
      <c r="A493" s="41" t="n">
        <v>47969</v>
      </c>
      <c r="B493" s="32">
        <f>DATE(YEAR(A493),MONTH(A493),1)</f>
        <v/>
      </c>
      <c r="C493" t="inlineStr">
        <is>
          <t>Global Gov Bond</t>
        </is>
      </c>
      <c r="D493" t="inlineStr">
        <is>
          <t>PAC</t>
        </is>
      </c>
      <c r="E493" s="44">
        <f>IFERROR(VLOOKUP(C493,Assets!$A:$F,6,FALSE),0)</f>
        <v/>
      </c>
      <c r="F493" t="inlineStr">
        <is>
          <t>Auto</t>
        </is>
      </c>
      <c r="G493" s="44" t="n"/>
      <c r="H493" s="44">
        <f>IF(F493="No",0,IF(F493="Edited",IF(G493="",E493,G493),E493))</f>
        <v/>
      </c>
    </row>
    <row r="494">
      <c r="A494" s="41" t="n">
        <v>47969</v>
      </c>
      <c r="B494" s="32">
        <f>DATE(YEAR(A494),MONTH(A494),1)</f>
        <v/>
      </c>
      <c r="C494" t="inlineStr">
        <is>
          <t>Core EUR Corp Bond</t>
        </is>
      </c>
      <c r="D494" t="inlineStr">
        <is>
          <t>PAC</t>
        </is>
      </c>
      <c r="E494" s="44">
        <f>IFERROR(VLOOKUP(C494,Assets!$A:$F,6,FALSE),0)</f>
        <v/>
      </c>
      <c r="F494" t="inlineStr">
        <is>
          <t>Auto</t>
        </is>
      </c>
      <c r="G494" s="44" t="n"/>
      <c r="H494" s="44">
        <f>IF(F494="No",0,IF(F494="Edited",IF(G494="",E494,G494),E494))</f>
        <v/>
      </c>
    </row>
    <row r="495">
      <c r="A495" s="41" t="n">
        <v>47969</v>
      </c>
      <c r="B495" s="32">
        <f>DATE(YEAR(A495),MONTH(A495),1)</f>
        <v/>
      </c>
      <c r="C495" t="inlineStr">
        <is>
          <t>MSCI World Value</t>
        </is>
      </c>
      <c r="D495" t="inlineStr">
        <is>
          <t>PAC</t>
        </is>
      </c>
      <c r="E495" s="44">
        <f>IFERROR(VLOOKUP(C495,Assets!$A:$F,6,FALSE),0)</f>
        <v/>
      </c>
      <c r="F495" t="inlineStr">
        <is>
          <t>Auto</t>
        </is>
      </c>
      <c r="G495" s="44" t="n"/>
      <c r="H495" s="44">
        <f>IF(F495="No",0,IF(F495="Edited",IF(G495="",E495,G495),E495))</f>
        <v/>
      </c>
    </row>
    <row r="496">
      <c r="A496" s="41" t="n">
        <v>47969</v>
      </c>
      <c r="B496" s="32">
        <f>DATE(YEAR(A496),MONTH(A496),1)</f>
        <v/>
      </c>
      <c r="C496" t="inlineStr">
        <is>
          <t>MSCI EM</t>
        </is>
      </c>
      <c r="D496" t="inlineStr">
        <is>
          <t>PAC</t>
        </is>
      </c>
      <c r="E496" s="44">
        <f>IFERROR(VLOOKUP(C496,Assets!$A:$F,6,FALSE),0)</f>
        <v/>
      </c>
      <c r="F496" t="inlineStr">
        <is>
          <t>Auto</t>
        </is>
      </c>
      <c r="G496" s="44" t="n"/>
      <c r="H496" s="44">
        <f>IF(F496="No",0,IF(F496="Edited",IF(G496="",E496,G496),E496))</f>
        <v/>
      </c>
    </row>
    <row r="497">
      <c r="A497" s="41" t="n">
        <v>47969</v>
      </c>
      <c r="B497" s="32">
        <f>DATE(YEAR(A497),MONTH(A497),1)</f>
        <v/>
      </c>
      <c r="C497" t="inlineStr">
        <is>
          <t>Defence Tech</t>
        </is>
      </c>
      <c r="D497" t="inlineStr">
        <is>
          <t>PAC</t>
        </is>
      </c>
      <c r="E497" s="44">
        <f>IFERROR(VLOOKUP(C497,Assets!$A:$F,6,FALSE),0)</f>
        <v/>
      </c>
      <c r="F497" t="inlineStr">
        <is>
          <t>Auto</t>
        </is>
      </c>
      <c r="G497" s="44" t="n"/>
      <c r="H497" s="44">
        <f>IF(F497="No",0,IF(F497="Edited",IF(G497="",E497,G497),E497))</f>
        <v/>
      </c>
    </row>
    <row r="498">
      <c r="A498" s="41" t="n">
        <v>48000</v>
      </c>
      <c r="B498" s="32">
        <f>DATE(YEAR(A498),MONTH(A498),1)</f>
        <v/>
      </c>
      <c r="C498" t="inlineStr">
        <is>
          <t>Core MSCI World</t>
        </is>
      </c>
      <c r="D498" t="inlineStr">
        <is>
          <t>PAC</t>
        </is>
      </c>
      <c r="E498" s="44">
        <f>IFERROR(VLOOKUP(C498,Assets!$A:$F,6,FALSE),0)</f>
        <v/>
      </c>
      <c r="F498" t="inlineStr">
        <is>
          <t>Auto</t>
        </is>
      </c>
      <c r="G498" s="44" t="n"/>
      <c r="H498" s="44">
        <f>IF(F498="No",0,IF(F498="Edited",IF(G498="",E498,G498),E498))</f>
        <v/>
      </c>
    </row>
    <row r="499">
      <c r="A499" s="41" t="n">
        <v>48000</v>
      </c>
      <c r="B499" s="32">
        <f>DATE(YEAR(A499),MONTH(A499),1)</f>
        <v/>
      </c>
      <c r="C499" t="inlineStr">
        <is>
          <t>AI &amp; Big Data</t>
        </is>
      </c>
      <c r="D499" t="inlineStr">
        <is>
          <t>PAC</t>
        </is>
      </c>
      <c r="E499" s="44">
        <f>IFERROR(VLOOKUP(C499,Assets!$A:$F,6,FALSE),0)</f>
        <v/>
      </c>
      <c r="F499" t="inlineStr">
        <is>
          <t>Auto</t>
        </is>
      </c>
      <c r="G499" s="44" t="n"/>
      <c r="H499" s="44">
        <f>IF(F499="No",0,IF(F499="Edited",IF(G499="",E499,G499),E499))</f>
        <v/>
      </c>
    </row>
    <row r="500">
      <c r="A500" s="41" t="n">
        <v>48000</v>
      </c>
      <c r="B500" s="32">
        <f>DATE(YEAR(A500),MONTH(A500),1)</f>
        <v/>
      </c>
      <c r="C500" t="inlineStr">
        <is>
          <t>Physical Gold</t>
        </is>
      </c>
      <c r="D500" t="inlineStr">
        <is>
          <t>PAC</t>
        </is>
      </c>
      <c r="E500" s="44">
        <f>IFERROR(VLOOKUP(C500,Assets!$A:$F,6,FALSE),0)</f>
        <v/>
      </c>
      <c r="F500" t="inlineStr">
        <is>
          <t>Auto</t>
        </is>
      </c>
      <c r="G500" s="44" t="n"/>
      <c r="H500" s="44">
        <f>IF(F500="No",0,IF(F500="Edited",IF(G500="",E500,G500),E500))</f>
        <v/>
      </c>
    </row>
    <row r="501">
      <c r="A501" s="41" t="n">
        <v>48000</v>
      </c>
      <c r="B501" s="32">
        <f>DATE(YEAR(A501),MONTH(A501),1)</f>
        <v/>
      </c>
      <c r="C501" t="inlineStr">
        <is>
          <t>Global Gov Bond</t>
        </is>
      </c>
      <c r="D501" t="inlineStr">
        <is>
          <t>PAC</t>
        </is>
      </c>
      <c r="E501" s="44">
        <f>IFERROR(VLOOKUP(C501,Assets!$A:$F,6,FALSE),0)</f>
        <v/>
      </c>
      <c r="F501" t="inlineStr">
        <is>
          <t>Auto</t>
        </is>
      </c>
      <c r="G501" s="44" t="n"/>
      <c r="H501" s="44">
        <f>IF(F501="No",0,IF(F501="Edited",IF(G501="",E501,G501),E501))</f>
        <v/>
      </c>
    </row>
    <row r="502">
      <c r="A502" s="41" t="n">
        <v>48000</v>
      </c>
      <c r="B502" s="32">
        <f>DATE(YEAR(A502),MONTH(A502),1)</f>
        <v/>
      </c>
      <c r="C502" t="inlineStr">
        <is>
          <t>Core EUR Corp Bond</t>
        </is>
      </c>
      <c r="D502" t="inlineStr">
        <is>
          <t>PAC</t>
        </is>
      </c>
      <c r="E502" s="44">
        <f>IFERROR(VLOOKUP(C502,Assets!$A:$F,6,FALSE),0)</f>
        <v/>
      </c>
      <c r="F502" t="inlineStr">
        <is>
          <t>Auto</t>
        </is>
      </c>
      <c r="G502" s="44" t="n"/>
      <c r="H502" s="44">
        <f>IF(F502="No",0,IF(F502="Edited",IF(G502="",E502,G502),E502))</f>
        <v/>
      </c>
    </row>
    <row r="503">
      <c r="A503" s="41" t="n">
        <v>48000</v>
      </c>
      <c r="B503" s="32">
        <f>DATE(YEAR(A503),MONTH(A503),1)</f>
        <v/>
      </c>
      <c r="C503" t="inlineStr">
        <is>
          <t>MSCI World Value</t>
        </is>
      </c>
      <c r="D503" t="inlineStr">
        <is>
          <t>PAC</t>
        </is>
      </c>
      <c r="E503" s="44">
        <f>IFERROR(VLOOKUP(C503,Assets!$A:$F,6,FALSE),0)</f>
        <v/>
      </c>
      <c r="F503" t="inlineStr">
        <is>
          <t>Auto</t>
        </is>
      </c>
      <c r="G503" s="44" t="n"/>
      <c r="H503" s="44">
        <f>IF(F503="No",0,IF(F503="Edited",IF(G503="",E503,G503),E503))</f>
        <v/>
      </c>
    </row>
    <row r="504">
      <c r="A504" s="41" t="n">
        <v>48000</v>
      </c>
      <c r="B504" s="32">
        <f>DATE(YEAR(A504),MONTH(A504),1)</f>
        <v/>
      </c>
      <c r="C504" t="inlineStr">
        <is>
          <t>MSCI EM</t>
        </is>
      </c>
      <c r="D504" t="inlineStr">
        <is>
          <t>PAC</t>
        </is>
      </c>
      <c r="E504" s="44">
        <f>IFERROR(VLOOKUP(C504,Assets!$A:$F,6,FALSE),0)</f>
        <v/>
      </c>
      <c r="F504" t="inlineStr">
        <is>
          <t>Auto</t>
        </is>
      </c>
      <c r="G504" s="44" t="n"/>
      <c r="H504" s="44">
        <f>IF(F504="No",0,IF(F504="Edited",IF(G504="",E504,G504),E504))</f>
        <v/>
      </c>
    </row>
    <row r="505">
      <c r="A505" s="41" t="n">
        <v>48000</v>
      </c>
      <c r="B505" s="32">
        <f>DATE(YEAR(A505),MONTH(A505),1)</f>
        <v/>
      </c>
      <c r="C505" t="inlineStr">
        <is>
          <t>Defence Tech</t>
        </is>
      </c>
      <c r="D505" t="inlineStr">
        <is>
          <t>PAC</t>
        </is>
      </c>
      <c r="E505" s="44">
        <f>IFERROR(VLOOKUP(C505,Assets!$A:$F,6,FALSE),0)</f>
        <v/>
      </c>
      <c r="F505" t="inlineStr">
        <is>
          <t>Auto</t>
        </is>
      </c>
      <c r="G505" s="44" t="n"/>
      <c r="H505" s="44">
        <f>IF(F505="No",0,IF(F505="Edited",IF(G505="",E505,G505),E505))</f>
        <v/>
      </c>
    </row>
    <row r="506">
      <c r="A506" s="41" t="n">
        <v>48030</v>
      </c>
      <c r="B506" s="32">
        <f>DATE(YEAR(A506),MONTH(A506),1)</f>
        <v/>
      </c>
      <c r="C506" t="inlineStr">
        <is>
          <t>Core MSCI World</t>
        </is>
      </c>
      <c r="D506" t="inlineStr">
        <is>
          <t>PAC</t>
        </is>
      </c>
      <c r="E506" s="44">
        <f>IFERROR(VLOOKUP(C506,Assets!$A:$F,6,FALSE),0)</f>
        <v/>
      </c>
      <c r="F506" t="inlineStr">
        <is>
          <t>Auto</t>
        </is>
      </c>
      <c r="G506" s="44" t="n"/>
      <c r="H506" s="44">
        <f>IF(F506="No",0,IF(F506="Edited",IF(G506="",E506,G506),E506))</f>
        <v/>
      </c>
    </row>
    <row r="507">
      <c r="A507" s="41" t="n">
        <v>48030</v>
      </c>
      <c r="B507" s="32">
        <f>DATE(YEAR(A507),MONTH(A507),1)</f>
        <v/>
      </c>
      <c r="C507" t="inlineStr">
        <is>
          <t>AI &amp; Big Data</t>
        </is>
      </c>
      <c r="D507" t="inlineStr">
        <is>
          <t>PAC</t>
        </is>
      </c>
      <c r="E507" s="44">
        <f>IFERROR(VLOOKUP(C507,Assets!$A:$F,6,FALSE),0)</f>
        <v/>
      </c>
      <c r="F507" t="inlineStr">
        <is>
          <t>Auto</t>
        </is>
      </c>
      <c r="G507" s="44" t="n"/>
      <c r="H507" s="44">
        <f>IF(F507="No",0,IF(F507="Edited",IF(G507="",E507,G507),E507))</f>
        <v/>
      </c>
    </row>
    <row r="508">
      <c r="A508" s="41" t="n">
        <v>48030</v>
      </c>
      <c r="B508" s="32">
        <f>DATE(YEAR(A508),MONTH(A508),1)</f>
        <v/>
      </c>
      <c r="C508" t="inlineStr">
        <is>
          <t>Physical Gold</t>
        </is>
      </c>
      <c r="D508" t="inlineStr">
        <is>
          <t>PAC</t>
        </is>
      </c>
      <c r="E508" s="44">
        <f>IFERROR(VLOOKUP(C508,Assets!$A:$F,6,FALSE),0)</f>
        <v/>
      </c>
      <c r="F508" t="inlineStr">
        <is>
          <t>Auto</t>
        </is>
      </c>
      <c r="G508" s="44" t="n"/>
      <c r="H508" s="44">
        <f>IF(F508="No",0,IF(F508="Edited",IF(G508="",E508,G508),E508))</f>
        <v/>
      </c>
    </row>
    <row r="509">
      <c r="A509" s="41" t="n">
        <v>48030</v>
      </c>
      <c r="B509" s="32">
        <f>DATE(YEAR(A509),MONTH(A509),1)</f>
        <v/>
      </c>
      <c r="C509" t="inlineStr">
        <is>
          <t>Global Gov Bond</t>
        </is>
      </c>
      <c r="D509" t="inlineStr">
        <is>
          <t>PAC</t>
        </is>
      </c>
      <c r="E509" s="44">
        <f>IFERROR(VLOOKUP(C509,Assets!$A:$F,6,FALSE),0)</f>
        <v/>
      </c>
      <c r="F509" t="inlineStr">
        <is>
          <t>Auto</t>
        </is>
      </c>
      <c r="G509" s="44" t="n"/>
      <c r="H509" s="44">
        <f>IF(F509="No",0,IF(F509="Edited",IF(G509="",E509,G509),E509))</f>
        <v/>
      </c>
    </row>
    <row r="510">
      <c r="A510" s="41" t="n">
        <v>48030</v>
      </c>
      <c r="B510" s="32">
        <f>DATE(YEAR(A510),MONTH(A510),1)</f>
        <v/>
      </c>
      <c r="C510" t="inlineStr">
        <is>
          <t>Core EUR Corp Bond</t>
        </is>
      </c>
      <c r="D510" t="inlineStr">
        <is>
          <t>PAC</t>
        </is>
      </c>
      <c r="E510" s="44">
        <f>IFERROR(VLOOKUP(C510,Assets!$A:$F,6,FALSE),0)</f>
        <v/>
      </c>
      <c r="F510" t="inlineStr">
        <is>
          <t>Auto</t>
        </is>
      </c>
      <c r="G510" s="44" t="n"/>
      <c r="H510" s="44">
        <f>IF(F510="No",0,IF(F510="Edited",IF(G510="",E510,G510),E510))</f>
        <v/>
      </c>
    </row>
    <row r="511">
      <c r="A511" s="41" t="n">
        <v>48030</v>
      </c>
      <c r="B511" s="32">
        <f>DATE(YEAR(A511),MONTH(A511),1)</f>
        <v/>
      </c>
      <c r="C511" t="inlineStr">
        <is>
          <t>MSCI World Value</t>
        </is>
      </c>
      <c r="D511" t="inlineStr">
        <is>
          <t>PAC</t>
        </is>
      </c>
      <c r="E511" s="44">
        <f>IFERROR(VLOOKUP(C511,Assets!$A:$F,6,FALSE),0)</f>
        <v/>
      </c>
      <c r="F511" t="inlineStr">
        <is>
          <t>Auto</t>
        </is>
      </c>
      <c r="G511" s="44" t="n"/>
      <c r="H511" s="44">
        <f>IF(F511="No",0,IF(F511="Edited",IF(G511="",E511,G511),E511))</f>
        <v/>
      </c>
    </row>
    <row r="512">
      <c r="A512" s="41" t="n">
        <v>48030</v>
      </c>
      <c r="B512" s="32">
        <f>DATE(YEAR(A512),MONTH(A512),1)</f>
        <v/>
      </c>
      <c r="C512" t="inlineStr">
        <is>
          <t>MSCI EM</t>
        </is>
      </c>
      <c r="D512" t="inlineStr">
        <is>
          <t>PAC</t>
        </is>
      </c>
      <c r="E512" s="44">
        <f>IFERROR(VLOOKUP(C512,Assets!$A:$F,6,FALSE),0)</f>
        <v/>
      </c>
      <c r="F512" t="inlineStr">
        <is>
          <t>Auto</t>
        </is>
      </c>
      <c r="G512" s="44" t="n"/>
      <c r="H512" s="44">
        <f>IF(F512="No",0,IF(F512="Edited",IF(G512="",E512,G512),E512))</f>
        <v/>
      </c>
    </row>
    <row r="513">
      <c r="A513" s="41" t="n">
        <v>48030</v>
      </c>
      <c r="B513" s="32">
        <f>DATE(YEAR(A513),MONTH(A513),1)</f>
        <v/>
      </c>
      <c r="C513" t="inlineStr">
        <is>
          <t>Defence Tech</t>
        </is>
      </c>
      <c r="D513" t="inlineStr">
        <is>
          <t>PAC</t>
        </is>
      </c>
      <c r="E513" s="44">
        <f>IFERROR(VLOOKUP(C513,Assets!$A:$F,6,FALSE),0)</f>
        <v/>
      </c>
      <c r="F513" t="inlineStr">
        <is>
          <t>Auto</t>
        </is>
      </c>
      <c r="G513" s="44" t="n"/>
      <c r="H513" s="44">
        <f>IF(F513="No",0,IF(F513="Edited",IF(G513="",E513,G513),E513))</f>
        <v/>
      </c>
    </row>
    <row r="514">
      <c r="A514" s="41" t="n">
        <v>48061</v>
      </c>
      <c r="B514" s="32">
        <f>DATE(YEAR(A514),MONTH(A514),1)</f>
        <v/>
      </c>
      <c r="C514" t="inlineStr">
        <is>
          <t>Core MSCI World</t>
        </is>
      </c>
      <c r="D514" t="inlineStr">
        <is>
          <t>PAC</t>
        </is>
      </c>
      <c r="E514" s="44">
        <f>IFERROR(VLOOKUP(C514,Assets!$A:$F,6,FALSE),0)</f>
        <v/>
      </c>
      <c r="F514" t="inlineStr">
        <is>
          <t>Auto</t>
        </is>
      </c>
      <c r="G514" s="44" t="n"/>
      <c r="H514" s="44">
        <f>IF(F514="No",0,IF(F514="Edited",IF(G514="",E514,G514),E514))</f>
        <v/>
      </c>
    </row>
    <row r="515">
      <c r="A515" s="41" t="n">
        <v>48061</v>
      </c>
      <c r="B515" s="32">
        <f>DATE(YEAR(A515),MONTH(A515),1)</f>
        <v/>
      </c>
      <c r="C515" t="inlineStr">
        <is>
          <t>AI &amp; Big Data</t>
        </is>
      </c>
      <c r="D515" t="inlineStr">
        <is>
          <t>PAC</t>
        </is>
      </c>
      <c r="E515" s="44">
        <f>IFERROR(VLOOKUP(C515,Assets!$A:$F,6,FALSE),0)</f>
        <v/>
      </c>
      <c r="F515" t="inlineStr">
        <is>
          <t>Auto</t>
        </is>
      </c>
      <c r="G515" s="44" t="n"/>
      <c r="H515" s="44">
        <f>IF(F515="No",0,IF(F515="Edited",IF(G515="",E515,G515),E515))</f>
        <v/>
      </c>
    </row>
    <row r="516">
      <c r="A516" s="41" t="n">
        <v>48061</v>
      </c>
      <c r="B516" s="32">
        <f>DATE(YEAR(A516),MONTH(A516),1)</f>
        <v/>
      </c>
      <c r="C516" t="inlineStr">
        <is>
          <t>Physical Gold</t>
        </is>
      </c>
      <c r="D516" t="inlineStr">
        <is>
          <t>PAC</t>
        </is>
      </c>
      <c r="E516" s="44">
        <f>IFERROR(VLOOKUP(C516,Assets!$A:$F,6,FALSE),0)</f>
        <v/>
      </c>
      <c r="F516" t="inlineStr">
        <is>
          <t>Auto</t>
        </is>
      </c>
      <c r="G516" s="44" t="n"/>
      <c r="H516" s="44">
        <f>IF(F516="No",0,IF(F516="Edited",IF(G516="",E516,G516),E516))</f>
        <v/>
      </c>
    </row>
    <row r="517">
      <c r="A517" s="41" t="n">
        <v>48061</v>
      </c>
      <c r="B517" s="32">
        <f>DATE(YEAR(A517),MONTH(A517),1)</f>
        <v/>
      </c>
      <c r="C517" t="inlineStr">
        <is>
          <t>Global Gov Bond</t>
        </is>
      </c>
      <c r="D517" t="inlineStr">
        <is>
          <t>PAC</t>
        </is>
      </c>
      <c r="E517" s="44">
        <f>IFERROR(VLOOKUP(C517,Assets!$A:$F,6,FALSE),0)</f>
        <v/>
      </c>
      <c r="F517" t="inlineStr">
        <is>
          <t>Auto</t>
        </is>
      </c>
      <c r="G517" s="44" t="n"/>
      <c r="H517" s="44">
        <f>IF(F517="No",0,IF(F517="Edited",IF(G517="",E517,G517),E517))</f>
        <v/>
      </c>
    </row>
    <row r="518">
      <c r="A518" s="41" t="n">
        <v>48061</v>
      </c>
      <c r="B518" s="32">
        <f>DATE(YEAR(A518),MONTH(A518),1)</f>
        <v/>
      </c>
      <c r="C518" t="inlineStr">
        <is>
          <t>Core EUR Corp Bond</t>
        </is>
      </c>
      <c r="D518" t="inlineStr">
        <is>
          <t>PAC</t>
        </is>
      </c>
      <c r="E518" s="44">
        <f>IFERROR(VLOOKUP(C518,Assets!$A:$F,6,FALSE),0)</f>
        <v/>
      </c>
      <c r="F518" t="inlineStr">
        <is>
          <t>Auto</t>
        </is>
      </c>
      <c r="G518" s="44" t="n"/>
      <c r="H518" s="44">
        <f>IF(F518="No",0,IF(F518="Edited",IF(G518="",E518,G518),E518))</f>
        <v/>
      </c>
    </row>
    <row r="519">
      <c r="A519" s="41" t="n">
        <v>48061</v>
      </c>
      <c r="B519" s="32">
        <f>DATE(YEAR(A519),MONTH(A519),1)</f>
        <v/>
      </c>
      <c r="C519" t="inlineStr">
        <is>
          <t>MSCI World Value</t>
        </is>
      </c>
      <c r="D519" t="inlineStr">
        <is>
          <t>PAC</t>
        </is>
      </c>
      <c r="E519" s="44">
        <f>IFERROR(VLOOKUP(C519,Assets!$A:$F,6,FALSE),0)</f>
        <v/>
      </c>
      <c r="F519" t="inlineStr">
        <is>
          <t>Auto</t>
        </is>
      </c>
      <c r="G519" s="44" t="n"/>
      <c r="H519" s="44">
        <f>IF(F519="No",0,IF(F519="Edited",IF(G519="",E519,G519),E519))</f>
        <v/>
      </c>
    </row>
    <row r="520">
      <c r="A520" s="41" t="n">
        <v>48061</v>
      </c>
      <c r="B520" s="32">
        <f>DATE(YEAR(A520),MONTH(A520),1)</f>
        <v/>
      </c>
      <c r="C520" t="inlineStr">
        <is>
          <t>MSCI EM</t>
        </is>
      </c>
      <c r="D520" t="inlineStr">
        <is>
          <t>PAC</t>
        </is>
      </c>
      <c r="E520" s="44">
        <f>IFERROR(VLOOKUP(C520,Assets!$A:$F,6,FALSE),0)</f>
        <v/>
      </c>
      <c r="F520" t="inlineStr">
        <is>
          <t>Auto</t>
        </is>
      </c>
      <c r="G520" s="44" t="n"/>
      <c r="H520" s="44">
        <f>IF(F520="No",0,IF(F520="Edited",IF(G520="",E520,G520),E520))</f>
        <v/>
      </c>
    </row>
    <row r="521">
      <c r="A521" s="41" t="n">
        <v>48061</v>
      </c>
      <c r="B521" s="32">
        <f>DATE(YEAR(A521),MONTH(A521),1)</f>
        <v/>
      </c>
      <c r="C521" t="inlineStr">
        <is>
          <t>Defence Tech</t>
        </is>
      </c>
      <c r="D521" t="inlineStr">
        <is>
          <t>PAC</t>
        </is>
      </c>
      <c r="E521" s="44">
        <f>IFERROR(VLOOKUP(C521,Assets!$A:$F,6,FALSE),0)</f>
        <v/>
      </c>
      <c r="F521" t="inlineStr">
        <is>
          <t>Auto</t>
        </is>
      </c>
      <c r="G521" s="44" t="n"/>
      <c r="H521" s="44">
        <f>IF(F521="No",0,IF(F521="Edited",IF(G521="",E521,G521),E521))</f>
        <v/>
      </c>
    </row>
    <row r="522">
      <c r="A522" s="41" t="n">
        <v>48092</v>
      </c>
      <c r="B522" s="32">
        <f>DATE(YEAR(A522),MONTH(A522),1)</f>
        <v/>
      </c>
      <c r="C522" t="inlineStr">
        <is>
          <t>Core MSCI World</t>
        </is>
      </c>
      <c r="D522" t="inlineStr">
        <is>
          <t>PAC</t>
        </is>
      </c>
      <c r="E522" s="44">
        <f>IFERROR(VLOOKUP(C522,Assets!$A:$F,6,FALSE),0)</f>
        <v/>
      </c>
      <c r="F522" t="inlineStr">
        <is>
          <t>Auto</t>
        </is>
      </c>
      <c r="G522" s="44" t="n"/>
      <c r="H522" s="44">
        <f>IF(F522="No",0,IF(F522="Edited",IF(G522="",E522,G522),E522))</f>
        <v/>
      </c>
    </row>
    <row r="523">
      <c r="A523" s="41" t="n">
        <v>48092</v>
      </c>
      <c r="B523" s="32">
        <f>DATE(YEAR(A523),MONTH(A523),1)</f>
        <v/>
      </c>
      <c r="C523" t="inlineStr">
        <is>
          <t>AI &amp; Big Data</t>
        </is>
      </c>
      <c r="D523" t="inlineStr">
        <is>
          <t>PAC</t>
        </is>
      </c>
      <c r="E523" s="44">
        <f>IFERROR(VLOOKUP(C523,Assets!$A:$F,6,FALSE),0)</f>
        <v/>
      </c>
      <c r="F523" t="inlineStr">
        <is>
          <t>Auto</t>
        </is>
      </c>
      <c r="G523" s="44" t="n"/>
      <c r="H523" s="44">
        <f>IF(F523="No",0,IF(F523="Edited",IF(G523="",E523,G523),E523))</f>
        <v/>
      </c>
    </row>
    <row r="524">
      <c r="A524" s="41" t="n">
        <v>48092</v>
      </c>
      <c r="B524" s="32">
        <f>DATE(YEAR(A524),MONTH(A524),1)</f>
        <v/>
      </c>
      <c r="C524" t="inlineStr">
        <is>
          <t>Physical Gold</t>
        </is>
      </c>
      <c r="D524" t="inlineStr">
        <is>
          <t>PAC</t>
        </is>
      </c>
      <c r="E524" s="44">
        <f>IFERROR(VLOOKUP(C524,Assets!$A:$F,6,FALSE),0)</f>
        <v/>
      </c>
      <c r="F524" t="inlineStr">
        <is>
          <t>Auto</t>
        </is>
      </c>
      <c r="G524" s="44" t="n"/>
      <c r="H524" s="44">
        <f>IF(F524="No",0,IF(F524="Edited",IF(G524="",E524,G524),E524))</f>
        <v/>
      </c>
    </row>
    <row r="525">
      <c r="A525" s="41" t="n">
        <v>48092</v>
      </c>
      <c r="B525" s="32">
        <f>DATE(YEAR(A525),MONTH(A525),1)</f>
        <v/>
      </c>
      <c r="C525" t="inlineStr">
        <is>
          <t>Global Gov Bond</t>
        </is>
      </c>
      <c r="D525" t="inlineStr">
        <is>
          <t>PAC</t>
        </is>
      </c>
      <c r="E525" s="44">
        <f>IFERROR(VLOOKUP(C525,Assets!$A:$F,6,FALSE),0)</f>
        <v/>
      </c>
      <c r="F525" t="inlineStr">
        <is>
          <t>Auto</t>
        </is>
      </c>
      <c r="G525" s="44" t="n"/>
      <c r="H525" s="44">
        <f>IF(F525="No",0,IF(F525="Edited",IF(G525="",E525,G525),E525))</f>
        <v/>
      </c>
    </row>
    <row r="526">
      <c r="A526" s="41" t="n">
        <v>48092</v>
      </c>
      <c r="B526" s="32">
        <f>DATE(YEAR(A526),MONTH(A526),1)</f>
        <v/>
      </c>
      <c r="C526" t="inlineStr">
        <is>
          <t>Core EUR Corp Bond</t>
        </is>
      </c>
      <c r="D526" t="inlineStr">
        <is>
          <t>PAC</t>
        </is>
      </c>
      <c r="E526" s="44">
        <f>IFERROR(VLOOKUP(C526,Assets!$A:$F,6,FALSE),0)</f>
        <v/>
      </c>
      <c r="F526" t="inlineStr">
        <is>
          <t>Auto</t>
        </is>
      </c>
      <c r="G526" s="44" t="n"/>
      <c r="H526" s="44">
        <f>IF(F526="No",0,IF(F526="Edited",IF(G526="",E526,G526),E526))</f>
        <v/>
      </c>
    </row>
    <row r="527">
      <c r="A527" s="41" t="n">
        <v>48092</v>
      </c>
      <c r="B527" s="32">
        <f>DATE(YEAR(A527),MONTH(A527),1)</f>
        <v/>
      </c>
      <c r="C527" t="inlineStr">
        <is>
          <t>MSCI World Value</t>
        </is>
      </c>
      <c r="D527" t="inlineStr">
        <is>
          <t>PAC</t>
        </is>
      </c>
      <c r="E527" s="44">
        <f>IFERROR(VLOOKUP(C527,Assets!$A:$F,6,FALSE),0)</f>
        <v/>
      </c>
      <c r="F527" t="inlineStr">
        <is>
          <t>Auto</t>
        </is>
      </c>
      <c r="G527" s="44" t="n"/>
      <c r="H527" s="44">
        <f>IF(F527="No",0,IF(F527="Edited",IF(G527="",E527,G527),E527))</f>
        <v/>
      </c>
    </row>
    <row r="528">
      <c r="A528" s="41" t="n">
        <v>48092</v>
      </c>
      <c r="B528" s="32">
        <f>DATE(YEAR(A528),MONTH(A528),1)</f>
        <v/>
      </c>
      <c r="C528" t="inlineStr">
        <is>
          <t>MSCI EM</t>
        </is>
      </c>
      <c r="D528" t="inlineStr">
        <is>
          <t>PAC</t>
        </is>
      </c>
      <c r="E528" s="44">
        <f>IFERROR(VLOOKUP(C528,Assets!$A:$F,6,FALSE),0)</f>
        <v/>
      </c>
      <c r="F528" t="inlineStr">
        <is>
          <t>Auto</t>
        </is>
      </c>
      <c r="G528" s="44" t="n"/>
      <c r="H528" s="44">
        <f>IF(F528="No",0,IF(F528="Edited",IF(G528="",E528,G528),E528))</f>
        <v/>
      </c>
    </row>
    <row r="529">
      <c r="A529" s="41" t="n">
        <v>48092</v>
      </c>
      <c r="B529" s="32">
        <f>DATE(YEAR(A529),MONTH(A529),1)</f>
        <v/>
      </c>
      <c r="C529" t="inlineStr">
        <is>
          <t>Defence Tech</t>
        </is>
      </c>
      <c r="D529" t="inlineStr">
        <is>
          <t>PAC</t>
        </is>
      </c>
      <c r="E529" s="44">
        <f>IFERROR(VLOOKUP(C529,Assets!$A:$F,6,FALSE),0)</f>
        <v/>
      </c>
      <c r="F529" t="inlineStr">
        <is>
          <t>Auto</t>
        </is>
      </c>
      <c r="G529" s="44" t="n"/>
      <c r="H529" s="44">
        <f>IF(F529="No",0,IF(F529="Edited",IF(G529="",E529,G529),E529))</f>
        <v/>
      </c>
    </row>
    <row r="530">
      <c r="A530" s="41" t="n">
        <v>48122</v>
      </c>
      <c r="B530" s="32">
        <f>DATE(YEAR(A530),MONTH(A530),1)</f>
        <v/>
      </c>
      <c r="C530" t="inlineStr">
        <is>
          <t>Core MSCI World</t>
        </is>
      </c>
      <c r="D530" t="inlineStr">
        <is>
          <t>PAC</t>
        </is>
      </c>
      <c r="E530" s="44">
        <f>IFERROR(VLOOKUP(C530,Assets!$A:$F,6,FALSE),0)</f>
        <v/>
      </c>
      <c r="F530" t="inlineStr">
        <is>
          <t>Auto</t>
        </is>
      </c>
      <c r="G530" s="44" t="n"/>
      <c r="H530" s="44">
        <f>IF(F530="No",0,IF(F530="Edited",IF(G530="",E530,G530),E530))</f>
        <v/>
      </c>
    </row>
    <row r="531">
      <c r="A531" s="41" t="n">
        <v>48122</v>
      </c>
      <c r="B531" s="32">
        <f>DATE(YEAR(A531),MONTH(A531),1)</f>
        <v/>
      </c>
      <c r="C531" t="inlineStr">
        <is>
          <t>AI &amp; Big Data</t>
        </is>
      </c>
      <c r="D531" t="inlineStr">
        <is>
          <t>PAC</t>
        </is>
      </c>
      <c r="E531" s="44">
        <f>IFERROR(VLOOKUP(C531,Assets!$A:$F,6,FALSE),0)</f>
        <v/>
      </c>
      <c r="F531" t="inlineStr">
        <is>
          <t>Auto</t>
        </is>
      </c>
      <c r="G531" s="44" t="n"/>
      <c r="H531" s="44">
        <f>IF(F531="No",0,IF(F531="Edited",IF(G531="",E531,G531),E531))</f>
        <v/>
      </c>
    </row>
    <row r="532">
      <c r="A532" s="41" t="n">
        <v>48122</v>
      </c>
      <c r="B532" s="32">
        <f>DATE(YEAR(A532),MONTH(A532),1)</f>
        <v/>
      </c>
      <c r="C532" t="inlineStr">
        <is>
          <t>Physical Gold</t>
        </is>
      </c>
      <c r="D532" t="inlineStr">
        <is>
          <t>PAC</t>
        </is>
      </c>
      <c r="E532" s="44">
        <f>IFERROR(VLOOKUP(C532,Assets!$A:$F,6,FALSE),0)</f>
        <v/>
      </c>
      <c r="F532" t="inlineStr">
        <is>
          <t>Auto</t>
        </is>
      </c>
      <c r="G532" s="44" t="n"/>
      <c r="H532" s="44">
        <f>IF(F532="No",0,IF(F532="Edited",IF(G532="",E532,G532),E532))</f>
        <v/>
      </c>
    </row>
    <row r="533">
      <c r="A533" s="41" t="n">
        <v>48122</v>
      </c>
      <c r="B533" s="32">
        <f>DATE(YEAR(A533),MONTH(A533),1)</f>
        <v/>
      </c>
      <c r="C533" t="inlineStr">
        <is>
          <t>Global Gov Bond</t>
        </is>
      </c>
      <c r="D533" t="inlineStr">
        <is>
          <t>PAC</t>
        </is>
      </c>
      <c r="E533" s="44">
        <f>IFERROR(VLOOKUP(C533,Assets!$A:$F,6,FALSE),0)</f>
        <v/>
      </c>
      <c r="F533" t="inlineStr">
        <is>
          <t>Auto</t>
        </is>
      </c>
      <c r="G533" s="44" t="n"/>
      <c r="H533" s="44">
        <f>IF(F533="No",0,IF(F533="Edited",IF(G533="",E533,G533),E533))</f>
        <v/>
      </c>
    </row>
    <row r="534">
      <c r="A534" s="41" t="n">
        <v>48122</v>
      </c>
      <c r="B534" s="32">
        <f>DATE(YEAR(A534),MONTH(A534),1)</f>
        <v/>
      </c>
      <c r="C534" t="inlineStr">
        <is>
          <t>Core EUR Corp Bond</t>
        </is>
      </c>
      <c r="D534" t="inlineStr">
        <is>
          <t>PAC</t>
        </is>
      </c>
      <c r="E534" s="44">
        <f>IFERROR(VLOOKUP(C534,Assets!$A:$F,6,FALSE),0)</f>
        <v/>
      </c>
      <c r="F534" t="inlineStr">
        <is>
          <t>Auto</t>
        </is>
      </c>
      <c r="G534" s="44" t="n"/>
      <c r="H534" s="44">
        <f>IF(F534="No",0,IF(F534="Edited",IF(G534="",E534,G534),E534))</f>
        <v/>
      </c>
    </row>
    <row r="535">
      <c r="A535" s="41" t="n">
        <v>48122</v>
      </c>
      <c r="B535" s="32">
        <f>DATE(YEAR(A535),MONTH(A535),1)</f>
        <v/>
      </c>
      <c r="C535" t="inlineStr">
        <is>
          <t>MSCI World Value</t>
        </is>
      </c>
      <c r="D535" t="inlineStr">
        <is>
          <t>PAC</t>
        </is>
      </c>
      <c r="E535" s="44">
        <f>IFERROR(VLOOKUP(C535,Assets!$A:$F,6,FALSE),0)</f>
        <v/>
      </c>
      <c r="F535" t="inlineStr">
        <is>
          <t>Auto</t>
        </is>
      </c>
      <c r="G535" s="44" t="n"/>
      <c r="H535" s="44">
        <f>IF(F535="No",0,IF(F535="Edited",IF(G535="",E535,G535),E535))</f>
        <v/>
      </c>
    </row>
    <row r="536">
      <c r="A536" s="41" t="n">
        <v>48122</v>
      </c>
      <c r="B536" s="32">
        <f>DATE(YEAR(A536),MONTH(A536),1)</f>
        <v/>
      </c>
      <c r="C536" t="inlineStr">
        <is>
          <t>MSCI EM</t>
        </is>
      </c>
      <c r="D536" t="inlineStr">
        <is>
          <t>PAC</t>
        </is>
      </c>
      <c r="E536" s="44">
        <f>IFERROR(VLOOKUP(C536,Assets!$A:$F,6,FALSE),0)</f>
        <v/>
      </c>
      <c r="F536" t="inlineStr">
        <is>
          <t>Auto</t>
        </is>
      </c>
      <c r="G536" s="44" t="n"/>
      <c r="H536" s="44">
        <f>IF(F536="No",0,IF(F536="Edited",IF(G536="",E536,G536),E536))</f>
        <v/>
      </c>
    </row>
    <row r="537">
      <c r="A537" s="41" t="n">
        <v>48122</v>
      </c>
      <c r="B537" s="32">
        <f>DATE(YEAR(A537),MONTH(A537),1)</f>
        <v/>
      </c>
      <c r="C537" t="inlineStr">
        <is>
          <t>Defence Tech</t>
        </is>
      </c>
      <c r="D537" t="inlineStr">
        <is>
          <t>PAC</t>
        </is>
      </c>
      <c r="E537" s="44">
        <f>IFERROR(VLOOKUP(C537,Assets!$A:$F,6,FALSE),0)</f>
        <v/>
      </c>
      <c r="F537" t="inlineStr">
        <is>
          <t>Auto</t>
        </is>
      </c>
      <c r="G537" s="44" t="n"/>
      <c r="H537" s="44">
        <f>IF(F537="No",0,IF(F537="Edited",IF(G537="",E537,G537),E537))</f>
        <v/>
      </c>
    </row>
    <row r="538">
      <c r="A538" s="41" t="n">
        <v>48153</v>
      </c>
      <c r="B538" s="32">
        <f>DATE(YEAR(A538),MONTH(A538),1)</f>
        <v/>
      </c>
      <c r="C538" t="inlineStr">
        <is>
          <t>Core MSCI World</t>
        </is>
      </c>
      <c r="D538" t="inlineStr">
        <is>
          <t>PAC</t>
        </is>
      </c>
      <c r="E538" s="44">
        <f>IFERROR(VLOOKUP(C538,Assets!$A:$F,6,FALSE),0)</f>
        <v/>
      </c>
      <c r="F538" t="inlineStr">
        <is>
          <t>Auto</t>
        </is>
      </c>
      <c r="G538" s="44" t="n"/>
      <c r="H538" s="44">
        <f>IF(F538="No",0,IF(F538="Edited",IF(G538="",E538,G538),E538))</f>
        <v/>
      </c>
    </row>
    <row r="539">
      <c r="A539" s="41" t="n">
        <v>48153</v>
      </c>
      <c r="B539" s="32">
        <f>DATE(YEAR(A539),MONTH(A539),1)</f>
        <v/>
      </c>
      <c r="C539" t="inlineStr">
        <is>
          <t>AI &amp; Big Data</t>
        </is>
      </c>
      <c r="D539" t="inlineStr">
        <is>
          <t>PAC</t>
        </is>
      </c>
      <c r="E539" s="44">
        <f>IFERROR(VLOOKUP(C539,Assets!$A:$F,6,FALSE),0)</f>
        <v/>
      </c>
      <c r="F539" t="inlineStr">
        <is>
          <t>Auto</t>
        </is>
      </c>
      <c r="G539" s="44" t="n"/>
      <c r="H539" s="44">
        <f>IF(F539="No",0,IF(F539="Edited",IF(G539="",E539,G539),E539))</f>
        <v/>
      </c>
    </row>
    <row r="540">
      <c r="A540" s="41" t="n">
        <v>48153</v>
      </c>
      <c r="B540" s="32">
        <f>DATE(YEAR(A540),MONTH(A540),1)</f>
        <v/>
      </c>
      <c r="C540" t="inlineStr">
        <is>
          <t>Physical Gold</t>
        </is>
      </c>
      <c r="D540" t="inlineStr">
        <is>
          <t>PAC</t>
        </is>
      </c>
      <c r="E540" s="44">
        <f>IFERROR(VLOOKUP(C540,Assets!$A:$F,6,FALSE),0)</f>
        <v/>
      </c>
      <c r="F540" t="inlineStr">
        <is>
          <t>Auto</t>
        </is>
      </c>
      <c r="G540" s="44" t="n"/>
      <c r="H540" s="44">
        <f>IF(F540="No",0,IF(F540="Edited",IF(G540="",E540,G540),E540))</f>
        <v/>
      </c>
    </row>
    <row r="541">
      <c r="A541" s="41" t="n">
        <v>48153</v>
      </c>
      <c r="B541" s="32">
        <f>DATE(YEAR(A541),MONTH(A541),1)</f>
        <v/>
      </c>
      <c r="C541" t="inlineStr">
        <is>
          <t>Global Gov Bond</t>
        </is>
      </c>
      <c r="D541" t="inlineStr">
        <is>
          <t>PAC</t>
        </is>
      </c>
      <c r="E541" s="44">
        <f>IFERROR(VLOOKUP(C541,Assets!$A:$F,6,FALSE),0)</f>
        <v/>
      </c>
      <c r="F541" t="inlineStr">
        <is>
          <t>Auto</t>
        </is>
      </c>
      <c r="G541" s="44" t="n"/>
      <c r="H541" s="44">
        <f>IF(F541="No",0,IF(F541="Edited",IF(G541="",E541,G541),E541))</f>
        <v/>
      </c>
    </row>
    <row r="542">
      <c r="A542" s="41" t="n">
        <v>48153</v>
      </c>
      <c r="B542" s="32">
        <f>DATE(YEAR(A542),MONTH(A542),1)</f>
        <v/>
      </c>
      <c r="C542" t="inlineStr">
        <is>
          <t>Core EUR Corp Bond</t>
        </is>
      </c>
      <c r="D542" t="inlineStr">
        <is>
          <t>PAC</t>
        </is>
      </c>
      <c r="E542" s="44">
        <f>IFERROR(VLOOKUP(C542,Assets!$A:$F,6,FALSE),0)</f>
        <v/>
      </c>
      <c r="F542" t="inlineStr">
        <is>
          <t>Auto</t>
        </is>
      </c>
      <c r="G542" s="44" t="n"/>
      <c r="H542" s="44">
        <f>IF(F542="No",0,IF(F542="Edited",IF(G542="",E542,G542),E542))</f>
        <v/>
      </c>
    </row>
    <row r="543">
      <c r="A543" s="41" t="n">
        <v>48153</v>
      </c>
      <c r="B543" s="32">
        <f>DATE(YEAR(A543),MONTH(A543),1)</f>
        <v/>
      </c>
      <c r="C543" t="inlineStr">
        <is>
          <t>MSCI World Value</t>
        </is>
      </c>
      <c r="D543" t="inlineStr">
        <is>
          <t>PAC</t>
        </is>
      </c>
      <c r="E543" s="44">
        <f>IFERROR(VLOOKUP(C543,Assets!$A:$F,6,FALSE),0)</f>
        <v/>
      </c>
      <c r="F543" t="inlineStr">
        <is>
          <t>Auto</t>
        </is>
      </c>
      <c r="G543" s="44" t="n"/>
      <c r="H543" s="44">
        <f>IF(F543="No",0,IF(F543="Edited",IF(G543="",E543,G543),E543))</f>
        <v/>
      </c>
    </row>
    <row r="544">
      <c r="A544" s="41" t="n">
        <v>48153</v>
      </c>
      <c r="B544" s="32">
        <f>DATE(YEAR(A544),MONTH(A544),1)</f>
        <v/>
      </c>
      <c r="C544" t="inlineStr">
        <is>
          <t>MSCI EM</t>
        </is>
      </c>
      <c r="D544" t="inlineStr">
        <is>
          <t>PAC</t>
        </is>
      </c>
      <c r="E544" s="44">
        <f>IFERROR(VLOOKUP(C544,Assets!$A:$F,6,FALSE),0)</f>
        <v/>
      </c>
      <c r="F544" t="inlineStr">
        <is>
          <t>Auto</t>
        </is>
      </c>
      <c r="G544" s="44" t="n"/>
      <c r="H544" s="44">
        <f>IF(F544="No",0,IF(F544="Edited",IF(G544="",E544,G544),E544))</f>
        <v/>
      </c>
    </row>
    <row r="545">
      <c r="A545" s="41" t="n">
        <v>48153</v>
      </c>
      <c r="B545" s="32">
        <f>DATE(YEAR(A545),MONTH(A545),1)</f>
        <v/>
      </c>
      <c r="C545" t="inlineStr">
        <is>
          <t>Defence Tech</t>
        </is>
      </c>
      <c r="D545" t="inlineStr">
        <is>
          <t>PAC</t>
        </is>
      </c>
      <c r="E545" s="44">
        <f>IFERROR(VLOOKUP(C545,Assets!$A:$F,6,FALSE),0)</f>
        <v/>
      </c>
      <c r="F545" t="inlineStr">
        <is>
          <t>Auto</t>
        </is>
      </c>
      <c r="G545" s="44" t="n"/>
      <c r="H545" s="44">
        <f>IF(F545="No",0,IF(F545="Edited",IF(G545="",E545,G545),E545))</f>
        <v/>
      </c>
    </row>
    <row r="546">
      <c r="A546" s="41" t="n">
        <v>48183</v>
      </c>
      <c r="B546" s="32">
        <f>DATE(YEAR(A546),MONTH(A546),1)</f>
        <v/>
      </c>
      <c r="C546" t="inlineStr">
        <is>
          <t>Core MSCI World</t>
        </is>
      </c>
      <c r="D546" t="inlineStr">
        <is>
          <t>PAC</t>
        </is>
      </c>
      <c r="E546" s="44">
        <f>IFERROR(VLOOKUP(C546,Assets!$A:$F,6,FALSE),0)</f>
        <v/>
      </c>
      <c r="F546" t="inlineStr">
        <is>
          <t>Auto</t>
        </is>
      </c>
      <c r="G546" s="44" t="n"/>
      <c r="H546" s="44">
        <f>IF(F546="No",0,IF(F546="Edited",IF(G546="",E546,G546),E546))</f>
        <v/>
      </c>
    </row>
    <row r="547">
      <c r="A547" s="41" t="n">
        <v>48183</v>
      </c>
      <c r="B547" s="32">
        <f>DATE(YEAR(A547),MONTH(A547),1)</f>
        <v/>
      </c>
      <c r="C547" t="inlineStr">
        <is>
          <t>AI &amp; Big Data</t>
        </is>
      </c>
      <c r="D547" t="inlineStr">
        <is>
          <t>PAC</t>
        </is>
      </c>
      <c r="E547" s="44">
        <f>IFERROR(VLOOKUP(C547,Assets!$A:$F,6,FALSE),0)</f>
        <v/>
      </c>
      <c r="F547" t="inlineStr">
        <is>
          <t>Auto</t>
        </is>
      </c>
      <c r="G547" s="44" t="n"/>
      <c r="H547" s="44">
        <f>IF(F547="No",0,IF(F547="Edited",IF(G547="",E547,G547),E547))</f>
        <v/>
      </c>
    </row>
    <row r="548">
      <c r="A548" s="41" t="n">
        <v>48183</v>
      </c>
      <c r="B548" s="32">
        <f>DATE(YEAR(A548),MONTH(A548),1)</f>
        <v/>
      </c>
      <c r="C548" t="inlineStr">
        <is>
          <t>Physical Gold</t>
        </is>
      </c>
      <c r="D548" t="inlineStr">
        <is>
          <t>PAC</t>
        </is>
      </c>
      <c r="E548" s="44">
        <f>IFERROR(VLOOKUP(C548,Assets!$A:$F,6,FALSE),0)</f>
        <v/>
      </c>
      <c r="F548" t="inlineStr">
        <is>
          <t>Auto</t>
        </is>
      </c>
      <c r="G548" s="44" t="n"/>
      <c r="H548" s="44">
        <f>IF(F548="No",0,IF(F548="Edited",IF(G548="",E548,G548),E548))</f>
        <v/>
      </c>
    </row>
    <row r="549">
      <c r="A549" s="41" t="n">
        <v>48183</v>
      </c>
      <c r="B549" s="32">
        <f>DATE(YEAR(A549),MONTH(A549),1)</f>
        <v/>
      </c>
      <c r="C549" t="inlineStr">
        <is>
          <t>Global Gov Bond</t>
        </is>
      </c>
      <c r="D549" t="inlineStr">
        <is>
          <t>PAC</t>
        </is>
      </c>
      <c r="E549" s="44">
        <f>IFERROR(VLOOKUP(C549,Assets!$A:$F,6,FALSE),0)</f>
        <v/>
      </c>
      <c r="F549" t="inlineStr">
        <is>
          <t>Auto</t>
        </is>
      </c>
      <c r="G549" s="44" t="n"/>
      <c r="H549" s="44">
        <f>IF(F549="No",0,IF(F549="Edited",IF(G549="",E549,G549),E549))</f>
        <v/>
      </c>
    </row>
    <row r="550">
      <c r="A550" s="41" t="n">
        <v>48183</v>
      </c>
      <c r="B550" s="32">
        <f>DATE(YEAR(A550),MONTH(A550),1)</f>
        <v/>
      </c>
      <c r="C550" t="inlineStr">
        <is>
          <t>Core EUR Corp Bond</t>
        </is>
      </c>
      <c r="D550" t="inlineStr">
        <is>
          <t>PAC</t>
        </is>
      </c>
      <c r="E550" s="44">
        <f>IFERROR(VLOOKUP(C550,Assets!$A:$F,6,FALSE),0)</f>
        <v/>
      </c>
      <c r="F550" t="inlineStr">
        <is>
          <t>Auto</t>
        </is>
      </c>
      <c r="G550" s="44" t="n"/>
      <c r="H550" s="44">
        <f>IF(F550="No",0,IF(F550="Edited",IF(G550="",E550,G550),E550))</f>
        <v/>
      </c>
    </row>
    <row r="551">
      <c r="A551" s="41" t="n">
        <v>48183</v>
      </c>
      <c r="B551" s="32">
        <f>DATE(YEAR(A551),MONTH(A551),1)</f>
        <v/>
      </c>
      <c r="C551" t="inlineStr">
        <is>
          <t>MSCI World Value</t>
        </is>
      </c>
      <c r="D551" t="inlineStr">
        <is>
          <t>PAC</t>
        </is>
      </c>
      <c r="E551" s="44">
        <f>IFERROR(VLOOKUP(C551,Assets!$A:$F,6,FALSE),0)</f>
        <v/>
      </c>
      <c r="F551" t="inlineStr">
        <is>
          <t>Auto</t>
        </is>
      </c>
      <c r="G551" s="44" t="n"/>
      <c r="H551" s="44">
        <f>IF(F551="No",0,IF(F551="Edited",IF(G551="",E551,G551),E551))</f>
        <v/>
      </c>
    </row>
    <row r="552">
      <c r="A552" s="41" t="n">
        <v>48183</v>
      </c>
      <c r="B552" s="32">
        <f>DATE(YEAR(A552),MONTH(A552),1)</f>
        <v/>
      </c>
      <c r="C552" t="inlineStr">
        <is>
          <t>MSCI EM</t>
        </is>
      </c>
      <c r="D552" t="inlineStr">
        <is>
          <t>PAC</t>
        </is>
      </c>
      <c r="E552" s="44">
        <f>IFERROR(VLOOKUP(C552,Assets!$A:$F,6,FALSE),0)</f>
        <v/>
      </c>
      <c r="F552" t="inlineStr">
        <is>
          <t>Auto</t>
        </is>
      </c>
      <c r="G552" s="44" t="n"/>
      <c r="H552" s="44">
        <f>IF(F552="No",0,IF(F552="Edited",IF(G552="",E552,G552),E552))</f>
        <v/>
      </c>
    </row>
    <row r="553">
      <c r="A553" s="41" t="n">
        <v>48183</v>
      </c>
      <c r="B553" s="32">
        <f>DATE(YEAR(A553),MONTH(A553),1)</f>
        <v/>
      </c>
      <c r="C553" t="inlineStr">
        <is>
          <t>Defence Tech</t>
        </is>
      </c>
      <c r="D553" t="inlineStr">
        <is>
          <t>PAC</t>
        </is>
      </c>
      <c r="E553" s="44">
        <f>IFERROR(VLOOKUP(C553,Assets!$A:$F,6,FALSE),0)</f>
        <v/>
      </c>
      <c r="F553" t="inlineStr">
        <is>
          <t>Auto</t>
        </is>
      </c>
      <c r="G553" s="44" t="n"/>
      <c r="H553" s="44">
        <f>IF(F553="No",0,IF(F553="Edited",IF(G553="",E553,G553),E553))</f>
        <v/>
      </c>
    </row>
    <row r="554">
      <c r="A554" s="41" t="n">
        <v>48214</v>
      </c>
      <c r="B554" s="32">
        <f>DATE(YEAR(A554),MONTH(A554),1)</f>
        <v/>
      </c>
      <c r="C554" t="inlineStr">
        <is>
          <t>Core MSCI World</t>
        </is>
      </c>
      <c r="D554" t="inlineStr">
        <is>
          <t>PAC</t>
        </is>
      </c>
      <c r="E554" s="44">
        <f>IFERROR(VLOOKUP(C554,Assets!$A:$F,6,FALSE),0)</f>
        <v/>
      </c>
      <c r="F554" t="inlineStr">
        <is>
          <t>Auto</t>
        </is>
      </c>
      <c r="G554" s="44" t="n"/>
      <c r="H554" s="44">
        <f>IF(F554="No",0,IF(F554="Edited",IF(G554="",E554,G554),E554))</f>
        <v/>
      </c>
    </row>
    <row r="555">
      <c r="A555" s="41" t="n">
        <v>48214</v>
      </c>
      <c r="B555" s="32">
        <f>DATE(YEAR(A555),MONTH(A555),1)</f>
        <v/>
      </c>
      <c r="C555" t="inlineStr">
        <is>
          <t>AI &amp; Big Data</t>
        </is>
      </c>
      <c r="D555" t="inlineStr">
        <is>
          <t>PAC</t>
        </is>
      </c>
      <c r="E555" s="44">
        <f>IFERROR(VLOOKUP(C555,Assets!$A:$F,6,FALSE),0)</f>
        <v/>
      </c>
      <c r="F555" t="inlineStr">
        <is>
          <t>Auto</t>
        </is>
      </c>
      <c r="G555" s="44" t="n"/>
      <c r="H555" s="44">
        <f>IF(F555="No",0,IF(F555="Edited",IF(G555="",E555,G555),E555))</f>
        <v/>
      </c>
    </row>
    <row r="556">
      <c r="A556" s="41" t="n">
        <v>48214</v>
      </c>
      <c r="B556" s="32">
        <f>DATE(YEAR(A556),MONTH(A556),1)</f>
        <v/>
      </c>
      <c r="C556" t="inlineStr">
        <is>
          <t>Physical Gold</t>
        </is>
      </c>
      <c r="D556" t="inlineStr">
        <is>
          <t>PAC</t>
        </is>
      </c>
      <c r="E556" s="44">
        <f>IFERROR(VLOOKUP(C556,Assets!$A:$F,6,FALSE),0)</f>
        <v/>
      </c>
      <c r="F556" t="inlineStr">
        <is>
          <t>Auto</t>
        </is>
      </c>
      <c r="G556" s="44" t="n"/>
      <c r="H556" s="44">
        <f>IF(F556="No",0,IF(F556="Edited",IF(G556="",E556,G556),E556))</f>
        <v/>
      </c>
    </row>
    <row r="557">
      <c r="A557" s="41" t="n">
        <v>48214</v>
      </c>
      <c r="B557" s="32">
        <f>DATE(YEAR(A557),MONTH(A557),1)</f>
        <v/>
      </c>
      <c r="C557" t="inlineStr">
        <is>
          <t>Global Gov Bond</t>
        </is>
      </c>
      <c r="D557" t="inlineStr">
        <is>
          <t>PAC</t>
        </is>
      </c>
      <c r="E557" s="44">
        <f>IFERROR(VLOOKUP(C557,Assets!$A:$F,6,FALSE),0)</f>
        <v/>
      </c>
      <c r="F557" t="inlineStr">
        <is>
          <t>Auto</t>
        </is>
      </c>
      <c r="G557" s="44" t="n"/>
      <c r="H557" s="44">
        <f>IF(F557="No",0,IF(F557="Edited",IF(G557="",E557,G557),E557))</f>
        <v/>
      </c>
    </row>
    <row r="558">
      <c r="A558" s="41" t="n">
        <v>48214</v>
      </c>
      <c r="B558" s="32">
        <f>DATE(YEAR(A558),MONTH(A558),1)</f>
        <v/>
      </c>
      <c r="C558" t="inlineStr">
        <is>
          <t>Core EUR Corp Bond</t>
        </is>
      </c>
      <c r="D558" t="inlineStr">
        <is>
          <t>PAC</t>
        </is>
      </c>
      <c r="E558" s="44">
        <f>IFERROR(VLOOKUP(C558,Assets!$A:$F,6,FALSE),0)</f>
        <v/>
      </c>
      <c r="F558" t="inlineStr">
        <is>
          <t>Auto</t>
        </is>
      </c>
      <c r="G558" s="44" t="n"/>
      <c r="H558" s="44">
        <f>IF(F558="No",0,IF(F558="Edited",IF(G558="",E558,G558),E558))</f>
        <v/>
      </c>
    </row>
    <row r="559">
      <c r="A559" s="41" t="n">
        <v>48214</v>
      </c>
      <c r="B559" s="32">
        <f>DATE(YEAR(A559),MONTH(A559),1)</f>
        <v/>
      </c>
      <c r="C559" t="inlineStr">
        <is>
          <t>MSCI World Value</t>
        </is>
      </c>
      <c r="D559" t="inlineStr">
        <is>
          <t>PAC</t>
        </is>
      </c>
      <c r="E559" s="44">
        <f>IFERROR(VLOOKUP(C559,Assets!$A:$F,6,FALSE),0)</f>
        <v/>
      </c>
      <c r="F559" t="inlineStr">
        <is>
          <t>Auto</t>
        </is>
      </c>
      <c r="G559" s="44" t="n"/>
      <c r="H559" s="44">
        <f>IF(F559="No",0,IF(F559="Edited",IF(G559="",E559,G559),E559))</f>
        <v/>
      </c>
    </row>
    <row r="560">
      <c r="A560" s="41" t="n">
        <v>48214</v>
      </c>
      <c r="B560" s="32">
        <f>DATE(YEAR(A560),MONTH(A560),1)</f>
        <v/>
      </c>
      <c r="C560" t="inlineStr">
        <is>
          <t>MSCI EM</t>
        </is>
      </c>
      <c r="D560" t="inlineStr">
        <is>
          <t>PAC</t>
        </is>
      </c>
      <c r="E560" s="44">
        <f>IFERROR(VLOOKUP(C560,Assets!$A:$F,6,FALSE),0)</f>
        <v/>
      </c>
      <c r="F560" t="inlineStr">
        <is>
          <t>Auto</t>
        </is>
      </c>
      <c r="G560" s="44" t="n"/>
      <c r="H560" s="44">
        <f>IF(F560="No",0,IF(F560="Edited",IF(G560="",E560,G560),E560))</f>
        <v/>
      </c>
    </row>
    <row r="561">
      <c r="A561" s="41" t="n">
        <v>48214</v>
      </c>
      <c r="B561" s="32">
        <f>DATE(YEAR(A561),MONTH(A561),1)</f>
        <v/>
      </c>
      <c r="C561" t="inlineStr">
        <is>
          <t>Defence Tech</t>
        </is>
      </c>
      <c r="D561" t="inlineStr">
        <is>
          <t>PAC</t>
        </is>
      </c>
      <c r="E561" s="44">
        <f>IFERROR(VLOOKUP(C561,Assets!$A:$F,6,FALSE),0)</f>
        <v/>
      </c>
      <c r="F561" t="inlineStr">
        <is>
          <t>Auto</t>
        </is>
      </c>
      <c r="G561" s="44" t="n"/>
      <c r="H561" s="44">
        <f>IF(F561="No",0,IF(F561="Edited",IF(G561="",E561,G561),E561))</f>
        <v/>
      </c>
    </row>
    <row r="562">
      <c r="A562" s="41" t="n">
        <v>48245</v>
      </c>
      <c r="B562" s="32">
        <f>DATE(YEAR(A562),MONTH(A562),1)</f>
        <v/>
      </c>
      <c r="C562" t="inlineStr">
        <is>
          <t>Core MSCI World</t>
        </is>
      </c>
      <c r="D562" t="inlineStr">
        <is>
          <t>PAC</t>
        </is>
      </c>
      <c r="E562" s="44">
        <f>IFERROR(VLOOKUP(C562,Assets!$A:$F,6,FALSE),0)</f>
        <v/>
      </c>
      <c r="F562" t="inlineStr">
        <is>
          <t>Auto</t>
        </is>
      </c>
      <c r="G562" s="44" t="n"/>
      <c r="H562" s="44">
        <f>IF(F562="No",0,IF(F562="Edited",IF(G562="",E562,G562),E562))</f>
        <v/>
      </c>
    </row>
    <row r="563">
      <c r="A563" s="41" t="n">
        <v>48245</v>
      </c>
      <c r="B563" s="32">
        <f>DATE(YEAR(A563),MONTH(A563),1)</f>
        <v/>
      </c>
      <c r="C563" t="inlineStr">
        <is>
          <t>AI &amp; Big Data</t>
        </is>
      </c>
      <c r="D563" t="inlineStr">
        <is>
          <t>PAC</t>
        </is>
      </c>
      <c r="E563" s="44">
        <f>IFERROR(VLOOKUP(C563,Assets!$A:$F,6,FALSE),0)</f>
        <v/>
      </c>
      <c r="F563" t="inlineStr">
        <is>
          <t>Auto</t>
        </is>
      </c>
      <c r="G563" s="44" t="n"/>
      <c r="H563" s="44">
        <f>IF(F563="No",0,IF(F563="Edited",IF(G563="",E563,G563),E563))</f>
        <v/>
      </c>
    </row>
    <row r="564">
      <c r="A564" s="41" t="n">
        <v>48245</v>
      </c>
      <c r="B564" s="32">
        <f>DATE(YEAR(A564),MONTH(A564),1)</f>
        <v/>
      </c>
      <c r="C564" t="inlineStr">
        <is>
          <t>Physical Gold</t>
        </is>
      </c>
      <c r="D564" t="inlineStr">
        <is>
          <t>PAC</t>
        </is>
      </c>
      <c r="E564" s="44">
        <f>IFERROR(VLOOKUP(C564,Assets!$A:$F,6,FALSE),0)</f>
        <v/>
      </c>
      <c r="F564" t="inlineStr">
        <is>
          <t>Auto</t>
        </is>
      </c>
      <c r="G564" s="44" t="n"/>
      <c r="H564" s="44">
        <f>IF(F564="No",0,IF(F564="Edited",IF(G564="",E564,G564),E564))</f>
        <v/>
      </c>
    </row>
    <row r="565">
      <c r="A565" s="41" t="n">
        <v>48245</v>
      </c>
      <c r="B565" s="32">
        <f>DATE(YEAR(A565),MONTH(A565),1)</f>
        <v/>
      </c>
      <c r="C565" t="inlineStr">
        <is>
          <t>Global Gov Bond</t>
        </is>
      </c>
      <c r="D565" t="inlineStr">
        <is>
          <t>PAC</t>
        </is>
      </c>
      <c r="E565" s="44">
        <f>IFERROR(VLOOKUP(C565,Assets!$A:$F,6,FALSE),0)</f>
        <v/>
      </c>
      <c r="F565" t="inlineStr">
        <is>
          <t>Auto</t>
        </is>
      </c>
      <c r="G565" s="44" t="n"/>
      <c r="H565" s="44">
        <f>IF(F565="No",0,IF(F565="Edited",IF(G565="",E565,G565),E565))</f>
        <v/>
      </c>
    </row>
    <row r="566">
      <c r="A566" s="41" t="n">
        <v>48245</v>
      </c>
      <c r="B566" s="32">
        <f>DATE(YEAR(A566),MONTH(A566),1)</f>
        <v/>
      </c>
      <c r="C566" t="inlineStr">
        <is>
          <t>Core EUR Corp Bond</t>
        </is>
      </c>
      <c r="D566" t="inlineStr">
        <is>
          <t>PAC</t>
        </is>
      </c>
      <c r="E566" s="44">
        <f>IFERROR(VLOOKUP(C566,Assets!$A:$F,6,FALSE),0)</f>
        <v/>
      </c>
      <c r="F566" t="inlineStr">
        <is>
          <t>Auto</t>
        </is>
      </c>
      <c r="G566" s="44" t="n"/>
      <c r="H566" s="44">
        <f>IF(F566="No",0,IF(F566="Edited",IF(G566="",E566,G566),E566))</f>
        <v/>
      </c>
    </row>
    <row r="567">
      <c r="A567" s="41" t="n">
        <v>48245</v>
      </c>
      <c r="B567" s="32">
        <f>DATE(YEAR(A567),MONTH(A567),1)</f>
        <v/>
      </c>
      <c r="C567" t="inlineStr">
        <is>
          <t>MSCI World Value</t>
        </is>
      </c>
      <c r="D567" t="inlineStr">
        <is>
          <t>PAC</t>
        </is>
      </c>
      <c r="E567" s="44">
        <f>IFERROR(VLOOKUP(C567,Assets!$A:$F,6,FALSE),0)</f>
        <v/>
      </c>
      <c r="F567" t="inlineStr">
        <is>
          <t>Auto</t>
        </is>
      </c>
      <c r="G567" s="44" t="n"/>
      <c r="H567" s="44">
        <f>IF(F567="No",0,IF(F567="Edited",IF(G567="",E567,G567),E567))</f>
        <v/>
      </c>
    </row>
    <row r="568">
      <c r="A568" s="41" t="n">
        <v>48245</v>
      </c>
      <c r="B568" s="32">
        <f>DATE(YEAR(A568),MONTH(A568),1)</f>
        <v/>
      </c>
      <c r="C568" t="inlineStr">
        <is>
          <t>MSCI EM</t>
        </is>
      </c>
      <c r="D568" t="inlineStr">
        <is>
          <t>PAC</t>
        </is>
      </c>
      <c r="E568" s="44">
        <f>IFERROR(VLOOKUP(C568,Assets!$A:$F,6,FALSE),0)</f>
        <v/>
      </c>
      <c r="F568" t="inlineStr">
        <is>
          <t>Auto</t>
        </is>
      </c>
      <c r="G568" s="44" t="n"/>
      <c r="H568" s="44">
        <f>IF(F568="No",0,IF(F568="Edited",IF(G568="",E568,G568),E568))</f>
        <v/>
      </c>
    </row>
    <row r="569">
      <c r="A569" s="41" t="n">
        <v>48245</v>
      </c>
      <c r="B569" s="32">
        <f>DATE(YEAR(A569),MONTH(A569),1)</f>
        <v/>
      </c>
      <c r="C569" t="inlineStr">
        <is>
          <t>Defence Tech</t>
        </is>
      </c>
      <c r="D569" t="inlineStr">
        <is>
          <t>PAC</t>
        </is>
      </c>
      <c r="E569" s="44">
        <f>IFERROR(VLOOKUP(C569,Assets!$A:$F,6,FALSE),0)</f>
        <v/>
      </c>
      <c r="F569" t="inlineStr">
        <is>
          <t>Auto</t>
        </is>
      </c>
      <c r="G569" s="44" t="n"/>
      <c r="H569" s="44">
        <f>IF(F569="No",0,IF(F569="Edited",IF(G569="",E569,G569),E569))</f>
        <v/>
      </c>
    </row>
    <row r="570">
      <c r="A570" s="41" t="n">
        <v>48274</v>
      </c>
      <c r="B570" s="32">
        <f>DATE(YEAR(A570),MONTH(A570),1)</f>
        <v/>
      </c>
      <c r="C570" t="inlineStr">
        <is>
          <t>Core MSCI World</t>
        </is>
      </c>
      <c r="D570" t="inlineStr">
        <is>
          <t>PAC</t>
        </is>
      </c>
      <c r="E570" s="44">
        <f>IFERROR(VLOOKUP(C570,Assets!$A:$F,6,FALSE),0)</f>
        <v/>
      </c>
      <c r="F570" t="inlineStr">
        <is>
          <t>Auto</t>
        </is>
      </c>
      <c r="G570" s="44" t="n"/>
      <c r="H570" s="44">
        <f>IF(F570="No",0,IF(F570="Edited",IF(G570="",E570,G570),E570))</f>
        <v/>
      </c>
    </row>
    <row r="571">
      <c r="A571" s="41" t="n">
        <v>48274</v>
      </c>
      <c r="B571" s="32">
        <f>DATE(YEAR(A571),MONTH(A571),1)</f>
        <v/>
      </c>
      <c r="C571" t="inlineStr">
        <is>
          <t>AI &amp; Big Data</t>
        </is>
      </c>
      <c r="D571" t="inlineStr">
        <is>
          <t>PAC</t>
        </is>
      </c>
      <c r="E571" s="44">
        <f>IFERROR(VLOOKUP(C571,Assets!$A:$F,6,FALSE),0)</f>
        <v/>
      </c>
      <c r="F571" t="inlineStr">
        <is>
          <t>Auto</t>
        </is>
      </c>
      <c r="G571" s="44" t="n"/>
      <c r="H571" s="44">
        <f>IF(F571="No",0,IF(F571="Edited",IF(G571="",E571,G571),E571))</f>
        <v/>
      </c>
    </row>
    <row r="572">
      <c r="A572" s="41" t="n">
        <v>48274</v>
      </c>
      <c r="B572" s="32">
        <f>DATE(YEAR(A572),MONTH(A572),1)</f>
        <v/>
      </c>
      <c r="C572" t="inlineStr">
        <is>
          <t>Physical Gold</t>
        </is>
      </c>
      <c r="D572" t="inlineStr">
        <is>
          <t>PAC</t>
        </is>
      </c>
      <c r="E572" s="44">
        <f>IFERROR(VLOOKUP(C572,Assets!$A:$F,6,FALSE),0)</f>
        <v/>
      </c>
      <c r="F572" t="inlineStr">
        <is>
          <t>Auto</t>
        </is>
      </c>
      <c r="G572" s="44" t="n"/>
      <c r="H572" s="44">
        <f>IF(F572="No",0,IF(F572="Edited",IF(G572="",E572,G572),E572))</f>
        <v/>
      </c>
    </row>
    <row r="573">
      <c r="A573" s="41" t="n">
        <v>48274</v>
      </c>
      <c r="B573" s="32">
        <f>DATE(YEAR(A573),MONTH(A573),1)</f>
        <v/>
      </c>
      <c r="C573" t="inlineStr">
        <is>
          <t>Global Gov Bond</t>
        </is>
      </c>
      <c r="D573" t="inlineStr">
        <is>
          <t>PAC</t>
        </is>
      </c>
      <c r="E573" s="44">
        <f>IFERROR(VLOOKUP(C573,Assets!$A:$F,6,FALSE),0)</f>
        <v/>
      </c>
      <c r="F573" t="inlineStr">
        <is>
          <t>Auto</t>
        </is>
      </c>
      <c r="G573" s="44" t="n"/>
      <c r="H573" s="44">
        <f>IF(F573="No",0,IF(F573="Edited",IF(G573="",E573,G573),E573))</f>
        <v/>
      </c>
    </row>
    <row r="574">
      <c r="A574" s="41" t="n">
        <v>48274</v>
      </c>
      <c r="B574" s="32">
        <f>DATE(YEAR(A574),MONTH(A574),1)</f>
        <v/>
      </c>
      <c r="C574" t="inlineStr">
        <is>
          <t>Core EUR Corp Bond</t>
        </is>
      </c>
      <c r="D574" t="inlineStr">
        <is>
          <t>PAC</t>
        </is>
      </c>
      <c r="E574" s="44">
        <f>IFERROR(VLOOKUP(C574,Assets!$A:$F,6,FALSE),0)</f>
        <v/>
      </c>
      <c r="F574" t="inlineStr">
        <is>
          <t>Auto</t>
        </is>
      </c>
      <c r="G574" s="44" t="n"/>
      <c r="H574" s="44">
        <f>IF(F574="No",0,IF(F574="Edited",IF(G574="",E574,G574),E574))</f>
        <v/>
      </c>
    </row>
    <row r="575">
      <c r="A575" s="41" t="n">
        <v>48274</v>
      </c>
      <c r="B575" s="32">
        <f>DATE(YEAR(A575),MONTH(A575),1)</f>
        <v/>
      </c>
      <c r="C575" t="inlineStr">
        <is>
          <t>MSCI World Value</t>
        </is>
      </c>
      <c r="D575" t="inlineStr">
        <is>
          <t>PAC</t>
        </is>
      </c>
      <c r="E575" s="44">
        <f>IFERROR(VLOOKUP(C575,Assets!$A:$F,6,FALSE),0)</f>
        <v/>
      </c>
      <c r="F575" t="inlineStr">
        <is>
          <t>Auto</t>
        </is>
      </c>
      <c r="G575" s="44" t="n"/>
      <c r="H575" s="44">
        <f>IF(F575="No",0,IF(F575="Edited",IF(G575="",E575,G575),E575))</f>
        <v/>
      </c>
    </row>
    <row r="576">
      <c r="A576" s="41" t="n">
        <v>48274</v>
      </c>
      <c r="B576" s="32">
        <f>DATE(YEAR(A576),MONTH(A576),1)</f>
        <v/>
      </c>
      <c r="C576" t="inlineStr">
        <is>
          <t>MSCI EM</t>
        </is>
      </c>
      <c r="D576" t="inlineStr">
        <is>
          <t>PAC</t>
        </is>
      </c>
      <c r="E576" s="44">
        <f>IFERROR(VLOOKUP(C576,Assets!$A:$F,6,FALSE),0)</f>
        <v/>
      </c>
      <c r="F576" t="inlineStr">
        <is>
          <t>Auto</t>
        </is>
      </c>
      <c r="G576" s="44" t="n"/>
      <c r="H576" s="44">
        <f>IF(F576="No",0,IF(F576="Edited",IF(G576="",E576,G576),E576))</f>
        <v/>
      </c>
    </row>
    <row r="577">
      <c r="A577" s="41" t="n">
        <v>48274</v>
      </c>
      <c r="B577" s="32">
        <f>DATE(YEAR(A577),MONTH(A577),1)</f>
        <v/>
      </c>
      <c r="C577" t="inlineStr">
        <is>
          <t>Defence Tech</t>
        </is>
      </c>
      <c r="D577" t="inlineStr">
        <is>
          <t>PAC</t>
        </is>
      </c>
      <c r="E577" s="44">
        <f>IFERROR(VLOOKUP(C577,Assets!$A:$F,6,FALSE),0)</f>
        <v/>
      </c>
      <c r="F577" t="inlineStr">
        <is>
          <t>Auto</t>
        </is>
      </c>
      <c r="G577" s="44" t="n"/>
      <c r="H577" s="44">
        <f>IF(F577="No",0,IF(F577="Edited",IF(G577="",E577,G577),E577))</f>
        <v/>
      </c>
    </row>
    <row r="578">
      <c r="A578" s="41" t="n">
        <v>48305</v>
      </c>
      <c r="B578" s="32">
        <f>DATE(YEAR(A578),MONTH(A578),1)</f>
        <v/>
      </c>
      <c r="C578" t="inlineStr">
        <is>
          <t>Core MSCI World</t>
        </is>
      </c>
      <c r="D578" t="inlineStr">
        <is>
          <t>PAC</t>
        </is>
      </c>
      <c r="E578" s="44">
        <f>IFERROR(VLOOKUP(C578,Assets!$A:$F,6,FALSE),0)</f>
        <v/>
      </c>
      <c r="F578" t="inlineStr">
        <is>
          <t>Auto</t>
        </is>
      </c>
      <c r="G578" s="44" t="n"/>
      <c r="H578" s="44">
        <f>IF(F578="No",0,IF(F578="Edited",IF(G578="",E578,G578),E578))</f>
        <v/>
      </c>
    </row>
    <row r="579">
      <c r="A579" s="41" t="n">
        <v>48305</v>
      </c>
      <c r="B579" s="32">
        <f>DATE(YEAR(A579),MONTH(A579),1)</f>
        <v/>
      </c>
      <c r="C579" t="inlineStr">
        <is>
          <t>AI &amp; Big Data</t>
        </is>
      </c>
      <c r="D579" t="inlineStr">
        <is>
          <t>PAC</t>
        </is>
      </c>
      <c r="E579" s="44">
        <f>IFERROR(VLOOKUP(C579,Assets!$A:$F,6,FALSE),0)</f>
        <v/>
      </c>
      <c r="F579" t="inlineStr">
        <is>
          <t>Auto</t>
        </is>
      </c>
      <c r="G579" s="44" t="n"/>
      <c r="H579" s="44">
        <f>IF(F579="No",0,IF(F579="Edited",IF(G579="",E579,G579),E579))</f>
        <v/>
      </c>
    </row>
    <row r="580">
      <c r="A580" s="41" t="n">
        <v>48305</v>
      </c>
      <c r="B580" s="32">
        <f>DATE(YEAR(A580),MONTH(A580),1)</f>
        <v/>
      </c>
      <c r="C580" t="inlineStr">
        <is>
          <t>Physical Gold</t>
        </is>
      </c>
      <c r="D580" t="inlineStr">
        <is>
          <t>PAC</t>
        </is>
      </c>
      <c r="E580" s="44">
        <f>IFERROR(VLOOKUP(C580,Assets!$A:$F,6,FALSE),0)</f>
        <v/>
      </c>
      <c r="F580" t="inlineStr">
        <is>
          <t>Auto</t>
        </is>
      </c>
      <c r="G580" s="44" t="n"/>
      <c r="H580" s="44">
        <f>IF(F580="No",0,IF(F580="Edited",IF(G580="",E580,G580),E580))</f>
        <v/>
      </c>
    </row>
    <row r="581">
      <c r="A581" s="41" t="n">
        <v>48305</v>
      </c>
      <c r="B581" s="32">
        <f>DATE(YEAR(A581),MONTH(A581),1)</f>
        <v/>
      </c>
      <c r="C581" t="inlineStr">
        <is>
          <t>Global Gov Bond</t>
        </is>
      </c>
      <c r="D581" t="inlineStr">
        <is>
          <t>PAC</t>
        </is>
      </c>
      <c r="E581" s="44">
        <f>IFERROR(VLOOKUP(C581,Assets!$A:$F,6,FALSE),0)</f>
        <v/>
      </c>
      <c r="F581" t="inlineStr">
        <is>
          <t>Auto</t>
        </is>
      </c>
      <c r="G581" s="44" t="n"/>
      <c r="H581" s="44">
        <f>IF(F581="No",0,IF(F581="Edited",IF(G581="",E581,G581),E581))</f>
        <v/>
      </c>
    </row>
    <row r="582">
      <c r="A582" s="41" t="n">
        <v>48305</v>
      </c>
      <c r="B582" s="32">
        <f>DATE(YEAR(A582),MONTH(A582),1)</f>
        <v/>
      </c>
      <c r="C582" t="inlineStr">
        <is>
          <t>Core EUR Corp Bond</t>
        </is>
      </c>
      <c r="D582" t="inlineStr">
        <is>
          <t>PAC</t>
        </is>
      </c>
      <c r="E582" s="44">
        <f>IFERROR(VLOOKUP(C582,Assets!$A:$F,6,FALSE),0)</f>
        <v/>
      </c>
      <c r="F582" t="inlineStr">
        <is>
          <t>Auto</t>
        </is>
      </c>
      <c r="G582" s="44" t="n"/>
      <c r="H582" s="44">
        <f>IF(F582="No",0,IF(F582="Edited",IF(G582="",E582,G582),E582))</f>
        <v/>
      </c>
    </row>
    <row r="583">
      <c r="A583" s="41" t="n">
        <v>48305</v>
      </c>
      <c r="B583" s="32">
        <f>DATE(YEAR(A583),MONTH(A583),1)</f>
        <v/>
      </c>
      <c r="C583" t="inlineStr">
        <is>
          <t>MSCI World Value</t>
        </is>
      </c>
      <c r="D583" t="inlineStr">
        <is>
          <t>PAC</t>
        </is>
      </c>
      <c r="E583" s="44">
        <f>IFERROR(VLOOKUP(C583,Assets!$A:$F,6,FALSE),0)</f>
        <v/>
      </c>
      <c r="F583" t="inlineStr">
        <is>
          <t>Auto</t>
        </is>
      </c>
      <c r="G583" s="44" t="n"/>
      <c r="H583" s="44">
        <f>IF(F583="No",0,IF(F583="Edited",IF(G583="",E583,G583),E583))</f>
        <v/>
      </c>
    </row>
    <row r="584">
      <c r="A584" s="41" t="n">
        <v>48305</v>
      </c>
      <c r="B584" s="32">
        <f>DATE(YEAR(A584),MONTH(A584),1)</f>
        <v/>
      </c>
      <c r="C584" t="inlineStr">
        <is>
          <t>MSCI EM</t>
        </is>
      </c>
      <c r="D584" t="inlineStr">
        <is>
          <t>PAC</t>
        </is>
      </c>
      <c r="E584" s="44">
        <f>IFERROR(VLOOKUP(C584,Assets!$A:$F,6,FALSE),0)</f>
        <v/>
      </c>
      <c r="F584" t="inlineStr">
        <is>
          <t>Auto</t>
        </is>
      </c>
      <c r="G584" s="44" t="n"/>
      <c r="H584" s="44">
        <f>IF(F584="No",0,IF(F584="Edited",IF(G584="",E584,G584),E584))</f>
        <v/>
      </c>
    </row>
    <row r="585">
      <c r="A585" s="41" t="n">
        <v>48305</v>
      </c>
      <c r="B585" s="32">
        <f>DATE(YEAR(A585),MONTH(A585),1)</f>
        <v/>
      </c>
      <c r="C585" t="inlineStr">
        <is>
          <t>Defence Tech</t>
        </is>
      </c>
      <c r="D585" t="inlineStr">
        <is>
          <t>PAC</t>
        </is>
      </c>
      <c r="E585" s="44">
        <f>IFERROR(VLOOKUP(C585,Assets!$A:$F,6,FALSE),0)</f>
        <v/>
      </c>
      <c r="F585" t="inlineStr">
        <is>
          <t>Auto</t>
        </is>
      </c>
      <c r="G585" s="44" t="n"/>
      <c r="H585" s="44">
        <f>IF(F585="No",0,IF(F585="Edited",IF(G585="",E585,G585),E585))</f>
        <v/>
      </c>
    </row>
    <row r="586">
      <c r="A586" s="41" t="n">
        <v>48335</v>
      </c>
      <c r="B586" s="32">
        <f>DATE(YEAR(A586),MONTH(A586),1)</f>
        <v/>
      </c>
      <c r="C586" t="inlineStr">
        <is>
          <t>Core MSCI World</t>
        </is>
      </c>
      <c r="D586" t="inlineStr">
        <is>
          <t>PAC</t>
        </is>
      </c>
      <c r="E586" s="44">
        <f>IFERROR(VLOOKUP(C586,Assets!$A:$F,6,FALSE),0)</f>
        <v/>
      </c>
      <c r="F586" t="inlineStr">
        <is>
          <t>Auto</t>
        </is>
      </c>
      <c r="G586" s="44" t="n"/>
      <c r="H586" s="44">
        <f>IF(F586="No",0,IF(F586="Edited",IF(G586="",E586,G586),E586))</f>
        <v/>
      </c>
    </row>
    <row r="587">
      <c r="A587" s="41" t="n">
        <v>48335</v>
      </c>
      <c r="B587" s="32">
        <f>DATE(YEAR(A587),MONTH(A587),1)</f>
        <v/>
      </c>
      <c r="C587" t="inlineStr">
        <is>
          <t>AI &amp; Big Data</t>
        </is>
      </c>
      <c r="D587" t="inlineStr">
        <is>
          <t>PAC</t>
        </is>
      </c>
      <c r="E587" s="44">
        <f>IFERROR(VLOOKUP(C587,Assets!$A:$F,6,FALSE),0)</f>
        <v/>
      </c>
      <c r="F587" t="inlineStr">
        <is>
          <t>Auto</t>
        </is>
      </c>
      <c r="G587" s="44" t="n"/>
      <c r="H587" s="44">
        <f>IF(F587="No",0,IF(F587="Edited",IF(G587="",E587,G587),E587))</f>
        <v/>
      </c>
    </row>
    <row r="588">
      <c r="A588" s="41" t="n">
        <v>48335</v>
      </c>
      <c r="B588" s="32">
        <f>DATE(YEAR(A588),MONTH(A588),1)</f>
        <v/>
      </c>
      <c r="C588" t="inlineStr">
        <is>
          <t>Physical Gold</t>
        </is>
      </c>
      <c r="D588" t="inlineStr">
        <is>
          <t>PAC</t>
        </is>
      </c>
      <c r="E588" s="44">
        <f>IFERROR(VLOOKUP(C588,Assets!$A:$F,6,FALSE),0)</f>
        <v/>
      </c>
      <c r="F588" t="inlineStr">
        <is>
          <t>Auto</t>
        </is>
      </c>
      <c r="G588" s="44" t="n"/>
      <c r="H588" s="44">
        <f>IF(F588="No",0,IF(F588="Edited",IF(G588="",E588,G588),E588))</f>
        <v/>
      </c>
    </row>
    <row r="589">
      <c r="A589" s="41" t="n">
        <v>48335</v>
      </c>
      <c r="B589" s="32">
        <f>DATE(YEAR(A589),MONTH(A589),1)</f>
        <v/>
      </c>
      <c r="C589" t="inlineStr">
        <is>
          <t>Global Gov Bond</t>
        </is>
      </c>
      <c r="D589" t="inlineStr">
        <is>
          <t>PAC</t>
        </is>
      </c>
      <c r="E589" s="44">
        <f>IFERROR(VLOOKUP(C589,Assets!$A:$F,6,FALSE),0)</f>
        <v/>
      </c>
      <c r="F589" t="inlineStr">
        <is>
          <t>Auto</t>
        </is>
      </c>
      <c r="G589" s="44" t="n"/>
      <c r="H589" s="44">
        <f>IF(F589="No",0,IF(F589="Edited",IF(G589="",E589,G589),E589))</f>
        <v/>
      </c>
    </row>
    <row r="590">
      <c r="A590" s="41" t="n">
        <v>48335</v>
      </c>
      <c r="B590" s="32">
        <f>DATE(YEAR(A590),MONTH(A590),1)</f>
        <v/>
      </c>
      <c r="C590" t="inlineStr">
        <is>
          <t>Core EUR Corp Bond</t>
        </is>
      </c>
      <c r="D590" t="inlineStr">
        <is>
          <t>PAC</t>
        </is>
      </c>
      <c r="E590" s="44">
        <f>IFERROR(VLOOKUP(C590,Assets!$A:$F,6,FALSE),0)</f>
        <v/>
      </c>
      <c r="F590" t="inlineStr">
        <is>
          <t>Auto</t>
        </is>
      </c>
      <c r="G590" s="44" t="n"/>
      <c r="H590" s="44">
        <f>IF(F590="No",0,IF(F590="Edited",IF(G590="",E590,G590),E590))</f>
        <v/>
      </c>
    </row>
    <row r="591">
      <c r="A591" s="41" t="n">
        <v>48335</v>
      </c>
      <c r="B591" s="32">
        <f>DATE(YEAR(A591),MONTH(A591),1)</f>
        <v/>
      </c>
      <c r="C591" t="inlineStr">
        <is>
          <t>MSCI World Value</t>
        </is>
      </c>
      <c r="D591" t="inlineStr">
        <is>
          <t>PAC</t>
        </is>
      </c>
      <c r="E591" s="44">
        <f>IFERROR(VLOOKUP(C591,Assets!$A:$F,6,FALSE),0)</f>
        <v/>
      </c>
      <c r="F591" t="inlineStr">
        <is>
          <t>Auto</t>
        </is>
      </c>
      <c r="G591" s="44" t="n"/>
      <c r="H591" s="44">
        <f>IF(F591="No",0,IF(F591="Edited",IF(G591="",E591,G591),E591))</f>
        <v/>
      </c>
    </row>
    <row r="592">
      <c r="A592" s="41" t="n">
        <v>48335</v>
      </c>
      <c r="B592" s="32">
        <f>DATE(YEAR(A592),MONTH(A592),1)</f>
        <v/>
      </c>
      <c r="C592" t="inlineStr">
        <is>
          <t>MSCI EM</t>
        </is>
      </c>
      <c r="D592" t="inlineStr">
        <is>
          <t>PAC</t>
        </is>
      </c>
      <c r="E592" s="44">
        <f>IFERROR(VLOOKUP(C592,Assets!$A:$F,6,FALSE),0)</f>
        <v/>
      </c>
      <c r="F592" t="inlineStr">
        <is>
          <t>Auto</t>
        </is>
      </c>
      <c r="G592" s="44" t="n"/>
      <c r="H592" s="44">
        <f>IF(F592="No",0,IF(F592="Edited",IF(G592="",E592,G592),E592))</f>
        <v/>
      </c>
    </row>
    <row r="593">
      <c r="A593" s="41" t="n">
        <v>48335</v>
      </c>
      <c r="B593" s="32">
        <f>DATE(YEAR(A593),MONTH(A593),1)</f>
        <v/>
      </c>
      <c r="C593" t="inlineStr">
        <is>
          <t>Defence Tech</t>
        </is>
      </c>
      <c r="D593" t="inlineStr">
        <is>
          <t>PAC</t>
        </is>
      </c>
      <c r="E593" s="44">
        <f>IFERROR(VLOOKUP(C593,Assets!$A:$F,6,FALSE),0)</f>
        <v/>
      </c>
      <c r="F593" t="inlineStr">
        <is>
          <t>Auto</t>
        </is>
      </c>
      <c r="G593" s="44" t="n"/>
      <c r="H593" s="44">
        <f>IF(F593="No",0,IF(F593="Edited",IF(G593="",E593,G593),E593))</f>
        <v/>
      </c>
    </row>
    <row r="594">
      <c r="A594" s="41" t="n">
        <v>48366</v>
      </c>
      <c r="B594" s="32">
        <f>DATE(YEAR(A594),MONTH(A594),1)</f>
        <v/>
      </c>
      <c r="C594" t="inlineStr">
        <is>
          <t>Core MSCI World</t>
        </is>
      </c>
      <c r="D594" t="inlineStr">
        <is>
          <t>PAC</t>
        </is>
      </c>
      <c r="E594" s="44">
        <f>IFERROR(VLOOKUP(C594,Assets!$A:$F,6,FALSE),0)</f>
        <v/>
      </c>
      <c r="F594" t="inlineStr">
        <is>
          <t>Auto</t>
        </is>
      </c>
      <c r="G594" s="44" t="n"/>
      <c r="H594" s="44">
        <f>IF(F594="No",0,IF(F594="Edited",IF(G594="",E594,G594),E594))</f>
        <v/>
      </c>
    </row>
    <row r="595">
      <c r="A595" s="41" t="n">
        <v>48366</v>
      </c>
      <c r="B595" s="32">
        <f>DATE(YEAR(A595),MONTH(A595),1)</f>
        <v/>
      </c>
      <c r="C595" t="inlineStr">
        <is>
          <t>AI &amp; Big Data</t>
        </is>
      </c>
      <c r="D595" t="inlineStr">
        <is>
          <t>PAC</t>
        </is>
      </c>
      <c r="E595" s="44">
        <f>IFERROR(VLOOKUP(C595,Assets!$A:$F,6,FALSE),0)</f>
        <v/>
      </c>
      <c r="F595" t="inlineStr">
        <is>
          <t>Auto</t>
        </is>
      </c>
      <c r="G595" s="44" t="n"/>
      <c r="H595" s="44">
        <f>IF(F595="No",0,IF(F595="Edited",IF(G595="",E595,G595),E595))</f>
        <v/>
      </c>
    </row>
    <row r="596">
      <c r="A596" s="41" t="n">
        <v>48366</v>
      </c>
      <c r="B596" s="32">
        <f>DATE(YEAR(A596),MONTH(A596),1)</f>
        <v/>
      </c>
      <c r="C596" t="inlineStr">
        <is>
          <t>Physical Gold</t>
        </is>
      </c>
      <c r="D596" t="inlineStr">
        <is>
          <t>PAC</t>
        </is>
      </c>
      <c r="E596" s="44">
        <f>IFERROR(VLOOKUP(C596,Assets!$A:$F,6,FALSE),0)</f>
        <v/>
      </c>
      <c r="F596" t="inlineStr">
        <is>
          <t>Auto</t>
        </is>
      </c>
      <c r="G596" s="44" t="n"/>
      <c r="H596" s="44">
        <f>IF(F596="No",0,IF(F596="Edited",IF(G596="",E596,G596),E596))</f>
        <v/>
      </c>
    </row>
    <row r="597">
      <c r="A597" s="41" t="n">
        <v>48366</v>
      </c>
      <c r="B597" s="32">
        <f>DATE(YEAR(A597),MONTH(A597),1)</f>
        <v/>
      </c>
      <c r="C597" t="inlineStr">
        <is>
          <t>Global Gov Bond</t>
        </is>
      </c>
      <c r="D597" t="inlineStr">
        <is>
          <t>PAC</t>
        </is>
      </c>
      <c r="E597" s="44">
        <f>IFERROR(VLOOKUP(C597,Assets!$A:$F,6,FALSE),0)</f>
        <v/>
      </c>
      <c r="F597" t="inlineStr">
        <is>
          <t>Auto</t>
        </is>
      </c>
      <c r="G597" s="44" t="n"/>
      <c r="H597" s="44">
        <f>IF(F597="No",0,IF(F597="Edited",IF(G597="",E597,G597),E597))</f>
        <v/>
      </c>
    </row>
    <row r="598">
      <c r="A598" s="41" t="n">
        <v>48366</v>
      </c>
      <c r="B598" s="32">
        <f>DATE(YEAR(A598),MONTH(A598),1)</f>
        <v/>
      </c>
      <c r="C598" t="inlineStr">
        <is>
          <t>Core EUR Corp Bond</t>
        </is>
      </c>
      <c r="D598" t="inlineStr">
        <is>
          <t>PAC</t>
        </is>
      </c>
      <c r="E598" s="44">
        <f>IFERROR(VLOOKUP(C598,Assets!$A:$F,6,FALSE),0)</f>
        <v/>
      </c>
      <c r="F598" t="inlineStr">
        <is>
          <t>Auto</t>
        </is>
      </c>
      <c r="G598" s="44" t="n"/>
      <c r="H598" s="44">
        <f>IF(F598="No",0,IF(F598="Edited",IF(G598="",E598,G598),E598))</f>
        <v/>
      </c>
    </row>
    <row r="599">
      <c r="A599" s="41" t="n">
        <v>48366</v>
      </c>
      <c r="B599" s="32">
        <f>DATE(YEAR(A599),MONTH(A599),1)</f>
        <v/>
      </c>
      <c r="C599" t="inlineStr">
        <is>
          <t>MSCI World Value</t>
        </is>
      </c>
      <c r="D599" t="inlineStr">
        <is>
          <t>PAC</t>
        </is>
      </c>
      <c r="E599" s="44">
        <f>IFERROR(VLOOKUP(C599,Assets!$A:$F,6,FALSE),0)</f>
        <v/>
      </c>
      <c r="F599" t="inlineStr">
        <is>
          <t>Auto</t>
        </is>
      </c>
      <c r="G599" s="44" t="n"/>
      <c r="H599" s="44">
        <f>IF(F599="No",0,IF(F599="Edited",IF(G599="",E599,G599),E599))</f>
        <v/>
      </c>
    </row>
    <row r="600">
      <c r="A600" s="41" t="n">
        <v>48366</v>
      </c>
      <c r="B600" s="32">
        <f>DATE(YEAR(A600),MONTH(A600),1)</f>
        <v/>
      </c>
      <c r="C600" t="inlineStr">
        <is>
          <t>MSCI EM</t>
        </is>
      </c>
      <c r="D600" t="inlineStr">
        <is>
          <t>PAC</t>
        </is>
      </c>
      <c r="E600" s="44">
        <f>IFERROR(VLOOKUP(C600,Assets!$A:$F,6,FALSE),0)</f>
        <v/>
      </c>
      <c r="F600" t="inlineStr">
        <is>
          <t>Auto</t>
        </is>
      </c>
      <c r="G600" s="44" t="n"/>
      <c r="H600" s="44">
        <f>IF(F600="No",0,IF(F600="Edited",IF(G600="",E600,G600),E600))</f>
        <v/>
      </c>
    </row>
    <row r="601">
      <c r="A601" s="41" t="n">
        <v>48366</v>
      </c>
      <c r="B601" s="32">
        <f>DATE(YEAR(A601),MONTH(A601),1)</f>
        <v/>
      </c>
      <c r="C601" t="inlineStr">
        <is>
          <t>Defence Tech</t>
        </is>
      </c>
      <c r="D601" t="inlineStr">
        <is>
          <t>PAC</t>
        </is>
      </c>
      <c r="E601" s="44">
        <f>IFERROR(VLOOKUP(C601,Assets!$A:$F,6,FALSE),0)</f>
        <v/>
      </c>
      <c r="F601" t="inlineStr">
        <is>
          <t>Auto</t>
        </is>
      </c>
      <c r="G601" s="44" t="n"/>
      <c r="H601" s="44">
        <f>IF(F601="No",0,IF(F601="Edited",IF(G601="",E601,G601),E601))</f>
        <v/>
      </c>
    </row>
    <row r="602">
      <c r="A602" s="41" t="n">
        <v>48396</v>
      </c>
      <c r="B602" s="32">
        <f>DATE(YEAR(A602),MONTH(A602),1)</f>
        <v/>
      </c>
      <c r="C602" t="inlineStr">
        <is>
          <t>Core MSCI World</t>
        </is>
      </c>
      <c r="D602" t="inlineStr">
        <is>
          <t>PAC</t>
        </is>
      </c>
      <c r="E602" s="44">
        <f>IFERROR(VLOOKUP(C602,Assets!$A:$F,6,FALSE),0)</f>
        <v/>
      </c>
      <c r="F602" t="inlineStr">
        <is>
          <t>Auto</t>
        </is>
      </c>
      <c r="G602" s="44" t="n"/>
      <c r="H602" s="44">
        <f>IF(F602="No",0,IF(F602="Edited",IF(G602="",E602,G602),E602))</f>
        <v/>
      </c>
    </row>
    <row r="603">
      <c r="A603" s="41" t="n">
        <v>48396</v>
      </c>
      <c r="B603" s="32">
        <f>DATE(YEAR(A603),MONTH(A603),1)</f>
        <v/>
      </c>
      <c r="C603" t="inlineStr">
        <is>
          <t>AI &amp; Big Data</t>
        </is>
      </c>
      <c r="D603" t="inlineStr">
        <is>
          <t>PAC</t>
        </is>
      </c>
      <c r="E603" s="44">
        <f>IFERROR(VLOOKUP(C603,Assets!$A:$F,6,FALSE),0)</f>
        <v/>
      </c>
      <c r="F603" t="inlineStr">
        <is>
          <t>Auto</t>
        </is>
      </c>
      <c r="G603" s="44" t="n"/>
      <c r="H603" s="44">
        <f>IF(F603="No",0,IF(F603="Edited",IF(G603="",E603,G603),E603))</f>
        <v/>
      </c>
    </row>
    <row r="604">
      <c r="A604" s="41" t="n">
        <v>48396</v>
      </c>
      <c r="B604" s="32">
        <f>DATE(YEAR(A604),MONTH(A604),1)</f>
        <v/>
      </c>
      <c r="C604" t="inlineStr">
        <is>
          <t>Physical Gold</t>
        </is>
      </c>
      <c r="D604" t="inlineStr">
        <is>
          <t>PAC</t>
        </is>
      </c>
      <c r="E604" s="44">
        <f>IFERROR(VLOOKUP(C604,Assets!$A:$F,6,FALSE),0)</f>
        <v/>
      </c>
      <c r="F604" t="inlineStr">
        <is>
          <t>Auto</t>
        </is>
      </c>
      <c r="G604" s="44" t="n"/>
      <c r="H604" s="44">
        <f>IF(F604="No",0,IF(F604="Edited",IF(G604="",E604,G604),E604))</f>
        <v/>
      </c>
    </row>
    <row r="605">
      <c r="A605" s="41" t="n">
        <v>48396</v>
      </c>
      <c r="B605" s="32">
        <f>DATE(YEAR(A605),MONTH(A605),1)</f>
        <v/>
      </c>
      <c r="C605" t="inlineStr">
        <is>
          <t>Global Gov Bond</t>
        </is>
      </c>
      <c r="D605" t="inlineStr">
        <is>
          <t>PAC</t>
        </is>
      </c>
      <c r="E605" s="44">
        <f>IFERROR(VLOOKUP(C605,Assets!$A:$F,6,FALSE),0)</f>
        <v/>
      </c>
      <c r="F605" t="inlineStr">
        <is>
          <t>Auto</t>
        </is>
      </c>
      <c r="G605" s="44" t="n"/>
      <c r="H605" s="44">
        <f>IF(F605="No",0,IF(F605="Edited",IF(G605="",E605,G605),E605))</f>
        <v/>
      </c>
    </row>
    <row r="606">
      <c r="A606" s="41" t="n">
        <v>48396</v>
      </c>
      <c r="B606" s="32">
        <f>DATE(YEAR(A606),MONTH(A606),1)</f>
        <v/>
      </c>
      <c r="C606" t="inlineStr">
        <is>
          <t>Core EUR Corp Bond</t>
        </is>
      </c>
      <c r="D606" t="inlineStr">
        <is>
          <t>PAC</t>
        </is>
      </c>
      <c r="E606" s="44">
        <f>IFERROR(VLOOKUP(C606,Assets!$A:$F,6,FALSE),0)</f>
        <v/>
      </c>
      <c r="F606" t="inlineStr">
        <is>
          <t>Auto</t>
        </is>
      </c>
      <c r="G606" s="44" t="n"/>
      <c r="H606" s="44">
        <f>IF(F606="No",0,IF(F606="Edited",IF(G606="",E606,G606),E606))</f>
        <v/>
      </c>
    </row>
    <row r="607">
      <c r="A607" s="41" t="n">
        <v>48396</v>
      </c>
      <c r="B607" s="32">
        <f>DATE(YEAR(A607),MONTH(A607),1)</f>
        <v/>
      </c>
      <c r="C607" t="inlineStr">
        <is>
          <t>MSCI World Value</t>
        </is>
      </c>
      <c r="D607" t="inlineStr">
        <is>
          <t>PAC</t>
        </is>
      </c>
      <c r="E607" s="44">
        <f>IFERROR(VLOOKUP(C607,Assets!$A:$F,6,FALSE),0)</f>
        <v/>
      </c>
      <c r="F607" t="inlineStr">
        <is>
          <t>Auto</t>
        </is>
      </c>
      <c r="G607" s="44" t="n"/>
      <c r="H607" s="44">
        <f>IF(F607="No",0,IF(F607="Edited",IF(G607="",E607,G607),E607))</f>
        <v/>
      </c>
    </row>
    <row r="608">
      <c r="A608" s="41" t="n">
        <v>48396</v>
      </c>
      <c r="B608" s="32">
        <f>DATE(YEAR(A608),MONTH(A608),1)</f>
        <v/>
      </c>
      <c r="C608" t="inlineStr">
        <is>
          <t>MSCI EM</t>
        </is>
      </c>
      <c r="D608" t="inlineStr">
        <is>
          <t>PAC</t>
        </is>
      </c>
      <c r="E608" s="44">
        <f>IFERROR(VLOOKUP(C608,Assets!$A:$F,6,FALSE),0)</f>
        <v/>
      </c>
      <c r="F608" t="inlineStr">
        <is>
          <t>Auto</t>
        </is>
      </c>
      <c r="G608" s="44" t="n"/>
      <c r="H608" s="44">
        <f>IF(F608="No",0,IF(F608="Edited",IF(G608="",E608,G608),E608))</f>
        <v/>
      </c>
    </row>
    <row r="609">
      <c r="A609" s="41" t="n">
        <v>48396</v>
      </c>
      <c r="B609" s="32">
        <f>DATE(YEAR(A609),MONTH(A609),1)</f>
        <v/>
      </c>
      <c r="C609" t="inlineStr">
        <is>
          <t>Defence Tech</t>
        </is>
      </c>
      <c r="D609" t="inlineStr">
        <is>
          <t>PAC</t>
        </is>
      </c>
      <c r="E609" s="44">
        <f>IFERROR(VLOOKUP(C609,Assets!$A:$F,6,FALSE),0)</f>
        <v/>
      </c>
      <c r="F609" t="inlineStr">
        <is>
          <t>Auto</t>
        </is>
      </c>
      <c r="G609" s="44" t="n"/>
      <c r="H609" s="44">
        <f>IF(F609="No",0,IF(F609="Edited",IF(G609="",E609,G609),E609))</f>
        <v/>
      </c>
    </row>
    <row r="610">
      <c r="A610" s="41" t="n">
        <v>48427</v>
      </c>
      <c r="B610" s="32">
        <f>DATE(YEAR(A610),MONTH(A610),1)</f>
        <v/>
      </c>
      <c r="C610" t="inlineStr">
        <is>
          <t>Core MSCI World</t>
        </is>
      </c>
      <c r="D610" t="inlineStr">
        <is>
          <t>PAC</t>
        </is>
      </c>
      <c r="E610" s="44">
        <f>IFERROR(VLOOKUP(C610,Assets!$A:$F,6,FALSE),0)</f>
        <v/>
      </c>
      <c r="F610" t="inlineStr">
        <is>
          <t>Auto</t>
        </is>
      </c>
      <c r="G610" s="44" t="n"/>
      <c r="H610" s="44">
        <f>IF(F610="No",0,IF(F610="Edited",IF(G610="",E610,G610),E610))</f>
        <v/>
      </c>
    </row>
    <row r="611">
      <c r="A611" s="41" t="n">
        <v>48427</v>
      </c>
      <c r="B611" s="32">
        <f>DATE(YEAR(A611),MONTH(A611),1)</f>
        <v/>
      </c>
      <c r="C611" t="inlineStr">
        <is>
          <t>AI &amp; Big Data</t>
        </is>
      </c>
      <c r="D611" t="inlineStr">
        <is>
          <t>PAC</t>
        </is>
      </c>
      <c r="E611" s="44">
        <f>IFERROR(VLOOKUP(C611,Assets!$A:$F,6,FALSE),0)</f>
        <v/>
      </c>
      <c r="F611" t="inlineStr">
        <is>
          <t>Auto</t>
        </is>
      </c>
      <c r="G611" s="44" t="n"/>
      <c r="H611" s="44">
        <f>IF(F611="No",0,IF(F611="Edited",IF(G611="",E611,G611),E611))</f>
        <v/>
      </c>
    </row>
    <row r="612">
      <c r="A612" s="41" t="n">
        <v>48427</v>
      </c>
      <c r="B612" s="32">
        <f>DATE(YEAR(A612),MONTH(A612),1)</f>
        <v/>
      </c>
      <c r="C612" t="inlineStr">
        <is>
          <t>Physical Gold</t>
        </is>
      </c>
      <c r="D612" t="inlineStr">
        <is>
          <t>PAC</t>
        </is>
      </c>
      <c r="E612" s="44">
        <f>IFERROR(VLOOKUP(C612,Assets!$A:$F,6,FALSE),0)</f>
        <v/>
      </c>
      <c r="F612" t="inlineStr">
        <is>
          <t>Auto</t>
        </is>
      </c>
      <c r="G612" s="44" t="n"/>
      <c r="H612" s="44">
        <f>IF(F612="No",0,IF(F612="Edited",IF(G612="",E612,G612),E612))</f>
        <v/>
      </c>
    </row>
    <row r="613">
      <c r="A613" s="41" t="n">
        <v>48427</v>
      </c>
      <c r="B613" s="32">
        <f>DATE(YEAR(A613),MONTH(A613),1)</f>
        <v/>
      </c>
      <c r="C613" t="inlineStr">
        <is>
          <t>Global Gov Bond</t>
        </is>
      </c>
      <c r="D613" t="inlineStr">
        <is>
          <t>PAC</t>
        </is>
      </c>
      <c r="E613" s="44">
        <f>IFERROR(VLOOKUP(C613,Assets!$A:$F,6,FALSE),0)</f>
        <v/>
      </c>
      <c r="F613" t="inlineStr">
        <is>
          <t>Auto</t>
        </is>
      </c>
      <c r="G613" s="44" t="n"/>
      <c r="H613" s="44">
        <f>IF(F613="No",0,IF(F613="Edited",IF(G613="",E613,G613),E613))</f>
        <v/>
      </c>
    </row>
    <row r="614">
      <c r="A614" s="41" t="n">
        <v>48427</v>
      </c>
      <c r="B614" s="32">
        <f>DATE(YEAR(A614),MONTH(A614),1)</f>
        <v/>
      </c>
      <c r="C614" t="inlineStr">
        <is>
          <t>Core EUR Corp Bond</t>
        </is>
      </c>
      <c r="D614" t="inlineStr">
        <is>
          <t>PAC</t>
        </is>
      </c>
      <c r="E614" s="44">
        <f>IFERROR(VLOOKUP(C614,Assets!$A:$F,6,FALSE),0)</f>
        <v/>
      </c>
      <c r="F614" t="inlineStr">
        <is>
          <t>Auto</t>
        </is>
      </c>
      <c r="G614" s="44" t="n"/>
      <c r="H614" s="44">
        <f>IF(F614="No",0,IF(F614="Edited",IF(G614="",E614,G614),E614))</f>
        <v/>
      </c>
    </row>
    <row r="615">
      <c r="A615" s="41" t="n">
        <v>48427</v>
      </c>
      <c r="B615" s="32">
        <f>DATE(YEAR(A615),MONTH(A615),1)</f>
        <v/>
      </c>
      <c r="C615" t="inlineStr">
        <is>
          <t>MSCI World Value</t>
        </is>
      </c>
      <c r="D615" t="inlineStr">
        <is>
          <t>PAC</t>
        </is>
      </c>
      <c r="E615" s="44">
        <f>IFERROR(VLOOKUP(C615,Assets!$A:$F,6,FALSE),0)</f>
        <v/>
      </c>
      <c r="F615" t="inlineStr">
        <is>
          <t>Auto</t>
        </is>
      </c>
      <c r="G615" s="44" t="n"/>
      <c r="H615" s="44">
        <f>IF(F615="No",0,IF(F615="Edited",IF(G615="",E615,G615),E615))</f>
        <v/>
      </c>
    </row>
    <row r="616">
      <c r="A616" s="41" t="n">
        <v>48427</v>
      </c>
      <c r="B616" s="32">
        <f>DATE(YEAR(A616),MONTH(A616),1)</f>
        <v/>
      </c>
      <c r="C616" t="inlineStr">
        <is>
          <t>MSCI EM</t>
        </is>
      </c>
      <c r="D616" t="inlineStr">
        <is>
          <t>PAC</t>
        </is>
      </c>
      <c r="E616" s="44">
        <f>IFERROR(VLOOKUP(C616,Assets!$A:$F,6,FALSE),0)</f>
        <v/>
      </c>
      <c r="F616" t="inlineStr">
        <is>
          <t>Auto</t>
        </is>
      </c>
      <c r="G616" s="44" t="n"/>
      <c r="H616" s="44">
        <f>IF(F616="No",0,IF(F616="Edited",IF(G616="",E616,G616),E616))</f>
        <v/>
      </c>
    </row>
    <row r="617">
      <c r="A617" s="41" t="n">
        <v>48427</v>
      </c>
      <c r="B617" s="32">
        <f>DATE(YEAR(A617),MONTH(A617),1)</f>
        <v/>
      </c>
      <c r="C617" t="inlineStr">
        <is>
          <t>Defence Tech</t>
        </is>
      </c>
      <c r="D617" t="inlineStr">
        <is>
          <t>PAC</t>
        </is>
      </c>
      <c r="E617" s="44">
        <f>IFERROR(VLOOKUP(C617,Assets!$A:$F,6,FALSE),0)</f>
        <v/>
      </c>
      <c r="F617" t="inlineStr">
        <is>
          <t>Auto</t>
        </is>
      </c>
      <c r="G617" s="44" t="n"/>
      <c r="H617" s="44">
        <f>IF(F617="No",0,IF(F617="Edited",IF(G617="",E617,G617),E617))</f>
        <v/>
      </c>
    </row>
    <row r="618">
      <c r="A618" s="41" t="n">
        <v>48458</v>
      </c>
      <c r="B618" s="32">
        <f>DATE(YEAR(A618),MONTH(A618),1)</f>
        <v/>
      </c>
      <c r="C618" t="inlineStr">
        <is>
          <t>Core MSCI World</t>
        </is>
      </c>
      <c r="D618" t="inlineStr">
        <is>
          <t>PAC</t>
        </is>
      </c>
      <c r="E618" s="44">
        <f>IFERROR(VLOOKUP(C618,Assets!$A:$F,6,FALSE),0)</f>
        <v/>
      </c>
      <c r="F618" t="inlineStr">
        <is>
          <t>Auto</t>
        </is>
      </c>
      <c r="G618" s="44" t="n"/>
      <c r="H618" s="44">
        <f>IF(F618="No",0,IF(F618="Edited",IF(G618="",E618,G618),E618))</f>
        <v/>
      </c>
    </row>
    <row r="619">
      <c r="A619" s="41" t="n">
        <v>48458</v>
      </c>
      <c r="B619" s="32">
        <f>DATE(YEAR(A619),MONTH(A619),1)</f>
        <v/>
      </c>
      <c r="C619" t="inlineStr">
        <is>
          <t>AI &amp; Big Data</t>
        </is>
      </c>
      <c r="D619" t="inlineStr">
        <is>
          <t>PAC</t>
        </is>
      </c>
      <c r="E619" s="44">
        <f>IFERROR(VLOOKUP(C619,Assets!$A:$F,6,FALSE),0)</f>
        <v/>
      </c>
      <c r="F619" t="inlineStr">
        <is>
          <t>Auto</t>
        </is>
      </c>
      <c r="G619" s="44" t="n"/>
      <c r="H619" s="44">
        <f>IF(F619="No",0,IF(F619="Edited",IF(G619="",E619,G619),E619))</f>
        <v/>
      </c>
    </row>
    <row r="620">
      <c r="A620" s="41" t="n">
        <v>48458</v>
      </c>
      <c r="B620" s="32">
        <f>DATE(YEAR(A620),MONTH(A620),1)</f>
        <v/>
      </c>
      <c r="C620" t="inlineStr">
        <is>
          <t>Physical Gold</t>
        </is>
      </c>
      <c r="D620" t="inlineStr">
        <is>
          <t>PAC</t>
        </is>
      </c>
      <c r="E620" s="44">
        <f>IFERROR(VLOOKUP(C620,Assets!$A:$F,6,FALSE),0)</f>
        <v/>
      </c>
      <c r="F620" t="inlineStr">
        <is>
          <t>Auto</t>
        </is>
      </c>
      <c r="G620" s="44" t="n"/>
      <c r="H620" s="44">
        <f>IF(F620="No",0,IF(F620="Edited",IF(G620="",E620,G620),E620))</f>
        <v/>
      </c>
    </row>
    <row r="621">
      <c r="A621" s="41" t="n">
        <v>48458</v>
      </c>
      <c r="B621" s="32">
        <f>DATE(YEAR(A621),MONTH(A621),1)</f>
        <v/>
      </c>
      <c r="C621" t="inlineStr">
        <is>
          <t>Global Gov Bond</t>
        </is>
      </c>
      <c r="D621" t="inlineStr">
        <is>
          <t>PAC</t>
        </is>
      </c>
      <c r="E621" s="44">
        <f>IFERROR(VLOOKUP(C621,Assets!$A:$F,6,FALSE),0)</f>
        <v/>
      </c>
      <c r="F621" t="inlineStr">
        <is>
          <t>Auto</t>
        </is>
      </c>
      <c r="G621" s="44" t="n"/>
      <c r="H621" s="44">
        <f>IF(F621="No",0,IF(F621="Edited",IF(G621="",E621,G621),E621))</f>
        <v/>
      </c>
    </row>
    <row r="622">
      <c r="A622" s="41" t="n">
        <v>48458</v>
      </c>
      <c r="B622" s="32">
        <f>DATE(YEAR(A622),MONTH(A622),1)</f>
        <v/>
      </c>
      <c r="C622" t="inlineStr">
        <is>
          <t>Core EUR Corp Bond</t>
        </is>
      </c>
      <c r="D622" t="inlineStr">
        <is>
          <t>PAC</t>
        </is>
      </c>
      <c r="E622" s="44">
        <f>IFERROR(VLOOKUP(C622,Assets!$A:$F,6,FALSE),0)</f>
        <v/>
      </c>
      <c r="F622" t="inlineStr">
        <is>
          <t>Auto</t>
        </is>
      </c>
      <c r="G622" s="44" t="n"/>
      <c r="H622" s="44">
        <f>IF(F622="No",0,IF(F622="Edited",IF(G622="",E622,G622),E622))</f>
        <v/>
      </c>
    </row>
    <row r="623">
      <c r="A623" s="41" t="n">
        <v>48458</v>
      </c>
      <c r="B623" s="32">
        <f>DATE(YEAR(A623),MONTH(A623),1)</f>
        <v/>
      </c>
      <c r="C623" t="inlineStr">
        <is>
          <t>MSCI World Value</t>
        </is>
      </c>
      <c r="D623" t="inlineStr">
        <is>
          <t>PAC</t>
        </is>
      </c>
      <c r="E623" s="44">
        <f>IFERROR(VLOOKUP(C623,Assets!$A:$F,6,FALSE),0)</f>
        <v/>
      </c>
      <c r="F623" t="inlineStr">
        <is>
          <t>Auto</t>
        </is>
      </c>
      <c r="G623" s="44" t="n"/>
      <c r="H623" s="44">
        <f>IF(F623="No",0,IF(F623="Edited",IF(G623="",E623,G623),E623))</f>
        <v/>
      </c>
    </row>
    <row r="624">
      <c r="A624" s="41" t="n">
        <v>48458</v>
      </c>
      <c r="B624" s="32">
        <f>DATE(YEAR(A624),MONTH(A624),1)</f>
        <v/>
      </c>
      <c r="C624" t="inlineStr">
        <is>
          <t>MSCI EM</t>
        </is>
      </c>
      <c r="D624" t="inlineStr">
        <is>
          <t>PAC</t>
        </is>
      </c>
      <c r="E624" s="44">
        <f>IFERROR(VLOOKUP(C624,Assets!$A:$F,6,FALSE),0)</f>
        <v/>
      </c>
      <c r="F624" t="inlineStr">
        <is>
          <t>Auto</t>
        </is>
      </c>
      <c r="G624" s="44" t="n"/>
      <c r="H624" s="44">
        <f>IF(F624="No",0,IF(F624="Edited",IF(G624="",E624,G624),E624))</f>
        <v/>
      </c>
    </row>
    <row r="625">
      <c r="A625" s="41" t="n">
        <v>48458</v>
      </c>
      <c r="B625" s="32">
        <f>DATE(YEAR(A625),MONTH(A625),1)</f>
        <v/>
      </c>
      <c r="C625" t="inlineStr">
        <is>
          <t>Defence Tech</t>
        </is>
      </c>
      <c r="D625" t="inlineStr">
        <is>
          <t>PAC</t>
        </is>
      </c>
      <c r="E625" s="44">
        <f>IFERROR(VLOOKUP(C625,Assets!$A:$F,6,FALSE),0)</f>
        <v/>
      </c>
      <c r="F625" t="inlineStr">
        <is>
          <t>Auto</t>
        </is>
      </c>
      <c r="G625" s="44" t="n"/>
      <c r="H625" s="44">
        <f>IF(F625="No",0,IF(F625="Edited",IF(G625="",E625,G625),E625))</f>
        <v/>
      </c>
    </row>
    <row r="626">
      <c r="A626" s="41" t="n">
        <v>48488</v>
      </c>
      <c r="B626" s="32">
        <f>DATE(YEAR(A626),MONTH(A626),1)</f>
        <v/>
      </c>
      <c r="C626" t="inlineStr">
        <is>
          <t>Core MSCI World</t>
        </is>
      </c>
      <c r="D626" t="inlineStr">
        <is>
          <t>PAC</t>
        </is>
      </c>
      <c r="E626" s="44">
        <f>IFERROR(VLOOKUP(C626,Assets!$A:$F,6,FALSE),0)</f>
        <v/>
      </c>
      <c r="F626" t="inlineStr">
        <is>
          <t>Auto</t>
        </is>
      </c>
      <c r="G626" s="44" t="n"/>
      <c r="H626" s="44">
        <f>IF(F626="No",0,IF(F626="Edited",IF(G626="",E626,G626),E626))</f>
        <v/>
      </c>
    </row>
    <row r="627">
      <c r="A627" s="41" t="n">
        <v>48488</v>
      </c>
      <c r="B627" s="32">
        <f>DATE(YEAR(A627),MONTH(A627),1)</f>
        <v/>
      </c>
      <c r="C627" t="inlineStr">
        <is>
          <t>AI &amp; Big Data</t>
        </is>
      </c>
      <c r="D627" t="inlineStr">
        <is>
          <t>PAC</t>
        </is>
      </c>
      <c r="E627" s="44">
        <f>IFERROR(VLOOKUP(C627,Assets!$A:$F,6,FALSE),0)</f>
        <v/>
      </c>
      <c r="F627" t="inlineStr">
        <is>
          <t>Auto</t>
        </is>
      </c>
      <c r="G627" s="44" t="n"/>
      <c r="H627" s="44">
        <f>IF(F627="No",0,IF(F627="Edited",IF(G627="",E627,G627),E627))</f>
        <v/>
      </c>
    </row>
    <row r="628">
      <c r="A628" s="41" t="n">
        <v>48488</v>
      </c>
      <c r="B628" s="32">
        <f>DATE(YEAR(A628),MONTH(A628),1)</f>
        <v/>
      </c>
      <c r="C628" t="inlineStr">
        <is>
          <t>Physical Gold</t>
        </is>
      </c>
      <c r="D628" t="inlineStr">
        <is>
          <t>PAC</t>
        </is>
      </c>
      <c r="E628" s="44">
        <f>IFERROR(VLOOKUP(C628,Assets!$A:$F,6,FALSE),0)</f>
        <v/>
      </c>
      <c r="F628" t="inlineStr">
        <is>
          <t>Auto</t>
        </is>
      </c>
      <c r="G628" s="44" t="n"/>
      <c r="H628" s="44">
        <f>IF(F628="No",0,IF(F628="Edited",IF(G628="",E628,G628),E628))</f>
        <v/>
      </c>
    </row>
    <row r="629">
      <c r="A629" s="41" t="n">
        <v>48488</v>
      </c>
      <c r="B629" s="32">
        <f>DATE(YEAR(A629),MONTH(A629),1)</f>
        <v/>
      </c>
      <c r="C629" t="inlineStr">
        <is>
          <t>Global Gov Bond</t>
        </is>
      </c>
      <c r="D629" t="inlineStr">
        <is>
          <t>PAC</t>
        </is>
      </c>
      <c r="E629" s="44">
        <f>IFERROR(VLOOKUP(C629,Assets!$A:$F,6,FALSE),0)</f>
        <v/>
      </c>
      <c r="F629" t="inlineStr">
        <is>
          <t>Auto</t>
        </is>
      </c>
      <c r="G629" s="44" t="n"/>
      <c r="H629" s="44">
        <f>IF(F629="No",0,IF(F629="Edited",IF(G629="",E629,G629),E629))</f>
        <v/>
      </c>
    </row>
    <row r="630">
      <c r="A630" s="41" t="n">
        <v>48488</v>
      </c>
      <c r="B630" s="32">
        <f>DATE(YEAR(A630),MONTH(A630),1)</f>
        <v/>
      </c>
      <c r="C630" t="inlineStr">
        <is>
          <t>Core EUR Corp Bond</t>
        </is>
      </c>
      <c r="D630" t="inlineStr">
        <is>
          <t>PAC</t>
        </is>
      </c>
      <c r="E630" s="44">
        <f>IFERROR(VLOOKUP(C630,Assets!$A:$F,6,FALSE),0)</f>
        <v/>
      </c>
      <c r="F630" t="inlineStr">
        <is>
          <t>Auto</t>
        </is>
      </c>
      <c r="G630" s="44" t="n"/>
      <c r="H630" s="44">
        <f>IF(F630="No",0,IF(F630="Edited",IF(G630="",E630,G630),E630))</f>
        <v/>
      </c>
    </row>
    <row r="631">
      <c r="A631" s="41" t="n">
        <v>48488</v>
      </c>
      <c r="B631" s="32">
        <f>DATE(YEAR(A631),MONTH(A631),1)</f>
        <v/>
      </c>
      <c r="C631" t="inlineStr">
        <is>
          <t>MSCI World Value</t>
        </is>
      </c>
      <c r="D631" t="inlineStr">
        <is>
          <t>PAC</t>
        </is>
      </c>
      <c r="E631" s="44">
        <f>IFERROR(VLOOKUP(C631,Assets!$A:$F,6,FALSE),0)</f>
        <v/>
      </c>
      <c r="F631" t="inlineStr">
        <is>
          <t>Auto</t>
        </is>
      </c>
      <c r="G631" s="44" t="n"/>
      <c r="H631" s="44">
        <f>IF(F631="No",0,IF(F631="Edited",IF(G631="",E631,G631),E631))</f>
        <v/>
      </c>
    </row>
    <row r="632">
      <c r="A632" s="41" t="n">
        <v>48488</v>
      </c>
      <c r="B632" s="32">
        <f>DATE(YEAR(A632),MONTH(A632),1)</f>
        <v/>
      </c>
      <c r="C632" t="inlineStr">
        <is>
          <t>MSCI EM</t>
        </is>
      </c>
      <c r="D632" t="inlineStr">
        <is>
          <t>PAC</t>
        </is>
      </c>
      <c r="E632" s="44">
        <f>IFERROR(VLOOKUP(C632,Assets!$A:$F,6,FALSE),0)</f>
        <v/>
      </c>
      <c r="F632" t="inlineStr">
        <is>
          <t>Auto</t>
        </is>
      </c>
      <c r="G632" s="44" t="n"/>
      <c r="H632" s="44">
        <f>IF(F632="No",0,IF(F632="Edited",IF(G632="",E632,G632),E632))</f>
        <v/>
      </c>
    </row>
    <row r="633">
      <c r="A633" s="41" t="n">
        <v>48488</v>
      </c>
      <c r="B633" s="32">
        <f>DATE(YEAR(A633),MONTH(A633),1)</f>
        <v/>
      </c>
      <c r="C633" t="inlineStr">
        <is>
          <t>Defence Tech</t>
        </is>
      </c>
      <c r="D633" t="inlineStr">
        <is>
          <t>PAC</t>
        </is>
      </c>
      <c r="E633" s="44">
        <f>IFERROR(VLOOKUP(C633,Assets!$A:$F,6,FALSE),0)</f>
        <v/>
      </c>
      <c r="F633" t="inlineStr">
        <is>
          <t>Auto</t>
        </is>
      </c>
      <c r="G633" s="44" t="n"/>
      <c r="H633" s="44">
        <f>IF(F633="No",0,IF(F633="Edited",IF(G633="",E633,G633),E633))</f>
        <v/>
      </c>
    </row>
    <row r="634">
      <c r="A634" s="41" t="n">
        <v>48519</v>
      </c>
      <c r="B634" s="32">
        <f>DATE(YEAR(A634),MONTH(A634),1)</f>
        <v/>
      </c>
      <c r="C634" t="inlineStr">
        <is>
          <t>Core MSCI World</t>
        </is>
      </c>
      <c r="D634" t="inlineStr">
        <is>
          <t>PAC</t>
        </is>
      </c>
      <c r="E634" s="44">
        <f>IFERROR(VLOOKUP(C634,Assets!$A:$F,6,FALSE),0)</f>
        <v/>
      </c>
      <c r="F634" t="inlineStr">
        <is>
          <t>Auto</t>
        </is>
      </c>
      <c r="G634" s="44" t="n"/>
      <c r="H634" s="44">
        <f>IF(F634="No",0,IF(F634="Edited",IF(G634="",E634,G634),E634))</f>
        <v/>
      </c>
    </row>
    <row r="635">
      <c r="A635" s="41" t="n">
        <v>48519</v>
      </c>
      <c r="B635" s="32">
        <f>DATE(YEAR(A635),MONTH(A635),1)</f>
        <v/>
      </c>
      <c r="C635" t="inlineStr">
        <is>
          <t>AI &amp; Big Data</t>
        </is>
      </c>
      <c r="D635" t="inlineStr">
        <is>
          <t>PAC</t>
        </is>
      </c>
      <c r="E635" s="44">
        <f>IFERROR(VLOOKUP(C635,Assets!$A:$F,6,FALSE),0)</f>
        <v/>
      </c>
      <c r="F635" t="inlineStr">
        <is>
          <t>Auto</t>
        </is>
      </c>
      <c r="G635" s="44" t="n"/>
      <c r="H635" s="44">
        <f>IF(F635="No",0,IF(F635="Edited",IF(G635="",E635,G635),E635))</f>
        <v/>
      </c>
    </row>
    <row r="636">
      <c r="A636" s="41" t="n">
        <v>48519</v>
      </c>
      <c r="B636" s="32">
        <f>DATE(YEAR(A636),MONTH(A636),1)</f>
        <v/>
      </c>
      <c r="C636" t="inlineStr">
        <is>
          <t>Physical Gold</t>
        </is>
      </c>
      <c r="D636" t="inlineStr">
        <is>
          <t>PAC</t>
        </is>
      </c>
      <c r="E636" s="44">
        <f>IFERROR(VLOOKUP(C636,Assets!$A:$F,6,FALSE),0)</f>
        <v/>
      </c>
      <c r="F636" t="inlineStr">
        <is>
          <t>Auto</t>
        </is>
      </c>
      <c r="G636" s="44" t="n"/>
      <c r="H636" s="44">
        <f>IF(F636="No",0,IF(F636="Edited",IF(G636="",E636,G636),E636))</f>
        <v/>
      </c>
    </row>
    <row r="637">
      <c r="A637" s="41" t="n">
        <v>48519</v>
      </c>
      <c r="B637" s="32">
        <f>DATE(YEAR(A637),MONTH(A637),1)</f>
        <v/>
      </c>
      <c r="C637" t="inlineStr">
        <is>
          <t>Global Gov Bond</t>
        </is>
      </c>
      <c r="D637" t="inlineStr">
        <is>
          <t>PAC</t>
        </is>
      </c>
      <c r="E637" s="44">
        <f>IFERROR(VLOOKUP(C637,Assets!$A:$F,6,FALSE),0)</f>
        <v/>
      </c>
      <c r="F637" t="inlineStr">
        <is>
          <t>Auto</t>
        </is>
      </c>
      <c r="G637" s="44" t="n"/>
      <c r="H637" s="44">
        <f>IF(F637="No",0,IF(F637="Edited",IF(G637="",E637,G637),E637))</f>
        <v/>
      </c>
    </row>
    <row r="638">
      <c r="A638" s="41" t="n">
        <v>48519</v>
      </c>
      <c r="B638" s="32">
        <f>DATE(YEAR(A638),MONTH(A638),1)</f>
        <v/>
      </c>
      <c r="C638" t="inlineStr">
        <is>
          <t>Core EUR Corp Bond</t>
        </is>
      </c>
      <c r="D638" t="inlineStr">
        <is>
          <t>PAC</t>
        </is>
      </c>
      <c r="E638" s="44">
        <f>IFERROR(VLOOKUP(C638,Assets!$A:$F,6,FALSE),0)</f>
        <v/>
      </c>
      <c r="F638" t="inlineStr">
        <is>
          <t>Auto</t>
        </is>
      </c>
      <c r="G638" s="44" t="n"/>
      <c r="H638" s="44">
        <f>IF(F638="No",0,IF(F638="Edited",IF(G638="",E638,G638),E638))</f>
        <v/>
      </c>
    </row>
    <row r="639">
      <c r="A639" s="41" t="n">
        <v>48519</v>
      </c>
      <c r="B639" s="32">
        <f>DATE(YEAR(A639),MONTH(A639),1)</f>
        <v/>
      </c>
      <c r="C639" t="inlineStr">
        <is>
          <t>MSCI World Value</t>
        </is>
      </c>
      <c r="D639" t="inlineStr">
        <is>
          <t>PAC</t>
        </is>
      </c>
      <c r="E639" s="44">
        <f>IFERROR(VLOOKUP(C639,Assets!$A:$F,6,FALSE),0)</f>
        <v/>
      </c>
      <c r="F639" t="inlineStr">
        <is>
          <t>Auto</t>
        </is>
      </c>
      <c r="G639" s="44" t="n"/>
      <c r="H639" s="44">
        <f>IF(F639="No",0,IF(F639="Edited",IF(G639="",E639,G639),E639))</f>
        <v/>
      </c>
    </row>
    <row r="640">
      <c r="A640" s="41" t="n">
        <v>48519</v>
      </c>
      <c r="B640" s="32">
        <f>DATE(YEAR(A640),MONTH(A640),1)</f>
        <v/>
      </c>
      <c r="C640" t="inlineStr">
        <is>
          <t>MSCI EM</t>
        </is>
      </c>
      <c r="D640" t="inlineStr">
        <is>
          <t>PAC</t>
        </is>
      </c>
      <c r="E640" s="44">
        <f>IFERROR(VLOOKUP(C640,Assets!$A:$F,6,FALSE),0)</f>
        <v/>
      </c>
      <c r="F640" t="inlineStr">
        <is>
          <t>Auto</t>
        </is>
      </c>
      <c r="G640" s="44" t="n"/>
      <c r="H640" s="44">
        <f>IF(F640="No",0,IF(F640="Edited",IF(G640="",E640,G640),E640))</f>
        <v/>
      </c>
    </row>
    <row r="641">
      <c r="A641" s="41" t="n">
        <v>48519</v>
      </c>
      <c r="B641" s="32">
        <f>DATE(YEAR(A641),MONTH(A641),1)</f>
        <v/>
      </c>
      <c r="C641" t="inlineStr">
        <is>
          <t>Defence Tech</t>
        </is>
      </c>
      <c r="D641" t="inlineStr">
        <is>
          <t>PAC</t>
        </is>
      </c>
      <c r="E641" s="44">
        <f>IFERROR(VLOOKUP(C641,Assets!$A:$F,6,FALSE),0)</f>
        <v/>
      </c>
      <c r="F641" t="inlineStr">
        <is>
          <t>Auto</t>
        </is>
      </c>
      <c r="G641" s="44" t="n"/>
      <c r="H641" s="44">
        <f>IF(F641="No",0,IF(F641="Edited",IF(G641="",E641,G641),E641))</f>
        <v/>
      </c>
    </row>
    <row r="642">
      <c r="A642" s="41" t="n">
        <v>48549</v>
      </c>
      <c r="B642" s="32">
        <f>DATE(YEAR(A642),MONTH(A642),1)</f>
        <v/>
      </c>
      <c r="C642" t="inlineStr">
        <is>
          <t>Core MSCI World</t>
        </is>
      </c>
      <c r="D642" t="inlineStr">
        <is>
          <t>PAC</t>
        </is>
      </c>
      <c r="E642" s="44">
        <f>IFERROR(VLOOKUP(C642,Assets!$A:$F,6,FALSE),0)</f>
        <v/>
      </c>
      <c r="F642" t="inlineStr">
        <is>
          <t>Auto</t>
        </is>
      </c>
      <c r="G642" s="44" t="n"/>
      <c r="H642" s="44">
        <f>IF(F642="No",0,IF(F642="Edited",IF(G642="",E642,G642),E642))</f>
        <v/>
      </c>
    </row>
    <row r="643">
      <c r="A643" s="41" t="n">
        <v>48549</v>
      </c>
      <c r="B643" s="32">
        <f>DATE(YEAR(A643),MONTH(A643),1)</f>
        <v/>
      </c>
      <c r="C643" t="inlineStr">
        <is>
          <t>AI &amp; Big Data</t>
        </is>
      </c>
      <c r="D643" t="inlineStr">
        <is>
          <t>PAC</t>
        </is>
      </c>
      <c r="E643" s="44">
        <f>IFERROR(VLOOKUP(C643,Assets!$A:$F,6,FALSE),0)</f>
        <v/>
      </c>
      <c r="F643" t="inlineStr">
        <is>
          <t>Auto</t>
        </is>
      </c>
      <c r="G643" s="44" t="n"/>
      <c r="H643" s="44">
        <f>IF(F643="No",0,IF(F643="Edited",IF(G643="",E643,G643),E643))</f>
        <v/>
      </c>
    </row>
    <row r="644">
      <c r="A644" s="41" t="n">
        <v>48549</v>
      </c>
      <c r="B644" s="32">
        <f>DATE(YEAR(A644),MONTH(A644),1)</f>
        <v/>
      </c>
      <c r="C644" t="inlineStr">
        <is>
          <t>Physical Gold</t>
        </is>
      </c>
      <c r="D644" t="inlineStr">
        <is>
          <t>PAC</t>
        </is>
      </c>
      <c r="E644" s="44">
        <f>IFERROR(VLOOKUP(C644,Assets!$A:$F,6,FALSE),0)</f>
        <v/>
      </c>
      <c r="F644" t="inlineStr">
        <is>
          <t>Auto</t>
        </is>
      </c>
      <c r="G644" s="44" t="n"/>
      <c r="H644" s="44">
        <f>IF(F644="No",0,IF(F644="Edited",IF(G644="",E644,G644),E644))</f>
        <v/>
      </c>
    </row>
    <row r="645">
      <c r="A645" s="41" t="n">
        <v>48549</v>
      </c>
      <c r="B645" s="32">
        <f>DATE(YEAR(A645),MONTH(A645),1)</f>
        <v/>
      </c>
      <c r="C645" t="inlineStr">
        <is>
          <t>Global Gov Bond</t>
        </is>
      </c>
      <c r="D645" t="inlineStr">
        <is>
          <t>PAC</t>
        </is>
      </c>
      <c r="E645" s="44">
        <f>IFERROR(VLOOKUP(C645,Assets!$A:$F,6,FALSE),0)</f>
        <v/>
      </c>
      <c r="F645" t="inlineStr">
        <is>
          <t>Auto</t>
        </is>
      </c>
      <c r="G645" s="44" t="n"/>
      <c r="H645" s="44">
        <f>IF(F645="No",0,IF(F645="Edited",IF(G645="",E645,G645),E645))</f>
        <v/>
      </c>
    </row>
    <row r="646">
      <c r="A646" s="41" t="n">
        <v>48549</v>
      </c>
      <c r="B646" s="32">
        <f>DATE(YEAR(A646),MONTH(A646),1)</f>
        <v/>
      </c>
      <c r="C646" t="inlineStr">
        <is>
          <t>Core EUR Corp Bond</t>
        </is>
      </c>
      <c r="D646" t="inlineStr">
        <is>
          <t>PAC</t>
        </is>
      </c>
      <c r="E646" s="44">
        <f>IFERROR(VLOOKUP(C646,Assets!$A:$F,6,FALSE),0)</f>
        <v/>
      </c>
      <c r="F646" t="inlineStr">
        <is>
          <t>Auto</t>
        </is>
      </c>
      <c r="G646" s="44" t="n"/>
      <c r="H646" s="44">
        <f>IF(F646="No",0,IF(F646="Edited",IF(G646="",E646,G646),E646))</f>
        <v/>
      </c>
    </row>
    <row r="647">
      <c r="A647" s="41" t="n">
        <v>48549</v>
      </c>
      <c r="B647" s="32">
        <f>DATE(YEAR(A647),MONTH(A647),1)</f>
        <v/>
      </c>
      <c r="C647" t="inlineStr">
        <is>
          <t>MSCI World Value</t>
        </is>
      </c>
      <c r="D647" t="inlineStr">
        <is>
          <t>PAC</t>
        </is>
      </c>
      <c r="E647" s="44">
        <f>IFERROR(VLOOKUP(C647,Assets!$A:$F,6,FALSE),0)</f>
        <v/>
      </c>
      <c r="F647" t="inlineStr">
        <is>
          <t>Auto</t>
        </is>
      </c>
      <c r="G647" s="44" t="n"/>
      <c r="H647" s="44">
        <f>IF(F647="No",0,IF(F647="Edited",IF(G647="",E647,G647),E647))</f>
        <v/>
      </c>
    </row>
    <row r="648">
      <c r="A648" s="41" t="n">
        <v>48549</v>
      </c>
      <c r="B648" s="32">
        <f>DATE(YEAR(A648),MONTH(A648),1)</f>
        <v/>
      </c>
      <c r="C648" t="inlineStr">
        <is>
          <t>MSCI EM</t>
        </is>
      </c>
      <c r="D648" t="inlineStr">
        <is>
          <t>PAC</t>
        </is>
      </c>
      <c r="E648" s="44">
        <f>IFERROR(VLOOKUP(C648,Assets!$A:$F,6,FALSE),0)</f>
        <v/>
      </c>
      <c r="F648" t="inlineStr">
        <is>
          <t>Auto</t>
        </is>
      </c>
      <c r="G648" s="44" t="n"/>
      <c r="H648" s="44">
        <f>IF(F648="No",0,IF(F648="Edited",IF(G648="",E648,G648),E648))</f>
        <v/>
      </c>
    </row>
    <row r="649">
      <c r="A649" s="41" t="n">
        <v>48549</v>
      </c>
      <c r="B649" s="32">
        <f>DATE(YEAR(A649),MONTH(A649),1)</f>
        <v/>
      </c>
      <c r="C649" t="inlineStr">
        <is>
          <t>Defence Tech</t>
        </is>
      </c>
      <c r="D649" t="inlineStr">
        <is>
          <t>PAC</t>
        </is>
      </c>
      <c r="E649" s="44">
        <f>IFERROR(VLOOKUP(C649,Assets!$A:$F,6,FALSE),0)</f>
        <v/>
      </c>
      <c r="F649" t="inlineStr">
        <is>
          <t>Auto</t>
        </is>
      </c>
      <c r="G649" s="44" t="n"/>
      <c r="H649" s="44">
        <f>IF(F649="No",0,IF(F649="Edited",IF(G649="",E649,G649),E649))</f>
        <v/>
      </c>
    </row>
    <row r="650">
      <c r="A650" s="41" t="n">
        <v>48580</v>
      </c>
      <c r="B650" s="32">
        <f>DATE(YEAR(A650),MONTH(A650),1)</f>
        <v/>
      </c>
      <c r="C650" t="inlineStr">
        <is>
          <t>Core MSCI World</t>
        </is>
      </c>
      <c r="D650" t="inlineStr">
        <is>
          <t>PAC</t>
        </is>
      </c>
      <c r="E650" s="44">
        <f>IFERROR(VLOOKUP(C650,Assets!$A:$F,6,FALSE),0)</f>
        <v/>
      </c>
      <c r="F650" t="inlineStr">
        <is>
          <t>Auto</t>
        </is>
      </c>
      <c r="G650" s="44" t="n"/>
      <c r="H650" s="44">
        <f>IF(F650="No",0,IF(F650="Edited",IF(G650="",E650,G650),E650))</f>
        <v/>
      </c>
    </row>
    <row r="651">
      <c r="A651" s="41" t="n">
        <v>48580</v>
      </c>
      <c r="B651" s="32">
        <f>DATE(YEAR(A651),MONTH(A651),1)</f>
        <v/>
      </c>
      <c r="C651" t="inlineStr">
        <is>
          <t>AI &amp; Big Data</t>
        </is>
      </c>
      <c r="D651" t="inlineStr">
        <is>
          <t>PAC</t>
        </is>
      </c>
      <c r="E651" s="44">
        <f>IFERROR(VLOOKUP(C651,Assets!$A:$F,6,FALSE),0)</f>
        <v/>
      </c>
      <c r="F651" t="inlineStr">
        <is>
          <t>Auto</t>
        </is>
      </c>
      <c r="G651" s="44" t="n"/>
      <c r="H651" s="44">
        <f>IF(F651="No",0,IF(F651="Edited",IF(G651="",E651,G651),E651))</f>
        <v/>
      </c>
    </row>
    <row r="652">
      <c r="A652" s="41" t="n">
        <v>48580</v>
      </c>
      <c r="B652" s="32">
        <f>DATE(YEAR(A652),MONTH(A652),1)</f>
        <v/>
      </c>
      <c r="C652" t="inlineStr">
        <is>
          <t>Physical Gold</t>
        </is>
      </c>
      <c r="D652" t="inlineStr">
        <is>
          <t>PAC</t>
        </is>
      </c>
      <c r="E652" s="44">
        <f>IFERROR(VLOOKUP(C652,Assets!$A:$F,6,FALSE),0)</f>
        <v/>
      </c>
      <c r="F652" t="inlineStr">
        <is>
          <t>Auto</t>
        </is>
      </c>
      <c r="G652" s="44" t="n"/>
      <c r="H652" s="44">
        <f>IF(F652="No",0,IF(F652="Edited",IF(G652="",E652,G652),E652))</f>
        <v/>
      </c>
    </row>
    <row r="653">
      <c r="A653" s="41" t="n">
        <v>48580</v>
      </c>
      <c r="B653" s="32">
        <f>DATE(YEAR(A653),MONTH(A653),1)</f>
        <v/>
      </c>
      <c r="C653" t="inlineStr">
        <is>
          <t>Global Gov Bond</t>
        </is>
      </c>
      <c r="D653" t="inlineStr">
        <is>
          <t>PAC</t>
        </is>
      </c>
      <c r="E653" s="44">
        <f>IFERROR(VLOOKUP(C653,Assets!$A:$F,6,FALSE),0)</f>
        <v/>
      </c>
      <c r="F653" t="inlineStr">
        <is>
          <t>Auto</t>
        </is>
      </c>
      <c r="G653" s="44" t="n"/>
      <c r="H653" s="44">
        <f>IF(F653="No",0,IF(F653="Edited",IF(G653="",E653,G653),E653))</f>
        <v/>
      </c>
    </row>
    <row r="654">
      <c r="A654" s="41" t="n">
        <v>48580</v>
      </c>
      <c r="B654" s="32">
        <f>DATE(YEAR(A654),MONTH(A654),1)</f>
        <v/>
      </c>
      <c r="C654" t="inlineStr">
        <is>
          <t>Core EUR Corp Bond</t>
        </is>
      </c>
      <c r="D654" t="inlineStr">
        <is>
          <t>PAC</t>
        </is>
      </c>
      <c r="E654" s="44">
        <f>IFERROR(VLOOKUP(C654,Assets!$A:$F,6,FALSE),0)</f>
        <v/>
      </c>
      <c r="F654" t="inlineStr">
        <is>
          <t>Auto</t>
        </is>
      </c>
      <c r="G654" s="44" t="n"/>
      <c r="H654" s="44">
        <f>IF(F654="No",0,IF(F654="Edited",IF(G654="",E654,G654),E654))</f>
        <v/>
      </c>
    </row>
    <row r="655">
      <c r="A655" s="41" t="n">
        <v>48580</v>
      </c>
      <c r="B655" s="32">
        <f>DATE(YEAR(A655),MONTH(A655),1)</f>
        <v/>
      </c>
      <c r="C655" t="inlineStr">
        <is>
          <t>MSCI World Value</t>
        </is>
      </c>
      <c r="D655" t="inlineStr">
        <is>
          <t>PAC</t>
        </is>
      </c>
      <c r="E655" s="44">
        <f>IFERROR(VLOOKUP(C655,Assets!$A:$F,6,FALSE),0)</f>
        <v/>
      </c>
      <c r="F655" t="inlineStr">
        <is>
          <t>Auto</t>
        </is>
      </c>
      <c r="G655" s="44" t="n"/>
      <c r="H655" s="44">
        <f>IF(F655="No",0,IF(F655="Edited",IF(G655="",E655,G655),E655))</f>
        <v/>
      </c>
    </row>
    <row r="656">
      <c r="A656" s="41" t="n">
        <v>48580</v>
      </c>
      <c r="B656" s="32">
        <f>DATE(YEAR(A656),MONTH(A656),1)</f>
        <v/>
      </c>
      <c r="C656" t="inlineStr">
        <is>
          <t>MSCI EM</t>
        </is>
      </c>
      <c r="D656" t="inlineStr">
        <is>
          <t>PAC</t>
        </is>
      </c>
      <c r="E656" s="44">
        <f>IFERROR(VLOOKUP(C656,Assets!$A:$F,6,FALSE),0)</f>
        <v/>
      </c>
      <c r="F656" t="inlineStr">
        <is>
          <t>Auto</t>
        </is>
      </c>
      <c r="G656" s="44" t="n"/>
      <c r="H656" s="44">
        <f>IF(F656="No",0,IF(F656="Edited",IF(G656="",E656,G656),E656))</f>
        <v/>
      </c>
    </row>
    <row r="657">
      <c r="A657" s="41" t="n">
        <v>48580</v>
      </c>
      <c r="B657" s="32">
        <f>DATE(YEAR(A657),MONTH(A657),1)</f>
        <v/>
      </c>
      <c r="C657" t="inlineStr">
        <is>
          <t>Defence Tech</t>
        </is>
      </c>
      <c r="D657" t="inlineStr">
        <is>
          <t>PAC</t>
        </is>
      </c>
      <c r="E657" s="44">
        <f>IFERROR(VLOOKUP(C657,Assets!$A:$F,6,FALSE),0)</f>
        <v/>
      </c>
      <c r="F657" t="inlineStr">
        <is>
          <t>Auto</t>
        </is>
      </c>
      <c r="G657" s="44" t="n"/>
      <c r="H657" s="44">
        <f>IF(F657="No",0,IF(F657="Edited",IF(G657="",E657,G657),E657))</f>
        <v/>
      </c>
    </row>
    <row r="658">
      <c r="A658" s="41" t="n">
        <v>48611</v>
      </c>
      <c r="B658" s="32">
        <f>DATE(YEAR(A658),MONTH(A658),1)</f>
        <v/>
      </c>
      <c r="C658" t="inlineStr">
        <is>
          <t>Core MSCI World</t>
        </is>
      </c>
      <c r="D658" t="inlineStr">
        <is>
          <t>PAC</t>
        </is>
      </c>
      <c r="E658" s="44">
        <f>IFERROR(VLOOKUP(C658,Assets!$A:$F,6,FALSE),0)</f>
        <v/>
      </c>
      <c r="F658" t="inlineStr">
        <is>
          <t>Auto</t>
        </is>
      </c>
      <c r="G658" s="44" t="n"/>
      <c r="H658" s="44">
        <f>IF(F658="No",0,IF(F658="Edited",IF(G658="",E658,G658),E658))</f>
        <v/>
      </c>
    </row>
    <row r="659">
      <c r="A659" s="41" t="n">
        <v>48611</v>
      </c>
      <c r="B659" s="32">
        <f>DATE(YEAR(A659),MONTH(A659),1)</f>
        <v/>
      </c>
      <c r="C659" t="inlineStr">
        <is>
          <t>AI &amp; Big Data</t>
        </is>
      </c>
      <c r="D659" t="inlineStr">
        <is>
          <t>PAC</t>
        </is>
      </c>
      <c r="E659" s="44">
        <f>IFERROR(VLOOKUP(C659,Assets!$A:$F,6,FALSE),0)</f>
        <v/>
      </c>
      <c r="F659" t="inlineStr">
        <is>
          <t>Auto</t>
        </is>
      </c>
      <c r="G659" s="44" t="n"/>
      <c r="H659" s="44">
        <f>IF(F659="No",0,IF(F659="Edited",IF(G659="",E659,G659),E659))</f>
        <v/>
      </c>
    </row>
    <row r="660">
      <c r="A660" s="41" t="n">
        <v>48611</v>
      </c>
      <c r="B660" s="32">
        <f>DATE(YEAR(A660),MONTH(A660),1)</f>
        <v/>
      </c>
      <c r="C660" t="inlineStr">
        <is>
          <t>Physical Gold</t>
        </is>
      </c>
      <c r="D660" t="inlineStr">
        <is>
          <t>PAC</t>
        </is>
      </c>
      <c r="E660" s="44">
        <f>IFERROR(VLOOKUP(C660,Assets!$A:$F,6,FALSE),0)</f>
        <v/>
      </c>
      <c r="F660" t="inlineStr">
        <is>
          <t>Auto</t>
        </is>
      </c>
      <c r="G660" s="44" t="n"/>
      <c r="H660" s="44">
        <f>IF(F660="No",0,IF(F660="Edited",IF(G660="",E660,G660),E660))</f>
        <v/>
      </c>
    </row>
    <row r="661">
      <c r="A661" s="41" t="n">
        <v>48611</v>
      </c>
      <c r="B661" s="32">
        <f>DATE(YEAR(A661),MONTH(A661),1)</f>
        <v/>
      </c>
      <c r="C661" t="inlineStr">
        <is>
          <t>Global Gov Bond</t>
        </is>
      </c>
      <c r="D661" t="inlineStr">
        <is>
          <t>PAC</t>
        </is>
      </c>
      <c r="E661" s="44">
        <f>IFERROR(VLOOKUP(C661,Assets!$A:$F,6,FALSE),0)</f>
        <v/>
      </c>
      <c r="F661" t="inlineStr">
        <is>
          <t>Auto</t>
        </is>
      </c>
      <c r="G661" s="44" t="n"/>
      <c r="H661" s="44">
        <f>IF(F661="No",0,IF(F661="Edited",IF(G661="",E661,G661),E661))</f>
        <v/>
      </c>
    </row>
    <row r="662">
      <c r="A662" s="41" t="n">
        <v>48611</v>
      </c>
      <c r="B662" s="32">
        <f>DATE(YEAR(A662),MONTH(A662),1)</f>
        <v/>
      </c>
      <c r="C662" t="inlineStr">
        <is>
          <t>Core EUR Corp Bond</t>
        </is>
      </c>
      <c r="D662" t="inlineStr">
        <is>
          <t>PAC</t>
        </is>
      </c>
      <c r="E662" s="44">
        <f>IFERROR(VLOOKUP(C662,Assets!$A:$F,6,FALSE),0)</f>
        <v/>
      </c>
      <c r="F662" t="inlineStr">
        <is>
          <t>Auto</t>
        </is>
      </c>
      <c r="G662" s="44" t="n"/>
      <c r="H662" s="44">
        <f>IF(F662="No",0,IF(F662="Edited",IF(G662="",E662,G662),E662))</f>
        <v/>
      </c>
    </row>
    <row r="663">
      <c r="A663" s="41" t="n">
        <v>48611</v>
      </c>
      <c r="B663" s="32">
        <f>DATE(YEAR(A663),MONTH(A663),1)</f>
        <v/>
      </c>
      <c r="C663" t="inlineStr">
        <is>
          <t>MSCI World Value</t>
        </is>
      </c>
      <c r="D663" t="inlineStr">
        <is>
          <t>PAC</t>
        </is>
      </c>
      <c r="E663" s="44">
        <f>IFERROR(VLOOKUP(C663,Assets!$A:$F,6,FALSE),0)</f>
        <v/>
      </c>
      <c r="F663" t="inlineStr">
        <is>
          <t>Auto</t>
        </is>
      </c>
      <c r="G663" s="44" t="n"/>
      <c r="H663" s="44">
        <f>IF(F663="No",0,IF(F663="Edited",IF(G663="",E663,G663),E663))</f>
        <v/>
      </c>
    </row>
    <row r="664">
      <c r="A664" s="41" t="n">
        <v>48611</v>
      </c>
      <c r="B664" s="32">
        <f>DATE(YEAR(A664),MONTH(A664),1)</f>
        <v/>
      </c>
      <c r="C664" t="inlineStr">
        <is>
          <t>MSCI EM</t>
        </is>
      </c>
      <c r="D664" t="inlineStr">
        <is>
          <t>PAC</t>
        </is>
      </c>
      <c r="E664" s="44">
        <f>IFERROR(VLOOKUP(C664,Assets!$A:$F,6,FALSE),0)</f>
        <v/>
      </c>
      <c r="F664" t="inlineStr">
        <is>
          <t>Auto</t>
        </is>
      </c>
      <c r="G664" s="44" t="n"/>
      <c r="H664" s="44">
        <f>IF(F664="No",0,IF(F664="Edited",IF(G664="",E664,G664),E664))</f>
        <v/>
      </c>
    </row>
    <row r="665">
      <c r="A665" s="41" t="n">
        <v>48611</v>
      </c>
      <c r="B665" s="32">
        <f>DATE(YEAR(A665),MONTH(A665),1)</f>
        <v/>
      </c>
      <c r="C665" t="inlineStr">
        <is>
          <t>Defence Tech</t>
        </is>
      </c>
      <c r="D665" t="inlineStr">
        <is>
          <t>PAC</t>
        </is>
      </c>
      <c r="E665" s="44">
        <f>IFERROR(VLOOKUP(C665,Assets!$A:$F,6,FALSE),0)</f>
        <v/>
      </c>
      <c r="F665" t="inlineStr">
        <is>
          <t>Auto</t>
        </is>
      </c>
      <c r="G665" s="44" t="n"/>
      <c r="H665" s="44">
        <f>IF(F665="No",0,IF(F665="Edited",IF(G665="",E665,G665),E665))</f>
        <v/>
      </c>
    </row>
    <row r="666">
      <c r="A666" s="41" t="n">
        <v>48639</v>
      </c>
      <c r="B666" s="32">
        <f>DATE(YEAR(A666),MONTH(A666),1)</f>
        <v/>
      </c>
      <c r="C666" t="inlineStr">
        <is>
          <t>Core MSCI World</t>
        </is>
      </c>
      <c r="D666" t="inlineStr">
        <is>
          <t>PAC</t>
        </is>
      </c>
      <c r="E666" s="44">
        <f>IFERROR(VLOOKUP(C666,Assets!$A:$F,6,FALSE),0)</f>
        <v/>
      </c>
      <c r="F666" t="inlineStr">
        <is>
          <t>Auto</t>
        </is>
      </c>
      <c r="G666" s="44" t="n"/>
      <c r="H666" s="44">
        <f>IF(F666="No",0,IF(F666="Edited",IF(G666="",E666,G666),E666))</f>
        <v/>
      </c>
    </row>
    <row r="667">
      <c r="A667" s="41" t="n">
        <v>48639</v>
      </c>
      <c r="B667" s="32">
        <f>DATE(YEAR(A667),MONTH(A667),1)</f>
        <v/>
      </c>
      <c r="C667" t="inlineStr">
        <is>
          <t>AI &amp; Big Data</t>
        </is>
      </c>
      <c r="D667" t="inlineStr">
        <is>
          <t>PAC</t>
        </is>
      </c>
      <c r="E667" s="44">
        <f>IFERROR(VLOOKUP(C667,Assets!$A:$F,6,FALSE),0)</f>
        <v/>
      </c>
      <c r="F667" t="inlineStr">
        <is>
          <t>Auto</t>
        </is>
      </c>
      <c r="G667" s="44" t="n"/>
      <c r="H667" s="44">
        <f>IF(F667="No",0,IF(F667="Edited",IF(G667="",E667,G667),E667))</f>
        <v/>
      </c>
    </row>
    <row r="668">
      <c r="A668" s="41" t="n">
        <v>48639</v>
      </c>
      <c r="B668" s="32">
        <f>DATE(YEAR(A668),MONTH(A668),1)</f>
        <v/>
      </c>
      <c r="C668" t="inlineStr">
        <is>
          <t>Physical Gold</t>
        </is>
      </c>
      <c r="D668" t="inlineStr">
        <is>
          <t>PAC</t>
        </is>
      </c>
      <c r="E668" s="44">
        <f>IFERROR(VLOOKUP(C668,Assets!$A:$F,6,FALSE),0)</f>
        <v/>
      </c>
      <c r="F668" t="inlineStr">
        <is>
          <t>Auto</t>
        </is>
      </c>
      <c r="G668" s="44" t="n"/>
      <c r="H668" s="44">
        <f>IF(F668="No",0,IF(F668="Edited",IF(G668="",E668,G668),E668))</f>
        <v/>
      </c>
    </row>
    <row r="669">
      <c r="A669" s="41" t="n">
        <v>48639</v>
      </c>
      <c r="B669" s="32">
        <f>DATE(YEAR(A669),MONTH(A669),1)</f>
        <v/>
      </c>
      <c r="C669" t="inlineStr">
        <is>
          <t>Global Gov Bond</t>
        </is>
      </c>
      <c r="D669" t="inlineStr">
        <is>
          <t>PAC</t>
        </is>
      </c>
      <c r="E669" s="44">
        <f>IFERROR(VLOOKUP(C669,Assets!$A:$F,6,FALSE),0)</f>
        <v/>
      </c>
      <c r="F669" t="inlineStr">
        <is>
          <t>Auto</t>
        </is>
      </c>
      <c r="G669" s="44" t="n"/>
      <c r="H669" s="44">
        <f>IF(F669="No",0,IF(F669="Edited",IF(G669="",E669,G669),E669))</f>
        <v/>
      </c>
    </row>
    <row r="670">
      <c r="A670" s="41" t="n">
        <v>48639</v>
      </c>
      <c r="B670" s="32">
        <f>DATE(YEAR(A670),MONTH(A670),1)</f>
        <v/>
      </c>
      <c r="C670" t="inlineStr">
        <is>
          <t>Core EUR Corp Bond</t>
        </is>
      </c>
      <c r="D670" t="inlineStr">
        <is>
          <t>PAC</t>
        </is>
      </c>
      <c r="E670" s="44">
        <f>IFERROR(VLOOKUP(C670,Assets!$A:$F,6,FALSE),0)</f>
        <v/>
      </c>
      <c r="F670" t="inlineStr">
        <is>
          <t>Auto</t>
        </is>
      </c>
      <c r="G670" s="44" t="n"/>
      <c r="H670" s="44">
        <f>IF(F670="No",0,IF(F670="Edited",IF(G670="",E670,G670),E670))</f>
        <v/>
      </c>
    </row>
    <row r="671">
      <c r="A671" s="41" t="n">
        <v>48639</v>
      </c>
      <c r="B671" s="32">
        <f>DATE(YEAR(A671),MONTH(A671),1)</f>
        <v/>
      </c>
      <c r="C671" t="inlineStr">
        <is>
          <t>MSCI World Value</t>
        </is>
      </c>
      <c r="D671" t="inlineStr">
        <is>
          <t>PAC</t>
        </is>
      </c>
      <c r="E671" s="44">
        <f>IFERROR(VLOOKUP(C671,Assets!$A:$F,6,FALSE),0)</f>
        <v/>
      </c>
      <c r="F671" t="inlineStr">
        <is>
          <t>Auto</t>
        </is>
      </c>
      <c r="G671" s="44" t="n"/>
      <c r="H671" s="44">
        <f>IF(F671="No",0,IF(F671="Edited",IF(G671="",E671,G671),E671))</f>
        <v/>
      </c>
    </row>
    <row r="672">
      <c r="A672" s="41" t="n">
        <v>48639</v>
      </c>
      <c r="B672" s="32">
        <f>DATE(YEAR(A672),MONTH(A672),1)</f>
        <v/>
      </c>
      <c r="C672" t="inlineStr">
        <is>
          <t>MSCI EM</t>
        </is>
      </c>
      <c r="D672" t="inlineStr">
        <is>
          <t>PAC</t>
        </is>
      </c>
      <c r="E672" s="44">
        <f>IFERROR(VLOOKUP(C672,Assets!$A:$F,6,FALSE),0)</f>
        <v/>
      </c>
      <c r="F672" t="inlineStr">
        <is>
          <t>Auto</t>
        </is>
      </c>
      <c r="G672" s="44" t="n"/>
      <c r="H672" s="44">
        <f>IF(F672="No",0,IF(F672="Edited",IF(G672="",E672,G672),E672))</f>
        <v/>
      </c>
    </row>
    <row r="673">
      <c r="A673" s="41" t="n">
        <v>48639</v>
      </c>
      <c r="B673" s="32">
        <f>DATE(YEAR(A673),MONTH(A673),1)</f>
        <v/>
      </c>
      <c r="C673" t="inlineStr">
        <is>
          <t>Defence Tech</t>
        </is>
      </c>
      <c r="D673" t="inlineStr">
        <is>
          <t>PAC</t>
        </is>
      </c>
      <c r="E673" s="44">
        <f>IFERROR(VLOOKUP(C673,Assets!$A:$F,6,FALSE),0)</f>
        <v/>
      </c>
      <c r="F673" t="inlineStr">
        <is>
          <t>Auto</t>
        </is>
      </c>
      <c r="G673" s="44" t="n"/>
      <c r="H673" s="44">
        <f>IF(F673="No",0,IF(F673="Edited",IF(G673="",E673,G673),E673))</f>
        <v/>
      </c>
    </row>
    <row r="674">
      <c r="A674" s="41" t="n">
        <v>48670</v>
      </c>
      <c r="B674" s="32">
        <f>DATE(YEAR(A674),MONTH(A674),1)</f>
        <v/>
      </c>
      <c r="C674" t="inlineStr">
        <is>
          <t>Core MSCI World</t>
        </is>
      </c>
      <c r="D674" t="inlineStr">
        <is>
          <t>PAC</t>
        </is>
      </c>
      <c r="E674" s="44">
        <f>IFERROR(VLOOKUP(C674,Assets!$A:$F,6,FALSE),0)</f>
        <v/>
      </c>
      <c r="F674" t="inlineStr">
        <is>
          <t>Auto</t>
        </is>
      </c>
      <c r="G674" s="44" t="n"/>
      <c r="H674" s="44">
        <f>IF(F674="No",0,IF(F674="Edited",IF(G674="",E674,G674),E674))</f>
        <v/>
      </c>
    </row>
    <row r="675">
      <c r="A675" s="41" t="n">
        <v>48670</v>
      </c>
      <c r="B675" s="32">
        <f>DATE(YEAR(A675),MONTH(A675),1)</f>
        <v/>
      </c>
      <c r="C675" t="inlineStr">
        <is>
          <t>AI &amp; Big Data</t>
        </is>
      </c>
      <c r="D675" t="inlineStr">
        <is>
          <t>PAC</t>
        </is>
      </c>
      <c r="E675" s="44">
        <f>IFERROR(VLOOKUP(C675,Assets!$A:$F,6,FALSE),0)</f>
        <v/>
      </c>
      <c r="F675" t="inlineStr">
        <is>
          <t>Auto</t>
        </is>
      </c>
      <c r="G675" s="44" t="n"/>
      <c r="H675" s="44">
        <f>IF(F675="No",0,IF(F675="Edited",IF(G675="",E675,G675),E675))</f>
        <v/>
      </c>
    </row>
    <row r="676">
      <c r="A676" s="41" t="n">
        <v>48670</v>
      </c>
      <c r="B676" s="32">
        <f>DATE(YEAR(A676),MONTH(A676),1)</f>
        <v/>
      </c>
      <c r="C676" t="inlineStr">
        <is>
          <t>Physical Gold</t>
        </is>
      </c>
      <c r="D676" t="inlineStr">
        <is>
          <t>PAC</t>
        </is>
      </c>
      <c r="E676" s="44">
        <f>IFERROR(VLOOKUP(C676,Assets!$A:$F,6,FALSE),0)</f>
        <v/>
      </c>
      <c r="F676" t="inlineStr">
        <is>
          <t>Auto</t>
        </is>
      </c>
      <c r="G676" s="44" t="n"/>
      <c r="H676" s="44">
        <f>IF(F676="No",0,IF(F676="Edited",IF(G676="",E676,G676),E676))</f>
        <v/>
      </c>
    </row>
    <row r="677">
      <c r="A677" s="41" t="n">
        <v>48670</v>
      </c>
      <c r="B677" s="32">
        <f>DATE(YEAR(A677),MONTH(A677),1)</f>
        <v/>
      </c>
      <c r="C677" t="inlineStr">
        <is>
          <t>Global Gov Bond</t>
        </is>
      </c>
      <c r="D677" t="inlineStr">
        <is>
          <t>PAC</t>
        </is>
      </c>
      <c r="E677" s="44">
        <f>IFERROR(VLOOKUP(C677,Assets!$A:$F,6,FALSE),0)</f>
        <v/>
      </c>
      <c r="F677" t="inlineStr">
        <is>
          <t>Auto</t>
        </is>
      </c>
      <c r="G677" s="44" t="n"/>
      <c r="H677" s="44">
        <f>IF(F677="No",0,IF(F677="Edited",IF(G677="",E677,G677),E677))</f>
        <v/>
      </c>
    </row>
    <row r="678">
      <c r="A678" s="41" t="n">
        <v>48670</v>
      </c>
      <c r="B678" s="32">
        <f>DATE(YEAR(A678),MONTH(A678),1)</f>
        <v/>
      </c>
      <c r="C678" t="inlineStr">
        <is>
          <t>Core EUR Corp Bond</t>
        </is>
      </c>
      <c r="D678" t="inlineStr">
        <is>
          <t>PAC</t>
        </is>
      </c>
      <c r="E678" s="44">
        <f>IFERROR(VLOOKUP(C678,Assets!$A:$F,6,FALSE),0)</f>
        <v/>
      </c>
      <c r="F678" t="inlineStr">
        <is>
          <t>Auto</t>
        </is>
      </c>
      <c r="G678" s="44" t="n"/>
      <c r="H678" s="44">
        <f>IF(F678="No",0,IF(F678="Edited",IF(G678="",E678,G678),E678))</f>
        <v/>
      </c>
    </row>
    <row r="679">
      <c r="A679" s="41" t="n">
        <v>48670</v>
      </c>
      <c r="B679" s="32">
        <f>DATE(YEAR(A679),MONTH(A679),1)</f>
        <v/>
      </c>
      <c r="C679" t="inlineStr">
        <is>
          <t>MSCI World Value</t>
        </is>
      </c>
      <c r="D679" t="inlineStr">
        <is>
          <t>PAC</t>
        </is>
      </c>
      <c r="E679" s="44">
        <f>IFERROR(VLOOKUP(C679,Assets!$A:$F,6,FALSE),0)</f>
        <v/>
      </c>
      <c r="F679" t="inlineStr">
        <is>
          <t>Auto</t>
        </is>
      </c>
      <c r="G679" s="44" t="n"/>
      <c r="H679" s="44">
        <f>IF(F679="No",0,IF(F679="Edited",IF(G679="",E679,G679),E679))</f>
        <v/>
      </c>
    </row>
    <row r="680">
      <c r="A680" s="41" t="n">
        <v>48670</v>
      </c>
      <c r="B680" s="32">
        <f>DATE(YEAR(A680),MONTH(A680),1)</f>
        <v/>
      </c>
      <c r="C680" t="inlineStr">
        <is>
          <t>MSCI EM</t>
        </is>
      </c>
      <c r="D680" t="inlineStr">
        <is>
          <t>PAC</t>
        </is>
      </c>
      <c r="E680" s="44">
        <f>IFERROR(VLOOKUP(C680,Assets!$A:$F,6,FALSE),0)</f>
        <v/>
      </c>
      <c r="F680" t="inlineStr">
        <is>
          <t>Auto</t>
        </is>
      </c>
      <c r="G680" s="44" t="n"/>
      <c r="H680" s="44">
        <f>IF(F680="No",0,IF(F680="Edited",IF(G680="",E680,G680),E680))</f>
        <v/>
      </c>
    </row>
    <row r="681">
      <c r="A681" s="41" t="n">
        <v>48670</v>
      </c>
      <c r="B681" s="32">
        <f>DATE(YEAR(A681),MONTH(A681),1)</f>
        <v/>
      </c>
      <c r="C681" t="inlineStr">
        <is>
          <t>Defence Tech</t>
        </is>
      </c>
      <c r="D681" t="inlineStr">
        <is>
          <t>PAC</t>
        </is>
      </c>
      <c r="E681" s="44">
        <f>IFERROR(VLOOKUP(C681,Assets!$A:$F,6,FALSE),0)</f>
        <v/>
      </c>
      <c r="F681" t="inlineStr">
        <is>
          <t>Auto</t>
        </is>
      </c>
      <c r="G681" s="44" t="n"/>
      <c r="H681" s="44">
        <f>IF(F681="No",0,IF(F681="Edited",IF(G681="",E681,G681),E681))</f>
        <v/>
      </c>
    </row>
    <row r="682">
      <c r="A682" s="41" t="n">
        <v>48700</v>
      </c>
      <c r="B682" s="32">
        <f>DATE(YEAR(A682),MONTH(A682),1)</f>
        <v/>
      </c>
      <c r="C682" t="inlineStr">
        <is>
          <t>Core MSCI World</t>
        </is>
      </c>
      <c r="D682" t="inlineStr">
        <is>
          <t>PAC</t>
        </is>
      </c>
      <c r="E682" s="44">
        <f>IFERROR(VLOOKUP(C682,Assets!$A:$F,6,FALSE),0)</f>
        <v/>
      </c>
      <c r="F682" t="inlineStr">
        <is>
          <t>Auto</t>
        </is>
      </c>
      <c r="G682" s="44" t="n"/>
      <c r="H682" s="44">
        <f>IF(F682="No",0,IF(F682="Edited",IF(G682="",E682,G682),E682))</f>
        <v/>
      </c>
    </row>
    <row r="683">
      <c r="A683" s="41" t="n">
        <v>48700</v>
      </c>
      <c r="B683" s="32">
        <f>DATE(YEAR(A683),MONTH(A683),1)</f>
        <v/>
      </c>
      <c r="C683" t="inlineStr">
        <is>
          <t>AI &amp; Big Data</t>
        </is>
      </c>
      <c r="D683" t="inlineStr">
        <is>
          <t>PAC</t>
        </is>
      </c>
      <c r="E683" s="44">
        <f>IFERROR(VLOOKUP(C683,Assets!$A:$F,6,FALSE),0)</f>
        <v/>
      </c>
      <c r="F683" t="inlineStr">
        <is>
          <t>Auto</t>
        </is>
      </c>
      <c r="G683" s="44" t="n"/>
      <c r="H683" s="44">
        <f>IF(F683="No",0,IF(F683="Edited",IF(G683="",E683,G683),E683))</f>
        <v/>
      </c>
    </row>
    <row r="684">
      <c r="A684" s="41" t="n">
        <v>48700</v>
      </c>
      <c r="B684" s="32">
        <f>DATE(YEAR(A684),MONTH(A684),1)</f>
        <v/>
      </c>
      <c r="C684" t="inlineStr">
        <is>
          <t>Physical Gold</t>
        </is>
      </c>
      <c r="D684" t="inlineStr">
        <is>
          <t>PAC</t>
        </is>
      </c>
      <c r="E684" s="44">
        <f>IFERROR(VLOOKUP(C684,Assets!$A:$F,6,FALSE),0)</f>
        <v/>
      </c>
      <c r="F684" t="inlineStr">
        <is>
          <t>Auto</t>
        </is>
      </c>
      <c r="G684" s="44" t="n"/>
      <c r="H684" s="44">
        <f>IF(F684="No",0,IF(F684="Edited",IF(G684="",E684,G684),E684))</f>
        <v/>
      </c>
    </row>
    <row r="685">
      <c r="A685" s="41" t="n">
        <v>48700</v>
      </c>
      <c r="B685" s="32">
        <f>DATE(YEAR(A685),MONTH(A685),1)</f>
        <v/>
      </c>
      <c r="C685" t="inlineStr">
        <is>
          <t>Global Gov Bond</t>
        </is>
      </c>
      <c r="D685" t="inlineStr">
        <is>
          <t>PAC</t>
        </is>
      </c>
      <c r="E685" s="44">
        <f>IFERROR(VLOOKUP(C685,Assets!$A:$F,6,FALSE),0)</f>
        <v/>
      </c>
      <c r="F685" t="inlineStr">
        <is>
          <t>Auto</t>
        </is>
      </c>
      <c r="G685" s="44" t="n"/>
      <c r="H685" s="44">
        <f>IF(F685="No",0,IF(F685="Edited",IF(G685="",E685,G685),E685))</f>
        <v/>
      </c>
    </row>
    <row r="686">
      <c r="A686" s="41" t="n">
        <v>48700</v>
      </c>
      <c r="B686" s="32">
        <f>DATE(YEAR(A686),MONTH(A686),1)</f>
        <v/>
      </c>
      <c r="C686" t="inlineStr">
        <is>
          <t>Core EUR Corp Bond</t>
        </is>
      </c>
      <c r="D686" t="inlineStr">
        <is>
          <t>PAC</t>
        </is>
      </c>
      <c r="E686" s="44">
        <f>IFERROR(VLOOKUP(C686,Assets!$A:$F,6,FALSE),0)</f>
        <v/>
      </c>
      <c r="F686" t="inlineStr">
        <is>
          <t>Auto</t>
        </is>
      </c>
      <c r="G686" s="44" t="n"/>
      <c r="H686" s="44">
        <f>IF(F686="No",0,IF(F686="Edited",IF(G686="",E686,G686),E686))</f>
        <v/>
      </c>
    </row>
    <row r="687">
      <c r="A687" s="41" t="n">
        <v>48700</v>
      </c>
      <c r="B687" s="32">
        <f>DATE(YEAR(A687),MONTH(A687),1)</f>
        <v/>
      </c>
      <c r="C687" t="inlineStr">
        <is>
          <t>MSCI World Value</t>
        </is>
      </c>
      <c r="D687" t="inlineStr">
        <is>
          <t>PAC</t>
        </is>
      </c>
      <c r="E687" s="44">
        <f>IFERROR(VLOOKUP(C687,Assets!$A:$F,6,FALSE),0)</f>
        <v/>
      </c>
      <c r="F687" t="inlineStr">
        <is>
          <t>Auto</t>
        </is>
      </c>
      <c r="G687" s="44" t="n"/>
      <c r="H687" s="44">
        <f>IF(F687="No",0,IF(F687="Edited",IF(G687="",E687,G687),E687))</f>
        <v/>
      </c>
    </row>
    <row r="688">
      <c r="A688" s="41" t="n">
        <v>48700</v>
      </c>
      <c r="B688" s="32">
        <f>DATE(YEAR(A688),MONTH(A688),1)</f>
        <v/>
      </c>
      <c r="C688" t="inlineStr">
        <is>
          <t>MSCI EM</t>
        </is>
      </c>
      <c r="D688" t="inlineStr">
        <is>
          <t>PAC</t>
        </is>
      </c>
      <c r="E688" s="44">
        <f>IFERROR(VLOOKUP(C688,Assets!$A:$F,6,FALSE),0)</f>
        <v/>
      </c>
      <c r="F688" t="inlineStr">
        <is>
          <t>Auto</t>
        </is>
      </c>
      <c r="G688" s="44" t="n"/>
      <c r="H688" s="44">
        <f>IF(F688="No",0,IF(F688="Edited",IF(G688="",E688,G688),E688))</f>
        <v/>
      </c>
    </row>
    <row r="689">
      <c r="A689" s="41" t="n">
        <v>48700</v>
      </c>
      <c r="B689" s="32">
        <f>DATE(YEAR(A689),MONTH(A689),1)</f>
        <v/>
      </c>
      <c r="C689" t="inlineStr">
        <is>
          <t>Defence Tech</t>
        </is>
      </c>
      <c r="D689" t="inlineStr">
        <is>
          <t>PAC</t>
        </is>
      </c>
      <c r="E689" s="44">
        <f>IFERROR(VLOOKUP(C689,Assets!$A:$F,6,FALSE),0)</f>
        <v/>
      </c>
      <c r="F689" t="inlineStr">
        <is>
          <t>Auto</t>
        </is>
      </c>
      <c r="G689" s="44" t="n"/>
      <c r="H689" s="44">
        <f>IF(F689="No",0,IF(F689="Edited",IF(G689="",E689,G689),E689))</f>
        <v/>
      </c>
    </row>
    <row r="690">
      <c r="A690" s="41" t="n">
        <v>48731</v>
      </c>
      <c r="B690" s="32">
        <f>DATE(YEAR(A690),MONTH(A690),1)</f>
        <v/>
      </c>
      <c r="C690" t="inlineStr">
        <is>
          <t>Core MSCI World</t>
        </is>
      </c>
      <c r="D690" t="inlineStr">
        <is>
          <t>PAC</t>
        </is>
      </c>
      <c r="E690" s="44">
        <f>IFERROR(VLOOKUP(C690,Assets!$A:$F,6,FALSE),0)</f>
        <v/>
      </c>
      <c r="F690" t="inlineStr">
        <is>
          <t>Auto</t>
        </is>
      </c>
      <c r="G690" s="44" t="n"/>
      <c r="H690" s="44">
        <f>IF(F690="No",0,IF(F690="Edited",IF(G690="",E690,G690),E690))</f>
        <v/>
      </c>
    </row>
    <row r="691">
      <c r="A691" s="41" t="n">
        <v>48731</v>
      </c>
      <c r="B691" s="32">
        <f>DATE(YEAR(A691),MONTH(A691),1)</f>
        <v/>
      </c>
      <c r="C691" t="inlineStr">
        <is>
          <t>AI &amp; Big Data</t>
        </is>
      </c>
      <c r="D691" t="inlineStr">
        <is>
          <t>PAC</t>
        </is>
      </c>
      <c r="E691" s="44">
        <f>IFERROR(VLOOKUP(C691,Assets!$A:$F,6,FALSE),0)</f>
        <v/>
      </c>
      <c r="F691" t="inlineStr">
        <is>
          <t>Auto</t>
        </is>
      </c>
      <c r="G691" s="44" t="n"/>
      <c r="H691" s="44">
        <f>IF(F691="No",0,IF(F691="Edited",IF(G691="",E691,G691),E691))</f>
        <v/>
      </c>
    </row>
    <row r="692">
      <c r="A692" s="41" t="n">
        <v>48731</v>
      </c>
      <c r="B692" s="32">
        <f>DATE(YEAR(A692),MONTH(A692),1)</f>
        <v/>
      </c>
      <c r="C692" t="inlineStr">
        <is>
          <t>Physical Gold</t>
        </is>
      </c>
      <c r="D692" t="inlineStr">
        <is>
          <t>PAC</t>
        </is>
      </c>
      <c r="E692" s="44">
        <f>IFERROR(VLOOKUP(C692,Assets!$A:$F,6,FALSE),0)</f>
        <v/>
      </c>
      <c r="F692" t="inlineStr">
        <is>
          <t>Auto</t>
        </is>
      </c>
      <c r="G692" s="44" t="n"/>
      <c r="H692" s="44">
        <f>IF(F692="No",0,IF(F692="Edited",IF(G692="",E692,G692),E692))</f>
        <v/>
      </c>
    </row>
    <row r="693">
      <c r="A693" s="41" t="n">
        <v>48731</v>
      </c>
      <c r="B693" s="32">
        <f>DATE(YEAR(A693),MONTH(A693),1)</f>
        <v/>
      </c>
      <c r="C693" t="inlineStr">
        <is>
          <t>Global Gov Bond</t>
        </is>
      </c>
      <c r="D693" t="inlineStr">
        <is>
          <t>PAC</t>
        </is>
      </c>
      <c r="E693" s="44">
        <f>IFERROR(VLOOKUP(C693,Assets!$A:$F,6,FALSE),0)</f>
        <v/>
      </c>
      <c r="F693" t="inlineStr">
        <is>
          <t>Auto</t>
        </is>
      </c>
      <c r="G693" s="44" t="n"/>
      <c r="H693" s="44">
        <f>IF(F693="No",0,IF(F693="Edited",IF(G693="",E693,G693),E693))</f>
        <v/>
      </c>
    </row>
    <row r="694">
      <c r="A694" s="41" t="n">
        <v>48731</v>
      </c>
      <c r="B694" s="32">
        <f>DATE(YEAR(A694),MONTH(A694),1)</f>
        <v/>
      </c>
      <c r="C694" t="inlineStr">
        <is>
          <t>Core EUR Corp Bond</t>
        </is>
      </c>
      <c r="D694" t="inlineStr">
        <is>
          <t>PAC</t>
        </is>
      </c>
      <c r="E694" s="44">
        <f>IFERROR(VLOOKUP(C694,Assets!$A:$F,6,FALSE),0)</f>
        <v/>
      </c>
      <c r="F694" t="inlineStr">
        <is>
          <t>Auto</t>
        </is>
      </c>
      <c r="G694" s="44" t="n"/>
      <c r="H694" s="44">
        <f>IF(F694="No",0,IF(F694="Edited",IF(G694="",E694,G694),E694))</f>
        <v/>
      </c>
    </row>
    <row r="695">
      <c r="A695" s="41" t="n">
        <v>48731</v>
      </c>
      <c r="B695" s="32">
        <f>DATE(YEAR(A695),MONTH(A695),1)</f>
        <v/>
      </c>
      <c r="C695" t="inlineStr">
        <is>
          <t>MSCI World Value</t>
        </is>
      </c>
      <c r="D695" t="inlineStr">
        <is>
          <t>PAC</t>
        </is>
      </c>
      <c r="E695" s="44">
        <f>IFERROR(VLOOKUP(C695,Assets!$A:$F,6,FALSE),0)</f>
        <v/>
      </c>
      <c r="F695" t="inlineStr">
        <is>
          <t>Auto</t>
        </is>
      </c>
      <c r="G695" s="44" t="n"/>
      <c r="H695" s="44">
        <f>IF(F695="No",0,IF(F695="Edited",IF(G695="",E695,G695),E695))</f>
        <v/>
      </c>
    </row>
    <row r="696">
      <c r="A696" s="41" t="n">
        <v>48731</v>
      </c>
      <c r="B696" s="32">
        <f>DATE(YEAR(A696),MONTH(A696),1)</f>
        <v/>
      </c>
      <c r="C696" t="inlineStr">
        <is>
          <t>MSCI EM</t>
        </is>
      </c>
      <c r="D696" t="inlineStr">
        <is>
          <t>PAC</t>
        </is>
      </c>
      <c r="E696" s="44">
        <f>IFERROR(VLOOKUP(C696,Assets!$A:$F,6,FALSE),0)</f>
        <v/>
      </c>
      <c r="F696" t="inlineStr">
        <is>
          <t>Auto</t>
        </is>
      </c>
      <c r="G696" s="44" t="n"/>
      <c r="H696" s="44">
        <f>IF(F696="No",0,IF(F696="Edited",IF(G696="",E696,G696),E696))</f>
        <v/>
      </c>
    </row>
    <row r="697">
      <c r="A697" s="41" t="n">
        <v>48731</v>
      </c>
      <c r="B697" s="32">
        <f>DATE(YEAR(A697),MONTH(A697),1)</f>
        <v/>
      </c>
      <c r="C697" t="inlineStr">
        <is>
          <t>Defence Tech</t>
        </is>
      </c>
      <c r="D697" t="inlineStr">
        <is>
          <t>PAC</t>
        </is>
      </c>
      <c r="E697" s="44">
        <f>IFERROR(VLOOKUP(C697,Assets!$A:$F,6,FALSE),0)</f>
        <v/>
      </c>
      <c r="F697" t="inlineStr">
        <is>
          <t>Auto</t>
        </is>
      </c>
      <c r="G697" s="44" t="n"/>
      <c r="H697" s="44">
        <f>IF(F697="No",0,IF(F697="Edited",IF(G697="",E697,G697),E697))</f>
        <v/>
      </c>
    </row>
    <row r="698">
      <c r="A698" s="41" t="n">
        <v>48761</v>
      </c>
      <c r="B698" s="32">
        <f>DATE(YEAR(A698),MONTH(A698),1)</f>
        <v/>
      </c>
      <c r="C698" t="inlineStr">
        <is>
          <t>Core MSCI World</t>
        </is>
      </c>
      <c r="D698" t="inlineStr">
        <is>
          <t>PAC</t>
        </is>
      </c>
      <c r="E698" s="44">
        <f>IFERROR(VLOOKUP(C698,Assets!$A:$F,6,FALSE),0)</f>
        <v/>
      </c>
      <c r="F698" t="inlineStr">
        <is>
          <t>Auto</t>
        </is>
      </c>
      <c r="G698" s="44" t="n"/>
      <c r="H698" s="44">
        <f>IF(F698="No",0,IF(F698="Edited",IF(G698="",E698,G698),E698))</f>
        <v/>
      </c>
    </row>
    <row r="699">
      <c r="A699" s="41" t="n">
        <v>48761</v>
      </c>
      <c r="B699" s="32">
        <f>DATE(YEAR(A699),MONTH(A699),1)</f>
        <v/>
      </c>
      <c r="C699" t="inlineStr">
        <is>
          <t>AI &amp; Big Data</t>
        </is>
      </c>
      <c r="D699" t="inlineStr">
        <is>
          <t>PAC</t>
        </is>
      </c>
      <c r="E699" s="44">
        <f>IFERROR(VLOOKUP(C699,Assets!$A:$F,6,FALSE),0)</f>
        <v/>
      </c>
      <c r="F699" t="inlineStr">
        <is>
          <t>Auto</t>
        </is>
      </c>
      <c r="G699" s="44" t="n"/>
      <c r="H699" s="44">
        <f>IF(F699="No",0,IF(F699="Edited",IF(G699="",E699,G699),E699))</f>
        <v/>
      </c>
    </row>
    <row r="700">
      <c r="A700" s="41" t="n">
        <v>48761</v>
      </c>
      <c r="B700" s="32">
        <f>DATE(YEAR(A700),MONTH(A700),1)</f>
        <v/>
      </c>
      <c r="C700" t="inlineStr">
        <is>
          <t>Physical Gold</t>
        </is>
      </c>
      <c r="D700" t="inlineStr">
        <is>
          <t>PAC</t>
        </is>
      </c>
      <c r="E700" s="44">
        <f>IFERROR(VLOOKUP(C700,Assets!$A:$F,6,FALSE),0)</f>
        <v/>
      </c>
      <c r="F700" t="inlineStr">
        <is>
          <t>Auto</t>
        </is>
      </c>
      <c r="G700" s="44" t="n"/>
      <c r="H700" s="44">
        <f>IF(F700="No",0,IF(F700="Edited",IF(G700="",E700,G700),E700))</f>
        <v/>
      </c>
    </row>
    <row r="701">
      <c r="A701" s="41" t="n">
        <v>48761</v>
      </c>
      <c r="B701" s="32">
        <f>DATE(YEAR(A701),MONTH(A701),1)</f>
        <v/>
      </c>
      <c r="C701" t="inlineStr">
        <is>
          <t>Global Gov Bond</t>
        </is>
      </c>
      <c r="D701" t="inlineStr">
        <is>
          <t>PAC</t>
        </is>
      </c>
      <c r="E701" s="44">
        <f>IFERROR(VLOOKUP(C701,Assets!$A:$F,6,FALSE),0)</f>
        <v/>
      </c>
      <c r="F701" t="inlineStr">
        <is>
          <t>Auto</t>
        </is>
      </c>
      <c r="G701" s="44" t="n"/>
      <c r="H701" s="44">
        <f>IF(F701="No",0,IF(F701="Edited",IF(G701="",E701,G701),E701))</f>
        <v/>
      </c>
    </row>
    <row r="702">
      <c r="A702" s="41" t="n">
        <v>48761</v>
      </c>
      <c r="B702" s="32">
        <f>DATE(YEAR(A702),MONTH(A702),1)</f>
        <v/>
      </c>
      <c r="C702" t="inlineStr">
        <is>
          <t>Core EUR Corp Bond</t>
        </is>
      </c>
      <c r="D702" t="inlineStr">
        <is>
          <t>PAC</t>
        </is>
      </c>
      <c r="E702" s="44">
        <f>IFERROR(VLOOKUP(C702,Assets!$A:$F,6,FALSE),0)</f>
        <v/>
      </c>
      <c r="F702" t="inlineStr">
        <is>
          <t>Auto</t>
        </is>
      </c>
      <c r="G702" s="44" t="n"/>
      <c r="H702" s="44">
        <f>IF(F702="No",0,IF(F702="Edited",IF(G702="",E702,G702),E702))</f>
        <v/>
      </c>
    </row>
    <row r="703">
      <c r="A703" s="41" t="n">
        <v>48761</v>
      </c>
      <c r="B703" s="32">
        <f>DATE(YEAR(A703),MONTH(A703),1)</f>
        <v/>
      </c>
      <c r="C703" t="inlineStr">
        <is>
          <t>MSCI World Value</t>
        </is>
      </c>
      <c r="D703" t="inlineStr">
        <is>
          <t>PAC</t>
        </is>
      </c>
      <c r="E703" s="44">
        <f>IFERROR(VLOOKUP(C703,Assets!$A:$F,6,FALSE),0)</f>
        <v/>
      </c>
      <c r="F703" t="inlineStr">
        <is>
          <t>Auto</t>
        </is>
      </c>
      <c r="G703" s="44" t="n"/>
      <c r="H703" s="44">
        <f>IF(F703="No",0,IF(F703="Edited",IF(G703="",E703,G703),E703))</f>
        <v/>
      </c>
    </row>
    <row r="704">
      <c r="A704" s="41" t="n">
        <v>48761</v>
      </c>
      <c r="B704" s="32">
        <f>DATE(YEAR(A704),MONTH(A704),1)</f>
        <v/>
      </c>
      <c r="C704" t="inlineStr">
        <is>
          <t>MSCI EM</t>
        </is>
      </c>
      <c r="D704" t="inlineStr">
        <is>
          <t>PAC</t>
        </is>
      </c>
      <c r="E704" s="44">
        <f>IFERROR(VLOOKUP(C704,Assets!$A:$F,6,FALSE),0)</f>
        <v/>
      </c>
      <c r="F704" t="inlineStr">
        <is>
          <t>Auto</t>
        </is>
      </c>
      <c r="G704" s="44" t="n"/>
      <c r="H704" s="44">
        <f>IF(F704="No",0,IF(F704="Edited",IF(G704="",E704,G704),E704))</f>
        <v/>
      </c>
    </row>
    <row r="705">
      <c r="A705" s="41" t="n">
        <v>48761</v>
      </c>
      <c r="B705" s="32">
        <f>DATE(YEAR(A705),MONTH(A705),1)</f>
        <v/>
      </c>
      <c r="C705" t="inlineStr">
        <is>
          <t>Defence Tech</t>
        </is>
      </c>
      <c r="D705" t="inlineStr">
        <is>
          <t>PAC</t>
        </is>
      </c>
      <c r="E705" s="44">
        <f>IFERROR(VLOOKUP(C705,Assets!$A:$F,6,FALSE),0)</f>
        <v/>
      </c>
      <c r="F705" t="inlineStr">
        <is>
          <t>Auto</t>
        </is>
      </c>
      <c r="G705" s="44" t="n"/>
      <c r="H705" s="44">
        <f>IF(F705="No",0,IF(F705="Edited",IF(G705="",E705,G705),E705))</f>
        <v/>
      </c>
    </row>
    <row r="706">
      <c r="A706" s="41" t="n">
        <v>48792</v>
      </c>
      <c r="B706" s="32">
        <f>DATE(YEAR(A706),MONTH(A706),1)</f>
        <v/>
      </c>
      <c r="C706" t="inlineStr">
        <is>
          <t>Core MSCI World</t>
        </is>
      </c>
      <c r="D706" t="inlineStr">
        <is>
          <t>PAC</t>
        </is>
      </c>
      <c r="E706" s="44">
        <f>IFERROR(VLOOKUP(C706,Assets!$A:$F,6,FALSE),0)</f>
        <v/>
      </c>
      <c r="F706" t="inlineStr">
        <is>
          <t>Auto</t>
        </is>
      </c>
      <c r="G706" s="44" t="n"/>
      <c r="H706" s="44">
        <f>IF(F706="No",0,IF(F706="Edited",IF(G706="",E706,G706),E706))</f>
        <v/>
      </c>
    </row>
    <row r="707">
      <c r="A707" s="41" t="n">
        <v>48792</v>
      </c>
      <c r="B707" s="32">
        <f>DATE(YEAR(A707),MONTH(A707),1)</f>
        <v/>
      </c>
      <c r="C707" t="inlineStr">
        <is>
          <t>AI &amp; Big Data</t>
        </is>
      </c>
      <c r="D707" t="inlineStr">
        <is>
          <t>PAC</t>
        </is>
      </c>
      <c r="E707" s="44">
        <f>IFERROR(VLOOKUP(C707,Assets!$A:$F,6,FALSE),0)</f>
        <v/>
      </c>
      <c r="F707" t="inlineStr">
        <is>
          <t>Auto</t>
        </is>
      </c>
      <c r="G707" s="44" t="n"/>
      <c r="H707" s="44">
        <f>IF(F707="No",0,IF(F707="Edited",IF(G707="",E707,G707),E707))</f>
        <v/>
      </c>
    </row>
    <row r="708">
      <c r="A708" s="41" t="n">
        <v>48792</v>
      </c>
      <c r="B708" s="32">
        <f>DATE(YEAR(A708),MONTH(A708),1)</f>
        <v/>
      </c>
      <c r="C708" t="inlineStr">
        <is>
          <t>Physical Gold</t>
        </is>
      </c>
      <c r="D708" t="inlineStr">
        <is>
          <t>PAC</t>
        </is>
      </c>
      <c r="E708" s="44">
        <f>IFERROR(VLOOKUP(C708,Assets!$A:$F,6,FALSE),0)</f>
        <v/>
      </c>
      <c r="F708" t="inlineStr">
        <is>
          <t>Auto</t>
        </is>
      </c>
      <c r="G708" s="44" t="n"/>
      <c r="H708" s="44">
        <f>IF(F708="No",0,IF(F708="Edited",IF(G708="",E708,G708),E708))</f>
        <v/>
      </c>
    </row>
    <row r="709">
      <c r="A709" s="41" t="n">
        <v>48792</v>
      </c>
      <c r="B709" s="32">
        <f>DATE(YEAR(A709),MONTH(A709),1)</f>
        <v/>
      </c>
      <c r="C709" t="inlineStr">
        <is>
          <t>Global Gov Bond</t>
        </is>
      </c>
      <c r="D709" t="inlineStr">
        <is>
          <t>PAC</t>
        </is>
      </c>
      <c r="E709" s="44">
        <f>IFERROR(VLOOKUP(C709,Assets!$A:$F,6,FALSE),0)</f>
        <v/>
      </c>
      <c r="F709" t="inlineStr">
        <is>
          <t>Auto</t>
        </is>
      </c>
      <c r="G709" s="44" t="n"/>
      <c r="H709" s="44">
        <f>IF(F709="No",0,IF(F709="Edited",IF(G709="",E709,G709),E709))</f>
        <v/>
      </c>
    </row>
    <row r="710">
      <c r="A710" s="41" t="n">
        <v>48792</v>
      </c>
      <c r="B710" s="32">
        <f>DATE(YEAR(A710),MONTH(A710),1)</f>
        <v/>
      </c>
      <c r="C710" t="inlineStr">
        <is>
          <t>Core EUR Corp Bond</t>
        </is>
      </c>
      <c r="D710" t="inlineStr">
        <is>
          <t>PAC</t>
        </is>
      </c>
      <c r="E710" s="44">
        <f>IFERROR(VLOOKUP(C710,Assets!$A:$F,6,FALSE),0)</f>
        <v/>
      </c>
      <c r="F710" t="inlineStr">
        <is>
          <t>Auto</t>
        </is>
      </c>
      <c r="G710" s="44" t="n"/>
      <c r="H710" s="44">
        <f>IF(F710="No",0,IF(F710="Edited",IF(G710="",E710,G710),E710))</f>
        <v/>
      </c>
    </row>
    <row r="711">
      <c r="A711" s="41" t="n">
        <v>48792</v>
      </c>
      <c r="B711" s="32">
        <f>DATE(YEAR(A711),MONTH(A711),1)</f>
        <v/>
      </c>
      <c r="C711" t="inlineStr">
        <is>
          <t>MSCI World Value</t>
        </is>
      </c>
      <c r="D711" t="inlineStr">
        <is>
          <t>PAC</t>
        </is>
      </c>
      <c r="E711" s="44">
        <f>IFERROR(VLOOKUP(C711,Assets!$A:$F,6,FALSE),0)</f>
        <v/>
      </c>
      <c r="F711" t="inlineStr">
        <is>
          <t>Auto</t>
        </is>
      </c>
      <c r="G711" s="44" t="n"/>
      <c r="H711" s="44">
        <f>IF(F711="No",0,IF(F711="Edited",IF(G711="",E711,G711),E711))</f>
        <v/>
      </c>
    </row>
    <row r="712">
      <c r="A712" s="41" t="n">
        <v>48792</v>
      </c>
      <c r="B712" s="32">
        <f>DATE(YEAR(A712),MONTH(A712),1)</f>
        <v/>
      </c>
      <c r="C712" t="inlineStr">
        <is>
          <t>MSCI EM</t>
        </is>
      </c>
      <c r="D712" t="inlineStr">
        <is>
          <t>PAC</t>
        </is>
      </c>
      <c r="E712" s="44">
        <f>IFERROR(VLOOKUP(C712,Assets!$A:$F,6,FALSE),0)</f>
        <v/>
      </c>
      <c r="F712" t="inlineStr">
        <is>
          <t>Auto</t>
        </is>
      </c>
      <c r="G712" s="44" t="n"/>
      <c r="H712" s="44">
        <f>IF(F712="No",0,IF(F712="Edited",IF(G712="",E712,G712),E712))</f>
        <v/>
      </c>
    </row>
    <row r="713">
      <c r="A713" s="41" t="n">
        <v>48792</v>
      </c>
      <c r="B713" s="32">
        <f>DATE(YEAR(A713),MONTH(A713),1)</f>
        <v/>
      </c>
      <c r="C713" t="inlineStr">
        <is>
          <t>Defence Tech</t>
        </is>
      </c>
      <c r="D713" t="inlineStr">
        <is>
          <t>PAC</t>
        </is>
      </c>
      <c r="E713" s="44">
        <f>IFERROR(VLOOKUP(C713,Assets!$A:$F,6,FALSE),0)</f>
        <v/>
      </c>
      <c r="F713" t="inlineStr">
        <is>
          <t>Auto</t>
        </is>
      </c>
      <c r="G713" s="44" t="n"/>
      <c r="H713" s="44">
        <f>IF(F713="No",0,IF(F713="Edited",IF(G713="",E713,G713),E713))</f>
        <v/>
      </c>
    </row>
    <row r="714">
      <c r="A714" s="41" t="n">
        <v>48823</v>
      </c>
      <c r="B714" s="32">
        <f>DATE(YEAR(A714),MONTH(A714),1)</f>
        <v/>
      </c>
      <c r="C714" t="inlineStr">
        <is>
          <t>Core MSCI World</t>
        </is>
      </c>
      <c r="D714" t="inlineStr">
        <is>
          <t>PAC</t>
        </is>
      </c>
      <c r="E714" s="44">
        <f>IFERROR(VLOOKUP(C714,Assets!$A:$F,6,FALSE),0)</f>
        <v/>
      </c>
      <c r="F714" t="inlineStr">
        <is>
          <t>Auto</t>
        </is>
      </c>
      <c r="G714" s="44" t="n"/>
      <c r="H714" s="44">
        <f>IF(F714="No",0,IF(F714="Edited",IF(G714="",E714,G714),E714))</f>
        <v/>
      </c>
    </row>
    <row r="715">
      <c r="A715" s="41" t="n">
        <v>48823</v>
      </c>
      <c r="B715" s="32">
        <f>DATE(YEAR(A715),MONTH(A715),1)</f>
        <v/>
      </c>
      <c r="C715" t="inlineStr">
        <is>
          <t>AI &amp; Big Data</t>
        </is>
      </c>
      <c r="D715" t="inlineStr">
        <is>
          <t>PAC</t>
        </is>
      </c>
      <c r="E715" s="44">
        <f>IFERROR(VLOOKUP(C715,Assets!$A:$F,6,FALSE),0)</f>
        <v/>
      </c>
      <c r="F715" t="inlineStr">
        <is>
          <t>Auto</t>
        </is>
      </c>
      <c r="G715" s="44" t="n"/>
      <c r="H715" s="44">
        <f>IF(F715="No",0,IF(F715="Edited",IF(G715="",E715,G715),E715))</f>
        <v/>
      </c>
    </row>
    <row r="716">
      <c r="A716" s="41" t="n">
        <v>48823</v>
      </c>
      <c r="B716" s="32">
        <f>DATE(YEAR(A716),MONTH(A716),1)</f>
        <v/>
      </c>
      <c r="C716" t="inlineStr">
        <is>
          <t>Physical Gold</t>
        </is>
      </c>
      <c r="D716" t="inlineStr">
        <is>
          <t>PAC</t>
        </is>
      </c>
      <c r="E716" s="44">
        <f>IFERROR(VLOOKUP(C716,Assets!$A:$F,6,FALSE),0)</f>
        <v/>
      </c>
      <c r="F716" t="inlineStr">
        <is>
          <t>Auto</t>
        </is>
      </c>
      <c r="G716" s="44" t="n"/>
      <c r="H716" s="44">
        <f>IF(F716="No",0,IF(F716="Edited",IF(G716="",E716,G716),E716))</f>
        <v/>
      </c>
    </row>
    <row r="717">
      <c r="A717" s="41" t="n">
        <v>48823</v>
      </c>
      <c r="B717" s="32">
        <f>DATE(YEAR(A717),MONTH(A717),1)</f>
        <v/>
      </c>
      <c r="C717" t="inlineStr">
        <is>
          <t>Global Gov Bond</t>
        </is>
      </c>
      <c r="D717" t="inlineStr">
        <is>
          <t>PAC</t>
        </is>
      </c>
      <c r="E717" s="44">
        <f>IFERROR(VLOOKUP(C717,Assets!$A:$F,6,FALSE),0)</f>
        <v/>
      </c>
      <c r="F717" t="inlineStr">
        <is>
          <t>Auto</t>
        </is>
      </c>
      <c r="G717" s="44" t="n"/>
      <c r="H717" s="44">
        <f>IF(F717="No",0,IF(F717="Edited",IF(G717="",E717,G717),E717))</f>
        <v/>
      </c>
    </row>
    <row r="718">
      <c r="A718" s="41" t="n">
        <v>48823</v>
      </c>
      <c r="B718" s="32">
        <f>DATE(YEAR(A718),MONTH(A718),1)</f>
        <v/>
      </c>
      <c r="C718" t="inlineStr">
        <is>
          <t>Core EUR Corp Bond</t>
        </is>
      </c>
      <c r="D718" t="inlineStr">
        <is>
          <t>PAC</t>
        </is>
      </c>
      <c r="E718" s="44">
        <f>IFERROR(VLOOKUP(C718,Assets!$A:$F,6,FALSE),0)</f>
        <v/>
      </c>
      <c r="F718" t="inlineStr">
        <is>
          <t>Auto</t>
        </is>
      </c>
      <c r="G718" s="44" t="n"/>
      <c r="H718" s="44">
        <f>IF(F718="No",0,IF(F718="Edited",IF(G718="",E718,G718),E718))</f>
        <v/>
      </c>
    </row>
    <row r="719">
      <c r="A719" s="41" t="n">
        <v>48823</v>
      </c>
      <c r="B719" s="32">
        <f>DATE(YEAR(A719),MONTH(A719),1)</f>
        <v/>
      </c>
      <c r="C719" t="inlineStr">
        <is>
          <t>MSCI World Value</t>
        </is>
      </c>
      <c r="D719" t="inlineStr">
        <is>
          <t>PAC</t>
        </is>
      </c>
      <c r="E719" s="44">
        <f>IFERROR(VLOOKUP(C719,Assets!$A:$F,6,FALSE),0)</f>
        <v/>
      </c>
      <c r="F719" t="inlineStr">
        <is>
          <t>Auto</t>
        </is>
      </c>
      <c r="G719" s="44" t="n"/>
      <c r="H719" s="44">
        <f>IF(F719="No",0,IF(F719="Edited",IF(G719="",E719,G719),E719))</f>
        <v/>
      </c>
    </row>
    <row r="720">
      <c r="A720" s="41" t="n">
        <v>48823</v>
      </c>
      <c r="B720" s="32">
        <f>DATE(YEAR(A720),MONTH(A720),1)</f>
        <v/>
      </c>
      <c r="C720" t="inlineStr">
        <is>
          <t>MSCI EM</t>
        </is>
      </c>
      <c r="D720" t="inlineStr">
        <is>
          <t>PAC</t>
        </is>
      </c>
      <c r="E720" s="44">
        <f>IFERROR(VLOOKUP(C720,Assets!$A:$F,6,FALSE),0)</f>
        <v/>
      </c>
      <c r="F720" t="inlineStr">
        <is>
          <t>Auto</t>
        </is>
      </c>
      <c r="G720" s="44" t="n"/>
      <c r="H720" s="44">
        <f>IF(F720="No",0,IF(F720="Edited",IF(G720="",E720,G720),E720))</f>
        <v/>
      </c>
    </row>
    <row r="721">
      <c r="A721" s="41" t="n">
        <v>48823</v>
      </c>
      <c r="B721" s="32">
        <f>DATE(YEAR(A721),MONTH(A721),1)</f>
        <v/>
      </c>
      <c r="C721" t="inlineStr">
        <is>
          <t>Defence Tech</t>
        </is>
      </c>
      <c r="D721" t="inlineStr">
        <is>
          <t>PAC</t>
        </is>
      </c>
      <c r="E721" s="44">
        <f>IFERROR(VLOOKUP(C721,Assets!$A:$F,6,FALSE),0)</f>
        <v/>
      </c>
      <c r="F721" t="inlineStr">
        <is>
          <t>Auto</t>
        </is>
      </c>
      <c r="G721" s="44" t="n"/>
      <c r="H721" s="44">
        <f>IF(F721="No",0,IF(F721="Edited",IF(G721="",E721,G721),E721))</f>
        <v/>
      </c>
    </row>
    <row r="722">
      <c r="A722" s="41" t="n">
        <v>48853</v>
      </c>
      <c r="B722" s="32">
        <f>DATE(YEAR(A722),MONTH(A722),1)</f>
        <v/>
      </c>
      <c r="C722" t="inlineStr">
        <is>
          <t>Core MSCI World</t>
        </is>
      </c>
      <c r="D722" t="inlineStr">
        <is>
          <t>PAC</t>
        </is>
      </c>
      <c r="E722" s="44">
        <f>IFERROR(VLOOKUP(C722,Assets!$A:$F,6,FALSE),0)</f>
        <v/>
      </c>
      <c r="F722" t="inlineStr">
        <is>
          <t>Auto</t>
        </is>
      </c>
      <c r="G722" s="44" t="n"/>
      <c r="H722" s="44">
        <f>IF(F722="No",0,IF(F722="Edited",IF(G722="",E722,G722),E722))</f>
        <v/>
      </c>
    </row>
    <row r="723">
      <c r="A723" s="41" t="n">
        <v>48853</v>
      </c>
      <c r="B723" s="32">
        <f>DATE(YEAR(A723),MONTH(A723),1)</f>
        <v/>
      </c>
      <c r="C723" t="inlineStr">
        <is>
          <t>AI &amp; Big Data</t>
        </is>
      </c>
      <c r="D723" t="inlineStr">
        <is>
          <t>PAC</t>
        </is>
      </c>
      <c r="E723" s="44">
        <f>IFERROR(VLOOKUP(C723,Assets!$A:$F,6,FALSE),0)</f>
        <v/>
      </c>
      <c r="F723" t="inlineStr">
        <is>
          <t>Auto</t>
        </is>
      </c>
      <c r="G723" s="44" t="n"/>
      <c r="H723" s="44">
        <f>IF(F723="No",0,IF(F723="Edited",IF(G723="",E723,G723),E723))</f>
        <v/>
      </c>
    </row>
    <row r="724">
      <c r="A724" s="41" t="n">
        <v>48853</v>
      </c>
      <c r="B724" s="32">
        <f>DATE(YEAR(A724),MONTH(A724),1)</f>
        <v/>
      </c>
      <c r="C724" t="inlineStr">
        <is>
          <t>Physical Gold</t>
        </is>
      </c>
      <c r="D724" t="inlineStr">
        <is>
          <t>PAC</t>
        </is>
      </c>
      <c r="E724" s="44">
        <f>IFERROR(VLOOKUP(C724,Assets!$A:$F,6,FALSE),0)</f>
        <v/>
      </c>
      <c r="F724" t="inlineStr">
        <is>
          <t>Auto</t>
        </is>
      </c>
      <c r="G724" s="44" t="n"/>
      <c r="H724" s="44">
        <f>IF(F724="No",0,IF(F724="Edited",IF(G724="",E724,G724),E724))</f>
        <v/>
      </c>
    </row>
    <row r="725">
      <c r="A725" s="41" t="n">
        <v>48853</v>
      </c>
      <c r="B725" s="32">
        <f>DATE(YEAR(A725),MONTH(A725),1)</f>
        <v/>
      </c>
      <c r="C725" t="inlineStr">
        <is>
          <t>Global Gov Bond</t>
        </is>
      </c>
      <c r="D725" t="inlineStr">
        <is>
          <t>PAC</t>
        </is>
      </c>
      <c r="E725" s="44">
        <f>IFERROR(VLOOKUP(C725,Assets!$A:$F,6,FALSE),0)</f>
        <v/>
      </c>
      <c r="F725" t="inlineStr">
        <is>
          <t>Auto</t>
        </is>
      </c>
      <c r="G725" s="44" t="n"/>
      <c r="H725" s="44">
        <f>IF(F725="No",0,IF(F725="Edited",IF(G725="",E725,G725),E725))</f>
        <v/>
      </c>
    </row>
    <row r="726">
      <c r="A726" s="41" t="n">
        <v>48853</v>
      </c>
      <c r="B726" s="32">
        <f>DATE(YEAR(A726),MONTH(A726),1)</f>
        <v/>
      </c>
      <c r="C726" t="inlineStr">
        <is>
          <t>Core EUR Corp Bond</t>
        </is>
      </c>
      <c r="D726" t="inlineStr">
        <is>
          <t>PAC</t>
        </is>
      </c>
      <c r="E726" s="44">
        <f>IFERROR(VLOOKUP(C726,Assets!$A:$F,6,FALSE),0)</f>
        <v/>
      </c>
      <c r="F726" t="inlineStr">
        <is>
          <t>Auto</t>
        </is>
      </c>
      <c r="G726" s="44" t="n"/>
      <c r="H726" s="44">
        <f>IF(F726="No",0,IF(F726="Edited",IF(G726="",E726,G726),E726))</f>
        <v/>
      </c>
    </row>
    <row r="727">
      <c r="A727" s="41" t="n">
        <v>48853</v>
      </c>
      <c r="B727" s="32">
        <f>DATE(YEAR(A727),MONTH(A727),1)</f>
        <v/>
      </c>
      <c r="C727" t="inlineStr">
        <is>
          <t>MSCI World Value</t>
        </is>
      </c>
      <c r="D727" t="inlineStr">
        <is>
          <t>PAC</t>
        </is>
      </c>
      <c r="E727" s="44">
        <f>IFERROR(VLOOKUP(C727,Assets!$A:$F,6,FALSE),0)</f>
        <v/>
      </c>
      <c r="F727" t="inlineStr">
        <is>
          <t>Auto</t>
        </is>
      </c>
      <c r="G727" s="44" t="n"/>
      <c r="H727" s="44">
        <f>IF(F727="No",0,IF(F727="Edited",IF(G727="",E727,G727),E727))</f>
        <v/>
      </c>
    </row>
    <row r="728">
      <c r="A728" s="41" t="n">
        <v>48853</v>
      </c>
      <c r="B728" s="32">
        <f>DATE(YEAR(A728),MONTH(A728),1)</f>
        <v/>
      </c>
      <c r="C728" t="inlineStr">
        <is>
          <t>MSCI EM</t>
        </is>
      </c>
      <c r="D728" t="inlineStr">
        <is>
          <t>PAC</t>
        </is>
      </c>
      <c r="E728" s="44">
        <f>IFERROR(VLOOKUP(C728,Assets!$A:$F,6,FALSE),0)</f>
        <v/>
      </c>
      <c r="F728" t="inlineStr">
        <is>
          <t>Auto</t>
        </is>
      </c>
      <c r="G728" s="44" t="n"/>
      <c r="H728" s="44">
        <f>IF(F728="No",0,IF(F728="Edited",IF(G728="",E728,G728),E728))</f>
        <v/>
      </c>
    </row>
    <row r="729">
      <c r="A729" s="41" t="n">
        <v>48853</v>
      </c>
      <c r="B729" s="32">
        <f>DATE(YEAR(A729),MONTH(A729),1)</f>
        <v/>
      </c>
      <c r="C729" t="inlineStr">
        <is>
          <t>Defence Tech</t>
        </is>
      </c>
      <c r="D729" t="inlineStr">
        <is>
          <t>PAC</t>
        </is>
      </c>
      <c r="E729" s="44">
        <f>IFERROR(VLOOKUP(C729,Assets!$A:$F,6,FALSE),0)</f>
        <v/>
      </c>
      <c r="F729" t="inlineStr">
        <is>
          <t>Auto</t>
        </is>
      </c>
      <c r="G729" s="44" t="n"/>
      <c r="H729" s="44">
        <f>IF(F729="No",0,IF(F729="Edited",IF(G729="",E729,G729),E729))</f>
        <v/>
      </c>
    </row>
    <row r="730">
      <c r="A730" s="41" t="n">
        <v>48884</v>
      </c>
      <c r="B730" s="32">
        <f>DATE(YEAR(A730),MONTH(A730),1)</f>
        <v/>
      </c>
      <c r="C730" t="inlineStr">
        <is>
          <t>Core MSCI World</t>
        </is>
      </c>
      <c r="D730" t="inlineStr">
        <is>
          <t>PAC</t>
        </is>
      </c>
      <c r="E730" s="44">
        <f>IFERROR(VLOOKUP(C730,Assets!$A:$F,6,FALSE),0)</f>
        <v/>
      </c>
      <c r="F730" t="inlineStr">
        <is>
          <t>Auto</t>
        </is>
      </c>
      <c r="G730" s="44" t="n"/>
      <c r="H730" s="44">
        <f>IF(F730="No",0,IF(F730="Edited",IF(G730="",E730,G730),E730))</f>
        <v/>
      </c>
    </row>
    <row r="731">
      <c r="A731" s="41" t="n">
        <v>48884</v>
      </c>
      <c r="B731" s="32">
        <f>DATE(YEAR(A731),MONTH(A731),1)</f>
        <v/>
      </c>
      <c r="C731" t="inlineStr">
        <is>
          <t>AI &amp; Big Data</t>
        </is>
      </c>
      <c r="D731" t="inlineStr">
        <is>
          <t>PAC</t>
        </is>
      </c>
      <c r="E731" s="44">
        <f>IFERROR(VLOOKUP(C731,Assets!$A:$F,6,FALSE),0)</f>
        <v/>
      </c>
      <c r="F731" t="inlineStr">
        <is>
          <t>Auto</t>
        </is>
      </c>
      <c r="G731" s="44" t="n"/>
      <c r="H731" s="44">
        <f>IF(F731="No",0,IF(F731="Edited",IF(G731="",E731,G731),E731))</f>
        <v/>
      </c>
    </row>
    <row r="732">
      <c r="A732" s="41" t="n">
        <v>48884</v>
      </c>
      <c r="B732" s="32">
        <f>DATE(YEAR(A732),MONTH(A732),1)</f>
        <v/>
      </c>
      <c r="C732" t="inlineStr">
        <is>
          <t>Physical Gold</t>
        </is>
      </c>
      <c r="D732" t="inlineStr">
        <is>
          <t>PAC</t>
        </is>
      </c>
      <c r="E732" s="44">
        <f>IFERROR(VLOOKUP(C732,Assets!$A:$F,6,FALSE),0)</f>
        <v/>
      </c>
      <c r="F732" t="inlineStr">
        <is>
          <t>Auto</t>
        </is>
      </c>
      <c r="G732" s="44" t="n"/>
      <c r="H732" s="44">
        <f>IF(F732="No",0,IF(F732="Edited",IF(G732="",E732,G732),E732))</f>
        <v/>
      </c>
    </row>
    <row r="733">
      <c r="A733" s="41" t="n">
        <v>48884</v>
      </c>
      <c r="B733" s="32">
        <f>DATE(YEAR(A733),MONTH(A733),1)</f>
        <v/>
      </c>
      <c r="C733" t="inlineStr">
        <is>
          <t>Global Gov Bond</t>
        </is>
      </c>
      <c r="D733" t="inlineStr">
        <is>
          <t>PAC</t>
        </is>
      </c>
      <c r="E733" s="44">
        <f>IFERROR(VLOOKUP(C733,Assets!$A:$F,6,FALSE),0)</f>
        <v/>
      </c>
      <c r="F733" t="inlineStr">
        <is>
          <t>Auto</t>
        </is>
      </c>
      <c r="G733" s="44" t="n"/>
      <c r="H733" s="44">
        <f>IF(F733="No",0,IF(F733="Edited",IF(G733="",E733,G733),E733))</f>
        <v/>
      </c>
    </row>
    <row r="734">
      <c r="A734" s="41" t="n">
        <v>48884</v>
      </c>
      <c r="B734" s="32">
        <f>DATE(YEAR(A734),MONTH(A734),1)</f>
        <v/>
      </c>
      <c r="C734" t="inlineStr">
        <is>
          <t>Core EUR Corp Bond</t>
        </is>
      </c>
      <c r="D734" t="inlineStr">
        <is>
          <t>PAC</t>
        </is>
      </c>
      <c r="E734" s="44">
        <f>IFERROR(VLOOKUP(C734,Assets!$A:$F,6,FALSE),0)</f>
        <v/>
      </c>
      <c r="F734" t="inlineStr">
        <is>
          <t>Auto</t>
        </is>
      </c>
      <c r="G734" s="44" t="n"/>
      <c r="H734" s="44">
        <f>IF(F734="No",0,IF(F734="Edited",IF(G734="",E734,G734),E734))</f>
        <v/>
      </c>
    </row>
    <row r="735">
      <c r="A735" s="41" t="n">
        <v>48884</v>
      </c>
      <c r="B735" s="32">
        <f>DATE(YEAR(A735),MONTH(A735),1)</f>
        <v/>
      </c>
      <c r="C735" t="inlineStr">
        <is>
          <t>MSCI World Value</t>
        </is>
      </c>
      <c r="D735" t="inlineStr">
        <is>
          <t>PAC</t>
        </is>
      </c>
      <c r="E735" s="44">
        <f>IFERROR(VLOOKUP(C735,Assets!$A:$F,6,FALSE),0)</f>
        <v/>
      </c>
      <c r="F735" t="inlineStr">
        <is>
          <t>Auto</t>
        </is>
      </c>
      <c r="G735" s="44" t="n"/>
      <c r="H735" s="44">
        <f>IF(F735="No",0,IF(F735="Edited",IF(G735="",E735,G735),E735))</f>
        <v/>
      </c>
    </row>
    <row r="736">
      <c r="A736" s="41" t="n">
        <v>48884</v>
      </c>
      <c r="B736" s="32">
        <f>DATE(YEAR(A736),MONTH(A736),1)</f>
        <v/>
      </c>
      <c r="C736" t="inlineStr">
        <is>
          <t>MSCI EM</t>
        </is>
      </c>
      <c r="D736" t="inlineStr">
        <is>
          <t>PAC</t>
        </is>
      </c>
      <c r="E736" s="44">
        <f>IFERROR(VLOOKUP(C736,Assets!$A:$F,6,FALSE),0)</f>
        <v/>
      </c>
      <c r="F736" t="inlineStr">
        <is>
          <t>Auto</t>
        </is>
      </c>
      <c r="G736" s="44" t="n"/>
      <c r="H736" s="44">
        <f>IF(F736="No",0,IF(F736="Edited",IF(G736="",E736,G736),E736))</f>
        <v/>
      </c>
    </row>
    <row r="737">
      <c r="A737" s="41" t="n">
        <v>48884</v>
      </c>
      <c r="B737" s="32">
        <f>DATE(YEAR(A737),MONTH(A737),1)</f>
        <v/>
      </c>
      <c r="C737" t="inlineStr">
        <is>
          <t>Defence Tech</t>
        </is>
      </c>
      <c r="D737" t="inlineStr">
        <is>
          <t>PAC</t>
        </is>
      </c>
      <c r="E737" s="44">
        <f>IFERROR(VLOOKUP(C737,Assets!$A:$F,6,FALSE),0)</f>
        <v/>
      </c>
      <c r="F737" t="inlineStr">
        <is>
          <t>Auto</t>
        </is>
      </c>
      <c r="G737" s="44" t="n"/>
      <c r="H737" s="44">
        <f>IF(F737="No",0,IF(F737="Edited",IF(G737="",E737,G737),E737))</f>
        <v/>
      </c>
    </row>
    <row r="738">
      <c r="A738" s="41" t="n">
        <v>48914</v>
      </c>
      <c r="B738" s="32">
        <f>DATE(YEAR(A738),MONTH(A738),1)</f>
        <v/>
      </c>
      <c r="C738" t="inlineStr">
        <is>
          <t>Core MSCI World</t>
        </is>
      </c>
      <c r="D738" t="inlineStr">
        <is>
          <t>PAC</t>
        </is>
      </c>
      <c r="E738" s="44">
        <f>IFERROR(VLOOKUP(C738,Assets!$A:$F,6,FALSE),0)</f>
        <v/>
      </c>
      <c r="F738" t="inlineStr">
        <is>
          <t>Auto</t>
        </is>
      </c>
      <c r="G738" s="44" t="n"/>
      <c r="H738" s="44">
        <f>IF(F738="No",0,IF(F738="Edited",IF(G738="",E738,G738),E738))</f>
        <v/>
      </c>
    </row>
    <row r="739">
      <c r="A739" s="41" t="n">
        <v>48914</v>
      </c>
      <c r="B739" s="32">
        <f>DATE(YEAR(A739),MONTH(A739),1)</f>
        <v/>
      </c>
      <c r="C739" t="inlineStr">
        <is>
          <t>AI &amp; Big Data</t>
        </is>
      </c>
      <c r="D739" t="inlineStr">
        <is>
          <t>PAC</t>
        </is>
      </c>
      <c r="E739" s="44">
        <f>IFERROR(VLOOKUP(C739,Assets!$A:$F,6,FALSE),0)</f>
        <v/>
      </c>
      <c r="F739" t="inlineStr">
        <is>
          <t>Auto</t>
        </is>
      </c>
      <c r="G739" s="44" t="n"/>
      <c r="H739" s="44">
        <f>IF(F739="No",0,IF(F739="Edited",IF(G739="",E739,G739),E739))</f>
        <v/>
      </c>
    </row>
    <row r="740">
      <c r="A740" s="41" t="n">
        <v>48914</v>
      </c>
      <c r="B740" s="32">
        <f>DATE(YEAR(A740),MONTH(A740),1)</f>
        <v/>
      </c>
      <c r="C740" t="inlineStr">
        <is>
          <t>Physical Gold</t>
        </is>
      </c>
      <c r="D740" t="inlineStr">
        <is>
          <t>PAC</t>
        </is>
      </c>
      <c r="E740" s="44">
        <f>IFERROR(VLOOKUP(C740,Assets!$A:$F,6,FALSE),0)</f>
        <v/>
      </c>
      <c r="F740" t="inlineStr">
        <is>
          <t>Auto</t>
        </is>
      </c>
      <c r="G740" s="44" t="n"/>
      <c r="H740" s="44">
        <f>IF(F740="No",0,IF(F740="Edited",IF(G740="",E740,G740),E740))</f>
        <v/>
      </c>
    </row>
    <row r="741">
      <c r="A741" s="41" t="n">
        <v>48914</v>
      </c>
      <c r="B741" s="32">
        <f>DATE(YEAR(A741),MONTH(A741),1)</f>
        <v/>
      </c>
      <c r="C741" t="inlineStr">
        <is>
          <t>Global Gov Bond</t>
        </is>
      </c>
      <c r="D741" t="inlineStr">
        <is>
          <t>PAC</t>
        </is>
      </c>
      <c r="E741" s="44">
        <f>IFERROR(VLOOKUP(C741,Assets!$A:$F,6,FALSE),0)</f>
        <v/>
      </c>
      <c r="F741" t="inlineStr">
        <is>
          <t>Auto</t>
        </is>
      </c>
      <c r="G741" s="44" t="n"/>
      <c r="H741" s="44">
        <f>IF(F741="No",0,IF(F741="Edited",IF(G741="",E741,G741),E741))</f>
        <v/>
      </c>
    </row>
    <row r="742">
      <c r="A742" s="41" t="n">
        <v>48914</v>
      </c>
      <c r="B742" s="32">
        <f>DATE(YEAR(A742),MONTH(A742),1)</f>
        <v/>
      </c>
      <c r="C742" t="inlineStr">
        <is>
          <t>Core EUR Corp Bond</t>
        </is>
      </c>
      <c r="D742" t="inlineStr">
        <is>
          <t>PAC</t>
        </is>
      </c>
      <c r="E742" s="44">
        <f>IFERROR(VLOOKUP(C742,Assets!$A:$F,6,FALSE),0)</f>
        <v/>
      </c>
      <c r="F742" t="inlineStr">
        <is>
          <t>Auto</t>
        </is>
      </c>
      <c r="G742" s="44" t="n"/>
      <c r="H742" s="44">
        <f>IF(F742="No",0,IF(F742="Edited",IF(G742="",E742,G742),E742))</f>
        <v/>
      </c>
    </row>
    <row r="743">
      <c r="A743" s="41" t="n">
        <v>48914</v>
      </c>
      <c r="B743" s="32">
        <f>DATE(YEAR(A743),MONTH(A743),1)</f>
        <v/>
      </c>
      <c r="C743" t="inlineStr">
        <is>
          <t>MSCI World Value</t>
        </is>
      </c>
      <c r="D743" t="inlineStr">
        <is>
          <t>PAC</t>
        </is>
      </c>
      <c r="E743" s="44">
        <f>IFERROR(VLOOKUP(C743,Assets!$A:$F,6,FALSE),0)</f>
        <v/>
      </c>
      <c r="F743" t="inlineStr">
        <is>
          <t>Auto</t>
        </is>
      </c>
      <c r="G743" s="44" t="n"/>
      <c r="H743" s="44">
        <f>IF(F743="No",0,IF(F743="Edited",IF(G743="",E743,G743),E743))</f>
        <v/>
      </c>
    </row>
    <row r="744">
      <c r="A744" s="41" t="n">
        <v>48914</v>
      </c>
      <c r="B744" s="32">
        <f>DATE(YEAR(A744),MONTH(A744),1)</f>
        <v/>
      </c>
      <c r="C744" t="inlineStr">
        <is>
          <t>MSCI EM</t>
        </is>
      </c>
      <c r="D744" t="inlineStr">
        <is>
          <t>PAC</t>
        </is>
      </c>
      <c r="E744" s="44">
        <f>IFERROR(VLOOKUP(C744,Assets!$A:$F,6,FALSE),0)</f>
        <v/>
      </c>
      <c r="F744" t="inlineStr">
        <is>
          <t>Auto</t>
        </is>
      </c>
      <c r="G744" s="44" t="n"/>
      <c r="H744" s="44">
        <f>IF(F744="No",0,IF(F744="Edited",IF(G744="",E744,G744),E744))</f>
        <v/>
      </c>
    </row>
    <row r="745">
      <c r="A745" s="41" t="n">
        <v>48914</v>
      </c>
      <c r="B745" s="32">
        <f>DATE(YEAR(A745),MONTH(A745),1)</f>
        <v/>
      </c>
      <c r="C745" t="inlineStr">
        <is>
          <t>Defence Tech</t>
        </is>
      </c>
      <c r="D745" t="inlineStr">
        <is>
          <t>PAC</t>
        </is>
      </c>
      <c r="E745" s="44">
        <f>IFERROR(VLOOKUP(C745,Assets!$A:$F,6,FALSE),0)</f>
        <v/>
      </c>
      <c r="F745" t="inlineStr">
        <is>
          <t>Auto</t>
        </is>
      </c>
      <c r="G745" s="44" t="n"/>
      <c r="H745" s="44">
        <f>IF(F745="No",0,IF(F745="Edited",IF(G745="",E745,G745),E745))</f>
        <v/>
      </c>
    </row>
    <row r="746">
      <c r="A746" s="41" t="n">
        <v>48945</v>
      </c>
      <c r="B746" s="32">
        <f>DATE(YEAR(A746),MONTH(A746),1)</f>
        <v/>
      </c>
      <c r="C746" t="inlineStr">
        <is>
          <t>Core MSCI World</t>
        </is>
      </c>
      <c r="D746" t="inlineStr">
        <is>
          <t>PAC</t>
        </is>
      </c>
      <c r="E746" s="44">
        <f>IFERROR(VLOOKUP(C746,Assets!$A:$F,6,FALSE),0)</f>
        <v/>
      </c>
      <c r="F746" t="inlineStr">
        <is>
          <t>Auto</t>
        </is>
      </c>
      <c r="G746" s="44" t="n"/>
      <c r="H746" s="44">
        <f>IF(F746="No",0,IF(F746="Edited",IF(G746="",E746,G746),E746))</f>
        <v/>
      </c>
    </row>
    <row r="747">
      <c r="A747" s="41" t="n">
        <v>48945</v>
      </c>
      <c r="B747" s="32">
        <f>DATE(YEAR(A747),MONTH(A747),1)</f>
        <v/>
      </c>
      <c r="C747" t="inlineStr">
        <is>
          <t>AI &amp; Big Data</t>
        </is>
      </c>
      <c r="D747" t="inlineStr">
        <is>
          <t>PAC</t>
        </is>
      </c>
      <c r="E747" s="44">
        <f>IFERROR(VLOOKUP(C747,Assets!$A:$F,6,FALSE),0)</f>
        <v/>
      </c>
      <c r="F747" t="inlineStr">
        <is>
          <t>Auto</t>
        </is>
      </c>
      <c r="G747" s="44" t="n"/>
      <c r="H747" s="44">
        <f>IF(F747="No",0,IF(F747="Edited",IF(G747="",E747,G747),E747))</f>
        <v/>
      </c>
    </row>
    <row r="748">
      <c r="A748" s="41" t="n">
        <v>48945</v>
      </c>
      <c r="B748" s="32">
        <f>DATE(YEAR(A748),MONTH(A748),1)</f>
        <v/>
      </c>
      <c r="C748" t="inlineStr">
        <is>
          <t>Physical Gold</t>
        </is>
      </c>
      <c r="D748" t="inlineStr">
        <is>
          <t>PAC</t>
        </is>
      </c>
      <c r="E748" s="44">
        <f>IFERROR(VLOOKUP(C748,Assets!$A:$F,6,FALSE),0)</f>
        <v/>
      </c>
      <c r="F748" t="inlineStr">
        <is>
          <t>Auto</t>
        </is>
      </c>
      <c r="G748" s="44" t="n"/>
      <c r="H748" s="44">
        <f>IF(F748="No",0,IF(F748="Edited",IF(G748="",E748,G748),E748))</f>
        <v/>
      </c>
    </row>
    <row r="749">
      <c r="A749" s="41" t="n">
        <v>48945</v>
      </c>
      <c r="B749" s="32">
        <f>DATE(YEAR(A749),MONTH(A749),1)</f>
        <v/>
      </c>
      <c r="C749" t="inlineStr">
        <is>
          <t>Global Gov Bond</t>
        </is>
      </c>
      <c r="D749" t="inlineStr">
        <is>
          <t>PAC</t>
        </is>
      </c>
      <c r="E749" s="44">
        <f>IFERROR(VLOOKUP(C749,Assets!$A:$F,6,FALSE),0)</f>
        <v/>
      </c>
      <c r="F749" t="inlineStr">
        <is>
          <t>Auto</t>
        </is>
      </c>
      <c r="G749" s="44" t="n"/>
      <c r="H749" s="44">
        <f>IF(F749="No",0,IF(F749="Edited",IF(G749="",E749,G749),E749))</f>
        <v/>
      </c>
    </row>
    <row r="750">
      <c r="A750" s="41" t="n">
        <v>48945</v>
      </c>
      <c r="B750" s="32">
        <f>DATE(YEAR(A750),MONTH(A750),1)</f>
        <v/>
      </c>
      <c r="C750" t="inlineStr">
        <is>
          <t>Core EUR Corp Bond</t>
        </is>
      </c>
      <c r="D750" t="inlineStr">
        <is>
          <t>PAC</t>
        </is>
      </c>
      <c r="E750" s="44">
        <f>IFERROR(VLOOKUP(C750,Assets!$A:$F,6,FALSE),0)</f>
        <v/>
      </c>
      <c r="F750" t="inlineStr">
        <is>
          <t>Auto</t>
        </is>
      </c>
      <c r="G750" s="44" t="n"/>
      <c r="H750" s="44">
        <f>IF(F750="No",0,IF(F750="Edited",IF(G750="",E750,G750),E750))</f>
        <v/>
      </c>
    </row>
    <row r="751">
      <c r="A751" s="41" t="n">
        <v>48945</v>
      </c>
      <c r="B751" s="32">
        <f>DATE(YEAR(A751),MONTH(A751),1)</f>
        <v/>
      </c>
      <c r="C751" t="inlineStr">
        <is>
          <t>MSCI World Value</t>
        </is>
      </c>
      <c r="D751" t="inlineStr">
        <is>
          <t>PAC</t>
        </is>
      </c>
      <c r="E751" s="44">
        <f>IFERROR(VLOOKUP(C751,Assets!$A:$F,6,FALSE),0)</f>
        <v/>
      </c>
      <c r="F751" t="inlineStr">
        <is>
          <t>Auto</t>
        </is>
      </c>
      <c r="G751" s="44" t="n"/>
      <c r="H751" s="44">
        <f>IF(F751="No",0,IF(F751="Edited",IF(G751="",E751,G751),E751))</f>
        <v/>
      </c>
    </row>
    <row r="752">
      <c r="A752" s="41" t="n">
        <v>48945</v>
      </c>
      <c r="B752" s="32">
        <f>DATE(YEAR(A752),MONTH(A752),1)</f>
        <v/>
      </c>
      <c r="C752" t="inlineStr">
        <is>
          <t>MSCI EM</t>
        </is>
      </c>
      <c r="D752" t="inlineStr">
        <is>
          <t>PAC</t>
        </is>
      </c>
      <c r="E752" s="44">
        <f>IFERROR(VLOOKUP(C752,Assets!$A:$F,6,FALSE),0)</f>
        <v/>
      </c>
      <c r="F752" t="inlineStr">
        <is>
          <t>Auto</t>
        </is>
      </c>
      <c r="G752" s="44" t="n"/>
      <c r="H752" s="44">
        <f>IF(F752="No",0,IF(F752="Edited",IF(G752="",E752,G752),E752))</f>
        <v/>
      </c>
    </row>
    <row r="753">
      <c r="A753" s="41" t="n">
        <v>48945</v>
      </c>
      <c r="B753" s="32">
        <f>DATE(YEAR(A753),MONTH(A753),1)</f>
        <v/>
      </c>
      <c r="C753" t="inlineStr">
        <is>
          <t>Defence Tech</t>
        </is>
      </c>
      <c r="D753" t="inlineStr">
        <is>
          <t>PAC</t>
        </is>
      </c>
      <c r="E753" s="44">
        <f>IFERROR(VLOOKUP(C753,Assets!$A:$F,6,FALSE),0)</f>
        <v/>
      </c>
      <c r="F753" t="inlineStr">
        <is>
          <t>Auto</t>
        </is>
      </c>
      <c r="G753" s="44" t="n"/>
      <c r="H753" s="44">
        <f>IF(F753="No",0,IF(F753="Edited",IF(G753="",E753,G753),E753))</f>
        <v/>
      </c>
    </row>
    <row r="754">
      <c r="A754" s="41" t="n">
        <v>48976</v>
      </c>
      <c r="B754" s="32">
        <f>DATE(YEAR(A754),MONTH(A754),1)</f>
        <v/>
      </c>
      <c r="C754" t="inlineStr">
        <is>
          <t>Core MSCI World</t>
        </is>
      </c>
      <c r="D754" t="inlineStr">
        <is>
          <t>PAC</t>
        </is>
      </c>
      <c r="E754" s="44">
        <f>IFERROR(VLOOKUP(C754,Assets!$A:$F,6,FALSE),0)</f>
        <v/>
      </c>
      <c r="F754" t="inlineStr">
        <is>
          <t>Auto</t>
        </is>
      </c>
      <c r="G754" s="44" t="n"/>
      <c r="H754" s="44">
        <f>IF(F754="No",0,IF(F754="Edited",IF(G754="",E754,G754),E754))</f>
        <v/>
      </c>
    </row>
    <row r="755">
      <c r="A755" s="41" t="n">
        <v>48976</v>
      </c>
      <c r="B755" s="32">
        <f>DATE(YEAR(A755),MONTH(A755),1)</f>
        <v/>
      </c>
      <c r="C755" t="inlineStr">
        <is>
          <t>AI &amp; Big Data</t>
        </is>
      </c>
      <c r="D755" t="inlineStr">
        <is>
          <t>PAC</t>
        </is>
      </c>
      <c r="E755" s="44">
        <f>IFERROR(VLOOKUP(C755,Assets!$A:$F,6,FALSE),0)</f>
        <v/>
      </c>
      <c r="F755" t="inlineStr">
        <is>
          <t>Auto</t>
        </is>
      </c>
      <c r="G755" s="44" t="n"/>
      <c r="H755" s="44">
        <f>IF(F755="No",0,IF(F755="Edited",IF(G755="",E755,G755),E755))</f>
        <v/>
      </c>
    </row>
    <row r="756">
      <c r="A756" s="41" t="n">
        <v>48976</v>
      </c>
      <c r="B756" s="32">
        <f>DATE(YEAR(A756),MONTH(A756),1)</f>
        <v/>
      </c>
      <c r="C756" t="inlineStr">
        <is>
          <t>Physical Gold</t>
        </is>
      </c>
      <c r="D756" t="inlineStr">
        <is>
          <t>PAC</t>
        </is>
      </c>
      <c r="E756" s="44">
        <f>IFERROR(VLOOKUP(C756,Assets!$A:$F,6,FALSE),0)</f>
        <v/>
      </c>
      <c r="F756" t="inlineStr">
        <is>
          <t>Auto</t>
        </is>
      </c>
      <c r="G756" s="44" t="n"/>
      <c r="H756" s="44">
        <f>IF(F756="No",0,IF(F756="Edited",IF(G756="",E756,G756),E756))</f>
        <v/>
      </c>
    </row>
    <row r="757">
      <c r="A757" s="41" t="n">
        <v>48976</v>
      </c>
      <c r="B757" s="32">
        <f>DATE(YEAR(A757),MONTH(A757),1)</f>
        <v/>
      </c>
      <c r="C757" t="inlineStr">
        <is>
          <t>Global Gov Bond</t>
        </is>
      </c>
      <c r="D757" t="inlineStr">
        <is>
          <t>PAC</t>
        </is>
      </c>
      <c r="E757" s="44">
        <f>IFERROR(VLOOKUP(C757,Assets!$A:$F,6,FALSE),0)</f>
        <v/>
      </c>
      <c r="F757" t="inlineStr">
        <is>
          <t>Auto</t>
        </is>
      </c>
      <c r="G757" s="44" t="n"/>
      <c r="H757" s="44">
        <f>IF(F757="No",0,IF(F757="Edited",IF(G757="",E757,G757),E757))</f>
        <v/>
      </c>
    </row>
    <row r="758">
      <c r="A758" s="41" t="n">
        <v>48976</v>
      </c>
      <c r="B758" s="32">
        <f>DATE(YEAR(A758),MONTH(A758),1)</f>
        <v/>
      </c>
      <c r="C758" t="inlineStr">
        <is>
          <t>Core EUR Corp Bond</t>
        </is>
      </c>
      <c r="D758" t="inlineStr">
        <is>
          <t>PAC</t>
        </is>
      </c>
      <c r="E758" s="44">
        <f>IFERROR(VLOOKUP(C758,Assets!$A:$F,6,FALSE),0)</f>
        <v/>
      </c>
      <c r="F758" t="inlineStr">
        <is>
          <t>Auto</t>
        </is>
      </c>
      <c r="G758" s="44" t="n"/>
      <c r="H758" s="44">
        <f>IF(F758="No",0,IF(F758="Edited",IF(G758="",E758,G758),E758))</f>
        <v/>
      </c>
    </row>
    <row r="759">
      <c r="A759" s="41" t="n">
        <v>48976</v>
      </c>
      <c r="B759" s="32">
        <f>DATE(YEAR(A759),MONTH(A759),1)</f>
        <v/>
      </c>
      <c r="C759" t="inlineStr">
        <is>
          <t>MSCI World Value</t>
        </is>
      </c>
      <c r="D759" t="inlineStr">
        <is>
          <t>PAC</t>
        </is>
      </c>
      <c r="E759" s="44">
        <f>IFERROR(VLOOKUP(C759,Assets!$A:$F,6,FALSE),0)</f>
        <v/>
      </c>
      <c r="F759" t="inlineStr">
        <is>
          <t>Auto</t>
        </is>
      </c>
      <c r="G759" s="44" t="n"/>
      <c r="H759" s="44">
        <f>IF(F759="No",0,IF(F759="Edited",IF(G759="",E759,G759),E759))</f>
        <v/>
      </c>
    </row>
    <row r="760">
      <c r="A760" s="41" t="n">
        <v>48976</v>
      </c>
      <c r="B760" s="32">
        <f>DATE(YEAR(A760),MONTH(A760),1)</f>
        <v/>
      </c>
      <c r="C760" t="inlineStr">
        <is>
          <t>MSCI EM</t>
        </is>
      </c>
      <c r="D760" t="inlineStr">
        <is>
          <t>PAC</t>
        </is>
      </c>
      <c r="E760" s="44">
        <f>IFERROR(VLOOKUP(C760,Assets!$A:$F,6,FALSE),0)</f>
        <v/>
      </c>
      <c r="F760" t="inlineStr">
        <is>
          <t>Auto</t>
        </is>
      </c>
      <c r="G760" s="44" t="n"/>
      <c r="H760" s="44">
        <f>IF(F760="No",0,IF(F760="Edited",IF(G760="",E760,G760),E760))</f>
        <v/>
      </c>
    </row>
    <row r="761">
      <c r="A761" s="41" t="n">
        <v>48976</v>
      </c>
      <c r="B761" s="32">
        <f>DATE(YEAR(A761),MONTH(A761),1)</f>
        <v/>
      </c>
      <c r="C761" t="inlineStr">
        <is>
          <t>Defence Tech</t>
        </is>
      </c>
      <c r="D761" t="inlineStr">
        <is>
          <t>PAC</t>
        </is>
      </c>
      <c r="E761" s="44">
        <f>IFERROR(VLOOKUP(C761,Assets!$A:$F,6,FALSE),0)</f>
        <v/>
      </c>
      <c r="F761" t="inlineStr">
        <is>
          <t>Auto</t>
        </is>
      </c>
      <c r="G761" s="44" t="n"/>
      <c r="H761" s="44">
        <f>IF(F761="No",0,IF(F761="Edited",IF(G761="",E761,G761),E761))</f>
        <v/>
      </c>
    </row>
    <row r="762">
      <c r="A762" s="41" t="n">
        <v>49004</v>
      </c>
      <c r="B762" s="32">
        <f>DATE(YEAR(A762),MONTH(A762),1)</f>
        <v/>
      </c>
      <c r="C762" t="inlineStr">
        <is>
          <t>Core MSCI World</t>
        </is>
      </c>
      <c r="D762" t="inlineStr">
        <is>
          <t>PAC</t>
        </is>
      </c>
      <c r="E762" s="44">
        <f>IFERROR(VLOOKUP(C762,Assets!$A:$F,6,FALSE),0)</f>
        <v/>
      </c>
      <c r="F762" t="inlineStr">
        <is>
          <t>Auto</t>
        </is>
      </c>
      <c r="G762" s="44" t="n"/>
      <c r="H762" s="44">
        <f>IF(F762="No",0,IF(F762="Edited",IF(G762="",E762,G762),E762))</f>
        <v/>
      </c>
    </row>
    <row r="763">
      <c r="A763" s="41" t="n">
        <v>49004</v>
      </c>
      <c r="B763" s="32">
        <f>DATE(YEAR(A763),MONTH(A763),1)</f>
        <v/>
      </c>
      <c r="C763" t="inlineStr">
        <is>
          <t>AI &amp; Big Data</t>
        </is>
      </c>
      <c r="D763" t="inlineStr">
        <is>
          <t>PAC</t>
        </is>
      </c>
      <c r="E763" s="44">
        <f>IFERROR(VLOOKUP(C763,Assets!$A:$F,6,FALSE),0)</f>
        <v/>
      </c>
      <c r="F763" t="inlineStr">
        <is>
          <t>Auto</t>
        </is>
      </c>
      <c r="G763" s="44" t="n"/>
      <c r="H763" s="44">
        <f>IF(F763="No",0,IF(F763="Edited",IF(G763="",E763,G763),E763))</f>
        <v/>
      </c>
    </row>
    <row r="764">
      <c r="A764" s="41" t="n">
        <v>49004</v>
      </c>
      <c r="B764" s="32">
        <f>DATE(YEAR(A764),MONTH(A764),1)</f>
        <v/>
      </c>
      <c r="C764" t="inlineStr">
        <is>
          <t>Physical Gold</t>
        </is>
      </c>
      <c r="D764" t="inlineStr">
        <is>
          <t>PAC</t>
        </is>
      </c>
      <c r="E764" s="44">
        <f>IFERROR(VLOOKUP(C764,Assets!$A:$F,6,FALSE),0)</f>
        <v/>
      </c>
      <c r="F764" t="inlineStr">
        <is>
          <t>Auto</t>
        </is>
      </c>
      <c r="G764" s="44" t="n"/>
      <c r="H764" s="44">
        <f>IF(F764="No",0,IF(F764="Edited",IF(G764="",E764,G764),E764))</f>
        <v/>
      </c>
    </row>
    <row r="765">
      <c r="A765" s="41" t="n">
        <v>49004</v>
      </c>
      <c r="B765" s="32">
        <f>DATE(YEAR(A765),MONTH(A765),1)</f>
        <v/>
      </c>
      <c r="C765" t="inlineStr">
        <is>
          <t>Global Gov Bond</t>
        </is>
      </c>
      <c r="D765" t="inlineStr">
        <is>
          <t>PAC</t>
        </is>
      </c>
      <c r="E765" s="44">
        <f>IFERROR(VLOOKUP(C765,Assets!$A:$F,6,FALSE),0)</f>
        <v/>
      </c>
      <c r="F765" t="inlineStr">
        <is>
          <t>Auto</t>
        </is>
      </c>
      <c r="G765" s="44" t="n"/>
      <c r="H765" s="44">
        <f>IF(F765="No",0,IF(F765="Edited",IF(G765="",E765,G765),E765))</f>
        <v/>
      </c>
    </row>
    <row r="766">
      <c r="A766" s="41" t="n">
        <v>49004</v>
      </c>
      <c r="B766" s="32">
        <f>DATE(YEAR(A766),MONTH(A766),1)</f>
        <v/>
      </c>
      <c r="C766" t="inlineStr">
        <is>
          <t>Core EUR Corp Bond</t>
        </is>
      </c>
      <c r="D766" t="inlineStr">
        <is>
          <t>PAC</t>
        </is>
      </c>
      <c r="E766" s="44">
        <f>IFERROR(VLOOKUP(C766,Assets!$A:$F,6,FALSE),0)</f>
        <v/>
      </c>
      <c r="F766" t="inlineStr">
        <is>
          <t>Auto</t>
        </is>
      </c>
      <c r="G766" s="44" t="n"/>
      <c r="H766" s="44">
        <f>IF(F766="No",0,IF(F766="Edited",IF(G766="",E766,G766),E766))</f>
        <v/>
      </c>
    </row>
    <row r="767">
      <c r="A767" s="41" t="n">
        <v>49004</v>
      </c>
      <c r="B767" s="32">
        <f>DATE(YEAR(A767),MONTH(A767),1)</f>
        <v/>
      </c>
      <c r="C767" t="inlineStr">
        <is>
          <t>MSCI World Value</t>
        </is>
      </c>
      <c r="D767" t="inlineStr">
        <is>
          <t>PAC</t>
        </is>
      </c>
      <c r="E767" s="44">
        <f>IFERROR(VLOOKUP(C767,Assets!$A:$F,6,FALSE),0)</f>
        <v/>
      </c>
      <c r="F767" t="inlineStr">
        <is>
          <t>Auto</t>
        </is>
      </c>
      <c r="G767" s="44" t="n"/>
      <c r="H767" s="44">
        <f>IF(F767="No",0,IF(F767="Edited",IF(G767="",E767,G767),E767))</f>
        <v/>
      </c>
    </row>
    <row r="768">
      <c r="A768" s="41" t="n">
        <v>49004</v>
      </c>
      <c r="B768" s="32">
        <f>DATE(YEAR(A768),MONTH(A768),1)</f>
        <v/>
      </c>
      <c r="C768" t="inlineStr">
        <is>
          <t>MSCI EM</t>
        </is>
      </c>
      <c r="D768" t="inlineStr">
        <is>
          <t>PAC</t>
        </is>
      </c>
      <c r="E768" s="44">
        <f>IFERROR(VLOOKUP(C768,Assets!$A:$F,6,FALSE),0)</f>
        <v/>
      </c>
      <c r="F768" t="inlineStr">
        <is>
          <t>Auto</t>
        </is>
      </c>
      <c r="G768" s="44" t="n"/>
      <c r="H768" s="44">
        <f>IF(F768="No",0,IF(F768="Edited",IF(G768="",E768,G768),E768))</f>
        <v/>
      </c>
    </row>
    <row r="769">
      <c r="A769" s="41" t="n">
        <v>49004</v>
      </c>
      <c r="B769" s="32">
        <f>DATE(YEAR(A769),MONTH(A769),1)</f>
        <v/>
      </c>
      <c r="C769" t="inlineStr">
        <is>
          <t>Defence Tech</t>
        </is>
      </c>
      <c r="D769" t="inlineStr">
        <is>
          <t>PAC</t>
        </is>
      </c>
      <c r="E769" s="44">
        <f>IFERROR(VLOOKUP(C769,Assets!$A:$F,6,FALSE),0)</f>
        <v/>
      </c>
      <c r="F769" t="inlineStr">
        <is>
          <t>Auto</t>
        </is>
      </c>
      <c r="G769" s="44" t="n"/>
      <c r="H769" s="44">
        <f>IF(F769="No",0,IF(F769="Edited",IF(G769="",E769,G769),E769))</f>
        <v/>
      </c>
    </row>
    <row r="770">
      <c r="A770" s="41" t="n">
        <v>49035</v>
      </c>
      <c r="B770" s="32">
        <f>DATE(YEAR(A770),MONTH(A770),1)</f>
        <v/>
      </c>
      <c r="C770" t="inlineStr">
        <is>
          <t>Core MSCI World</t>
        </is>
      </c>
      <c r="D770" t="inlineStr">
        <is>
          <t>PAC</t>
        </is>
      </c>
      <c r="E770" s="44">
        <f>IFERROR(VLOOKUP(C770,Assets!$A:$F,6,FALSE),0)</f>
        <v/>
      </c>
      <c r="F770" t="inlineStr">
        <is>
          <t>Auto</t>
        </is>
      </c>
      <c r="G770" s="44" t="n"/>
      <c r="H770" s="44">
        <f>IF(F770="No",0,IF(F770="Edited",IF(G770="",E770,G770),E770))</f>
        <v/>
      </c>
    </row>
    <row r="771">
      <c r="A771" s="41" t="n">
        <v>49035</v>
      </c>
      <c r="B771" s="32">
        <f>DATE(YEAR(A771),MONTH(A771),1)</f>
        <v/>
      </c>
      <c r="C771" t="inlineStr">
        <is>
          <t>AI &amp; Big Data</t>
        </is>
      </c>
      <c r="D771" t="inlineStr">
        <is>
          <t>PAC</t>
        </is>
      </c>
      <c r="E771" s="44">
        <f>IFERROR(VLOOKUP(C771,Assets!$A:$F,6,FALSE),0)</f>
        <v/>
      </c>
      <c r="F771" t="inlineStr">
        <is>
          <t>Auto</t>
        </is>
      </c>
      <c r="G771" s="44" t="n"/>
      <c r="H771" s="44">
        <f>IF(F771="No",0,IF(F771="Edited",IF(G771="",E771,G771),E771))</f>
        <v/>
      </c>
    </row>
    <row r="772">
      <c r="A772" s="41" t="n">
        <v>49035</v>
      </c>
      <c r="B772" s="32">
        <f>DATE(YEAR(A772),MONTH(A772),1)</f>
        <v/>
      </c>
      <c r="C772" t="inlineStr">
        <is>
          <t>Physical Gold</t>
        </is>
      </c>
      <c r="D772" t="inlineStr">
        <is>
          <t>PAC</t>
        </is>
      </c>
      <c r="E772" s="44">
        <f>IFERROR(VLOOKUP(C772,Assets!$A:$F,6,FALSE),0)</f>
        <v/>
      </c>
      <c r="F772" t="inlineStr">
        <is>
          <t>Auto</t>
        </is>
      </c>
      <c r="G772" s="44" t="n"/>
      <c r="H772" s="44">
        <f>IF(F772="No",0,IF(F772="Edited",IF(G772="",E772,G772),E772))</f>
        <v/>
      </c>
    </row>
    <row r="773">
      <c r="A773" s="41" t="n">
        <v>49035</v>
      </c>
      <c r="B773" s="32">
        <f>DATE(YEAR(A773),MONTH(A773),1)</f>
        <v/>
      </c>
      <c r="C773" t="inlineStr">
        <is>
          <t>Global Gov Bond</t>
        </is>
      </c>
      <c r="D773" t="inlineStr">
        <is>
          <t>PAC</t>
        </is>
      </c>
      <c r="E773" s="44">
        <f>IFERROR(VLOOKUP(C773,Assets!$A:$F,6,FALSE),0)</f>
        <v/>
      </c>
      <c r="F773" t="inlineStr">
        <is>
          <t>Auto</t>
        </is>
      </c>
      <c r="G773" s="44" t="n"/>
      <c r="H773" s="44">
        <f>IF(F773="No",0,IF(F773="Edited",IF(G773="",E773,G773),E773))</f>
        <v/>
      </c>
    </row>
    <row r="774">
      <c r="A774" s="41" t="n">
        <v>49035</v>
      </c>
      <c r="B774" s="32">
        <f>DATE(YEAR(A774),MONTH(A774),1)</f>
        <v/>
      </c>
      <c r="C774" t="inlineStr">
        <is>
          <t>Core EUR Corp Bond</t>
        </is>
      </c>
      <c r="D774" t="inlineStr">
        <is>
          <t>PAC</t>
        </is>
      </c>
      <c r="E774" s="44">
        <f>IFERROR(VLOOKUP(C774,Assets!$A:$F,6,FALSE),0)</f>
        <v/>
      </c>
      <c r="F774" t="inlineStr">
        <is>
          <t>Auto</t>
        </is>
      </c>
      <c r="G774" s="44" t="n"/>
      <c r="H774" s="44">
        <f>IF(F774="No",0,IF(F774="Edited",IF(G774="",E774,G774),E774))</f>
        <v/>
      </c>
    </row>
    <row r="775">
      <c r="A775" s="41" t="n">
        <v>49035</v>
      </c>
      <c r="B775" s="32">
        <f>DATE(YEAR(A775),MONTH(A775),1)</f>
        <v/>
      </c>
      <c r="C775" t="inlineStr">
        <is>
          <t>MSCI World Value</t>
        </is>
      </c>
      <c r="D775" t="inlineStr">
        <is>
          <t>PAC</t>
        </is>
      </c>
      <c r="E775" s="44">
        <f>IFERROR(VLOOKUP(C775,Assets!$A:$F,6,FALSE),0)</f>
        <v/>
      </c>
      <c r="F775" t="inlineStr">
        <is>
          <t>Auto</t>
        </is>
      </c>
      <c r="G775" s="44" t="n"/>
      <c r="H775" s="44">
        <f>IF(F775="No",0,IF(F775="Edited",IF(G775="",E775,G775),E775))</f>
        <v/>
      </c>
    </row>
    <row r="776">
      <c r="A776" s="41" t="n">
        <v>49035</v>
      </c>
      <c r="B776" s="32">
        <f>DATE(YEAR(A776),MONTH(A776),1)</f>
        <v/>
      </c>
      <c r="C776" t="inlineStr">
        <is>
          <t>MSCI EM</t>
        </is>
      </c>
      <c r="D776" t="inlineStr">
        <is>
          <t>PAC</t>
        </is>
      </c>
      <c r="E776" s="44">
        <f>IFERROR(VLOOKUP(C776,Assets!$A:$F,6,FALSE),0)</f>
        <v/>
      </c>
      <c r="F776" t="inlineStr">
        <is>
          <t>Auto</t>
        </is>
      </c>
      <c r="G776" s="44" t="n"/>
      <c r="H776" s="44">
        <f>IF(F776="No",0,IF(F776="Edited",IF(G776="",E776,G776),E776))</f>
        <v/>
      </c>
    </row>
    <row r="777">
      <c r="A777" s="41" t="n">
        <v>49035</v>
      </c>
      <c r="B777" s="32">
        <f>DATE(YEAR(A777),MONTH(A777),1)</f>
        <v/>
      </c>
      <c r="C777" t="inlineStr">
        <is>
          <t>Defence Tech</t>
        </is>
      </c>
      <c r="D777" t="inlineStr">
        <is>
          <t>PAC</t>
        </is>
      </c>
      <c r="E777" s="44">
        <f>IFERROR(VLOOKUP(C777,Assets!$A:$F,6,FALSE),0)</f>
        <v/>
      </c>
      <c r="F777" t="inlineStr">
        <is>
          <t>Auto</t>
        </is>
      </c>
      <c r="G777" s="44" t="n"/>
      <c r="H777" s="44">
        <f>IF(F777="No",0,IF(F777="Edited",IF(G777="",E777,G777),E777))</f>
        <v/>
      </c>
    </row>
    <row r="778">
      <c r="A778" s="41" t="n">
        <v>49065</v>
      </c>
      <c r="B778" s="32">
        <f>DATE(YEAR(A778),MONTH(A778),1)</f>
        <v/>
      </c>
      <c r="C778" t="inlineStr">
        <is>
          <t>Core MSCI World</t>
        </is>
      </c>
      <c r="D778" t="inlineStr">
        <is>
          <t>PAC</t>
        </is>
      </c>
      <c r="E778" s="44">
        <f>IFERROR(VLOOKUP(C778,Assets!$A:$F,6,FALSE),0)</f>
        <v/>
      </c>
      <c r="F778" t="inlineStr">
        <is>
          <t>Auto</t>
        </is>
      </c>
      <c r="G778" s="44" t="n"/>
      <c r="H778" s="44">
        <f>IF(F778="No",0,IF(F778="Edited",IF(G778="",E778,G778),E778))</f>
        <v/>
      </c>
    </row>
    <row r="779">
      <c r="A779" s="41" t="n">
        <v>49065</v>
      </c>
      <c r="B779" s="32">
        <f>DATE(YEAR(A779),MONTH(A779),1)</f>
        <v/>
      </c>
      <c r="C779" t="inlineStr">
        <is>
          <t>AI &amp; Big Data</t>
        </is>
      </c>
      <c r="D779" t="inlineStr">
        <is>
          <t>PAC</t>
        </is>
      </c>
      <c r="E779" s="44">
        <f>IFERROR(VLOOKUP(C779,Assets!$A:$F,6,FALSE),0)</f>
        <v/>
      </c>
      <c r="F779" t="inlineStr">
        <is>
          <t>Auto</t>
        </is>
      </c>
      <c r="G779" s="44" t="n"/>
      <c r="H779" s="44">
        <f>IF(F779="No",0,IF(F779="Edited",IF(G779="",E779,G779),E779))</f>
        <v/>
      </c>
    </row>
    <row r="780">
      <c r="A780" s="41" t="n">
        <v>49065</v>
      </c>
      <c r="B780" s="32">
        <f>DATE(YEAR(A780),MONTH(A780),1)</f>
        <v/>
      </c>
      <c r="C780" t="inlineStr">
        <is>
          <t>Physical Gold</t>
        </is>
      </c>
      <c r="D780" t="inlineStr">
        <is>
          <t>PAC</t>
        </is>
      </c>
      <c r="E780" s="44">
        <f>IFERROR(VLOOKUP(C780,Assets!$A:$F,6,FALSE),0)</f>
        <v/>
      </c>
      <c r="F780" t="inlineStr">
        <is>
          <t>Auto</t>
        </is>
      </c>
      <c r="G780" s="44" t="n"/>
      <c r="H780" s="44">
        <f>IF(F780="No",0,IF(F780="Edited",IF(G780="",E780,G780),E780))</f>
        <v/>
      </c>
    </row>
    <row r="781">
      <c r="A781" s="41" t="n">
        <v>49065</v>
      </c>
      <c r="B781" s="32">
        <f>DATE(YEAR(A781),MONTH(A781),1)</f>
        <v/>
      </c>
      <c r="C781" t="inlineStr">
        <is>
          <t>Global Gov Bond</t>
        </is>
      </c>
      <c r="D781" t="inlineStr">
        <is>
          <t>PAC</t>
        </is>
      </c>
      <c r="E781" s="44">
        <f>IFERROR(VLOOKUP(C781,Assets!$A:$F,6,FALSE),0)</f>
        <v/>
      </c>
      <c r="F781" t="inlineStr">
        <is>
          <t>Auto</t>
        </is>
      </c>
      <c r="G781" s="44" t="n"/>
      <c r="H781" s="44">
        <f>IF(F781="No",0,IF(F781="Edited",IF(G781="",E781,G781),E781))</f>
        <v/>
      </c>
    </row>
    <row r="782">
      <c r="A782" s="41" t="n">
        <v>49065</v>
      </c>
      <c r="B782" s="32">
        <f>DATE(YEAR(A782),MONTH(A782),1)</f>
        <v/>
      </c>
      <c r="C782" t="inlineStr">
        <is>
          <t>Core EUR Corp Bond</t>
        </is>
      </c>
      <c r="D782" t="inlineStr">
        <is>
          <t>PAC</t>
        </is>
      </c>
      <c r="E782" s="44">
        <f>IFERROR(VLOOKUP(C782,Assets!$A:$F,6,FALSE),0)</f>
        <v/>
      </c>
      <c r="F782" t="inlineStr">
        <is>
          <t>Auto</t>
        </is>
      </c>
      <c r="G782" s="44" t="n"/>
      <c r="H782" s="44">
        <f>IF(F782="No",0,IF(F782="Edited",IF(G782="",E782,G782),E782))</f>
        <v/>
      </c>
    </row>
    <row r="783">
      <c r="A783" s="41" t="n">
        <v>49065</v>
      </c>
      <c r="B783" s="32">
        <f>DATE(YEAR(A783),MONTH(A783),1)</f>
        <v/>
      </c>
      <c r="C783" t="inlineStr">
        <is>
          <t>MSCI World Value</t>
        </is>
      </c>
      <c r="D783" t="inlineStr">
        <is>
          <t>PAC</t>
        </is>
      </c>
      <c r="E783" s="44">
        <f>IFERROR(VLOOKUP(C783,Assets!$A:$F,6,FALSE),0)</f>
        <v/>
      </c>
      <c r="F783" t="inlineStr">
        <is>
          <t>Auto</t>
        </is>
      </c>
      <c r="G783" s="44" t="n"/>
      <c r="H783" s="44">
        <f>IF(F783="No",0,IF(F783="Edited",IF(G783="",E783,G783),E783))</f>
        <v/>
      </c>
    </row>
    <row r="784">
      <c r="A784" s="41" t="n">
        <v>49065</v>
      </c>
      <c r="B784" s="32">
        <f>DATE(YEAR(A784),MONTH(A784),1)</f>
        <v/>
      </c>
      <c r="C784" t="inlineStr">
        <is>
          <t>MSCI EM</t>
        </is>
      </c>
      <c r="D784" t="inlineStr">
        <is>
          <t>PAC</t>
        </is>
      </c>
      <c r="E784" s="44">
        <f>IFERROR(VLOOKUP(C784,Assets!$A:$F,6,FALSE),0)</f>
        <v/>
      </c>
      <c r="F784" t="inlineStr">
        <is>
          <t>Auto</t>
        </is>
      </c>
      <c r="G784" s="44" t="n"/>
      <c r="H784" s="44">
        <f>IF(F784="No",0,IF(F784="Edited",IF(G784="",E784,G784),E784))</f>
        <v/>
      </c>
    </row>
    <row r="785">
      <c r="A785" s="41" t="n">
        <v>49065</v>
      </c>
      <c r="B785" s="32">
        <f>DATE(YEAR(A785),MONTH(A785),1)</f>
        <v/>
      </c>
      <c r="C785" t="inlineStr">
        <is>
          <t>Defence Tech</t>
        </is>
      </c>
      <c r="D785" t="inlineStr">
        <is>
          <t>PAC</t>
        </is>
      </c>
      <c r="E785" s="44">
        <f>IFERROR(VLOOKUP(C785,Assets!$A:$F,6,FALSE),0)</f>
        <v/>
      </c>
      <c r="F785" t="inlineStr">
        <is>
          <t>Auto</t>
        </is>
      </c>
      <c r="G785" s="44" t="n"/>
      <c r="H785" s="44">
        <f>IF(F785="No",0,IF(F785="Edited",IF(G785="",E785,G785),E785))</f>
        <v/>
      </c>
    </row>
    <row r="786">
      <c r="A786" s="41" t="n">
        <v>49096</v>
      </c>
      <c r="B786" s="32">
        <f>DATE(YEAR(A786),MONTH(A786),1)</f>
        <v/>
      </c>
      <c r="C786" t="inlineStr">
        <is>
          <t>Core MSCI World</t>
        </is>
      </c>
      <c r="D786" t="inlineStr">
        <is>
          <t>PAC</t>
        </is>
      </c>
      <c r="E786" s="44">
        <f>IFERROR(VLOOKUP(C786,Assets!$A:$F,6,FALSE),0)</f>
        <v/>
      </c>
      <c r="F786" t="inlineStr">
        <is>
          <t>Auto</t>
        </is>
      </c>
      <c r="G786" s="44" t="n"/>
      <c r="H786" s="44">
        <f>IF(F786="No",0,IF(F786="Edited",IF(G786="",E786,G786),E786))</f>
        <v/>
      </c>
    </row>
    <row r="787">
      <c r="A787" s="41" t="n">
        <v>49096</v>
      </c>
      <c r="B787" s="32">
        <f>DATE(YEAR(A787),MONTH(A787),1)</f>
        <v/>
      </c>
      <c r="C787" t="inlineStr">
        <is>
          <t>AI &amp; Big Data</t>
        </is>
      </c>
      <c r="D787" t="inlineStr">
        <is>
          <t>PAC</t>
        </is>
      </c>
      <c r="E787" s="44">
        <f>IFERROR(VLOOKUP(C787,Assets!$A:$F,6,FALSE),0)</f>
        <v/>
      </c>
      <c r="F787" t="inlineStr">
        <is>
          <t>Auto</t>
        </is>
      </c>
      <c r="G787" s="44" t="n"/>
      <c r="H787" s="44">
        <f>IF(F787="No",0,IF(F787="Edited",IF(G787="",E787,G787),E787))</f>
        <v/>
      </c>
    </row>
    <row r="788">
      <c r="A788" s="41" t="n">
        <v>49096</v>
      </c>
      <c r="B788" s="32">
        <f>DATE(YEAR(A788),MONTH(A788),1)</f>
        <v/>
      </c>
      <c r="C788" t="inlineStr">
        <is>
          <t>Physical Gold</t>
        </is>
      </c>
      <c r="D788" t="inlineStr">
        <is>
          <t>PAC</t>
        </is>
      </c>
      <c r="E788" s="44">
        <f>IFERROR(VLOOKUP(C788,Assets!$A:$F,6,FALSE),0)</f>
        <v/>
      </c>
      <c r="F788" t="inlineStr">
        <is>
          <t>Auto</t>
        </is>
      </c>
      <c r="G788" s="44" t="n"/>
      <c r="H788" s="44">
        <f>IF(F788="No",0,IF(F788="Edited",IF(G788="",E788,G788),E788))</f>
        <v/>
      </c>
    </row>
    <row r="789">
      <c r="A789" s="41" t="n">
        <v>49096</v>
      </c>
      <c r="B789" s="32">
        <f>DATE(YEAR(A789),MONTH(A789),1)</f>
        <v/>
      </c>
      <c r="C789" t="inlineStr">
        <is>
          <t>Global Gov Bond</t>
        </is>
      </c>
      <c r="D789" t="inlineStr">
        <is>
          <t>PAC</t>
        </is>
      </c>
      <c r="E789" s="44">
        <f>IFERROR(VLOOKUP(C789,Assets!$A:$F,6,FALSE),0)</f>
        <v/>
      </c>
      <c r="F789" t="inlineStr">
        <is>
          <t>Auto</t>
        </is>
      </c>
      <c r="G789" s="44" t="n"/>
      <c r="H789" s="44">
        <f>IF(F789="No",0,IF(F789="Edited",IF(G789="",E789,G789),E789))</f>
        <v/>
      </c>
    </row>
    <row r="790">
      <c r="A790" s="41" t="n">
        <v>49096</v>
      </c>
      <c r="B790" s="32">
        <f>DATE(YEAR(A790),MONTH(A790),1)</f>
        <v/>
      </c>
      <c r="C790" t="inlineStr">
        <is>
          <t>Core EUR Corp Bond</t>
        </is>
      </c>
      <c r="D790" t="inlineStr">
        <is>
          <t>PAC</t>
        </is>
      </c>
      <c r="E790" s="44">
        <f>IFERROR(VLOOKUP(C790,Assets!$A:$F,6,FALSE),0)</f>
        <v/>
      </c>
      <c r="F790" t="inlineStr">
        <is>
          <t>Auto</t>
        </is>
      </c>
      <c r="G790" s="44" t="n"/>
      <c r="H790" s="44">
        <f>IF(F790="No",0,IF(F790="Edited",IF(G790="",E790,G790),E790))</f>
        <v/>
      </c>
    </row>
    <row r="791">
      <c r="A791" s="41" t="n">
        <v>49096</v>
      </c>
      <c r="B791" s="32">
        <f>DATE(YEAR(A791),MONTH(A791),1)</f>
        <v/>
      </c>
      <c r="C791" t="inlineStr">
        <is>
          <t>MSCI World Value</t>
        </is>
      </c>
      <c r="D791" t="inlineStr">
        <is>
          <t>PAC</t>
        </is>
      </c>
      <c r="E791" s="44">
        <f>IFERROR(VLOOKUP(C791,Assets!$A:$F,6,FALSE),0)</f>
        <v/>
      </c>
      <c r="F791" t="inlineStr">
        <is>
          <t>Auto</t>
        </is>
      </c>
      <c r="G791" s="44" t="n"/>
      <c r="H791" s="44">
        <f>IF(F791="No",0,IF(F791="Edited",IF(G791="",E791,G791),E791))</f>
        <v/>
      </c>
    </row>
    <row r="792">
      <c r="A792" s="41" t="n">
        <v>49096</v>
      </c>
      <c r="B792" s="32">
        <f>DATE(YEAR(A792),MONTH(A792),1)</f>
        <v/>
      </c>
      <c r="C792" t="inlineStr">
        <is>
          <t>MSCI EM</t>
        </is>
      </c>
      <c r="D792" t="inlineStr">
        <is>
          <t>PAC</t>
        </is>
      </c>
      <c r="E792" s="44">
        <f>IFERROR(VLOOKUP(C792,Assets!$A:$F,6,FALSE),0)</f>
        <v/>
      </c>
      <c r="F792" t="inlineStr">
        <is>
          <t>Auto</t>
        </is>
      </c>
      <c r="G792" s="44" t="n"/>
      <c r="H792" s="44">
        <f>IF(F792="No",0,IF(F792="Edited",IF(G792="",E792,G792),E792))</f>
        <v/>
      </c>
    </row>
    <row r="793">
      <c r="A793" s="41" t="n">
        <v>49096</v>
      </c>
      <c r="B793" s="32">
        <f>DATE(YEAR(A793),MONTH(A793),1)</f>
        <v/>
      </c>
      <c r="C793" t="inlineStr">
        <is>
          <t>Defence Tech</t>
        </is>
      </c>
      <c r="D793" t="inlineStr">
        <is>
          <t>PAC</t>
        </is>
      </c>
      <c r="E793" s="44">
        <f>IFERROR(VLOOKUP(C793,Assets!$A:$F,6,FALSE),0)</f>
        <v/>
      </c>
      <c r="F793" t="inlineStr">
        <is>
          <t>Auto</t>
        </is>
      </c>
      <c r="G793" s="44" t="n"/>
      <c r="H793" s="44">
        <f>IF(F793="No",0,IF(F793="Edited",IF(G793="",E793,G793),E793))</f>
        <v/>
      </c>
    </row>
    <row r="794">
      <c r="A794" s="41" t="n">
        <v>49126</v>
      </c>
      <c r="B794" s="32">
        <f>DATE(YEAR(A794),MONTH(A794),1)</f>
        <v/>
      </c>
      <c r="C794" t="inlineStr">
        <is>
          <t>Core MSCI World</t>
        </is>
      </c>
      <c r="D794" t="inlineStr">
        <is>
          <t>PAC</t>
        </is>
      </c>
      <c r="E794" s="44">
        <f>IFERROR(VLOOKUP(C794,Assets!$A:$F,6,FALSE),0)</f>
        <v/>
      </c>
      <c r="F794" t="inlineStr">
        <is>
          <t>Auto</t>
        </is>
      </c>
      <c r="G794" s="44" t="n"/>
      <c r="H794" s="44">
        <f>IF(F794="No",0,IF(F794="Edited",IF(G794="",E794,G794),E794))</f>
        <v/>
      </c>
    </row>
    <row r="795">
      <c r="A795" s="41" t="n">
        <v>49126</v>
      </c>
      <c r="B795" s="32">
        <f>DATE(YEAR(A795),MONTH(A795),1)</f>
        <v/>
      </c>
      <c r="C795" t="inlineStr">
        <is>
          <t>AI &amp; Big Data</t>
        </is>
      </c>
      <c r="D795" t="inlineStr">
        <is>
          <t>PAC</t>
        </is>
      </c>
      <c r="E795" s="44">
        <f>IFERROR(VLOOKUP(C795,Assets!$A:$F,6,FALSE),0)</f>
        <v/>
      </c>
      <c r="F795" t="inlineStr">
        <is>
          <t>Auto</t>
        </is>
      </c>
      <c r="G795" s="44" t="n"/>
      <c r="H795" s="44">
        <f>IF(F795="No",0,IF(F795="Edited",IF(G795="",E795,G795),E795))</f>
        <v/>
      </c>
    </row>
    <row r="796">
      <c r="A796" s="41" t="n">
        <v>49126</v>
      </c>
      <c r="B796" s="32">
        <f>DATE(YEAR(A796),MONTH(A796),1)</f>
        <v/>
      </c>
      <c r="C796" t="inlineStr">
        <is>
          <t>Physical Gold</t>
        </is>
      </c>
      <c r="D796" t="inlineStr">
        <is>
          <t>PAC</t>
        </is>
      </c>
      <c r="E796" s="44">
        <f>IFERROR(VLOOKUP(C796,Assets!$A:$F,6,FALSE),0)</f>
        <v/>
      </c>
      <c r="F796" t="inlineStr">
        <is>
          <t>Auto</t>
        </is>
      </c>
      <c r="G796" s="44" t="n"/>
      <c r="H796" s="44">
        <f>IF(F796="No",0,IF(F796="Edited",IF(G796="",E796,G796),E796))</f>
        <v/>
      </c>
    </row>
    <row r="797">
      <c r="A797" s="41" t="n">
        <v>49126</v>
      </c>
      <c r="B797" s="32">
        <f>DATE(YEAR(A797),MONTH(A797),1)</f>
        <v/>
      </c>
      <c r="C797" t="inlineStr">
        <is>
          <t>Global Gov Bond</t>
        </is>
      </c>
      <c r="D797" t="inlineStr">
        <is>
          <t>PAC</t>
        </is>
      </c>
      <c r="E797" s="44">
        <f>IFERROR(VLOOKUP(C797,Assets!$A:$F,6,FALSE),0)</f>
        <v/>
      </c>
      <c r="F797" t="inlineStr">
        <is>
          <t>Auto</t>
        </is>
      </c>
      <c r="G797" s="44" t="n"/>
      <c r="H797" s="44">
        <f>IF(F797="No",0,IF(F797="Edited",IF(G797="",E797,G797),E797))</f>
        <v/>
      </c>
    </row>
    <row r="798">
      <c r="A798" s="41" t="n">
        <v>49126</v>
      </c>
      <c r="B798" s="32">
        <f>DATE(YEAR(A798),MONTH(A798),1)</f>
        <v/>
      </c>
      <c r="C798" t="inlineStr">
        <is>
          <t>Core EUR Corp Bond</t>
        </is>
      </c>
      <c r="D798" t="inlineStr">
        <is>
          <t>PAC</t>
        </is>
      </c>
      <c r="E798" s="44">
        <f>IFERROR(VLOOKUP(C798,Assets!$A:$F,6,FALSE),0)</f>
        <v/>
      </c>
      <c r="F798" t="inlineStr">
        <is>
          <t>Auto</t>
        </is>
      </c>
      <c r="G798" s="44" t="n"/>
      <c r="H798" s="44">
        <f>IF(F798="No",0,IF(F798="Edited",IF(G798="",E798,G798),E798))</f>
        <v/>
      </c>
    </row>
    <row r="799">
      <c r="A799" s="41" t="n">
        <v>49126</v>
      </c>
      <c r="B799" s="32">
        <f>DATE(YEAR(A799),MONTH(A799),1)</f>
        <v/>
      </c>
      <c r="C799" t="inlineStr">
        <is>
          <t>MSCI World Value</t>
        </is>
      </c>
      <c r="D799" t="inlineStr">
        <is>
          <t>PAC</t>
        </is>
      </c>
      <c r="E799" s="44">
        <f>IFERROR(VLOOKUP(C799,Assets!$A:$F,6,FALSE),0)</f>
        <v/>
      </c>
      <c r="F799" t="inlineStr">
        <is>
          <t>Auto</t>
        </is>
      </c>
      <c r="G799" s="44" t="n"/>
      <c r="H799" s="44">
        <f>IF(F799="No",0,IF(F799="Edited",IF(G799="",E799,G799),E799))</f>
        <v/>
      </c>
    </row>
    <row r="800">
      <c r="A800" s="41" t="n">
        <v>49126</v>
      </c>
      <c r="B800" s="32">
        <f>DATE(YEAR(A800),MONTH(A800),1)</f>
        <v/>
      </c>
      <c r="C800" t="inlineStr">
        <is>
          <t>MSCI EM</t>
        </is>
      </c>
      <c r="D800" t="inlineStr">
        <is>
          <t>PAC</t>
        </is>
      </c>
      <c r="E800" s="44">
        <f>IFERROR(VLOOKUP(C800,Assets!$A:$F,6,FALSE),0)</f>
        <v/>
      </c>
      <c r="F800" t="inlineStr">
        <is>
          <t>Auto</t>
        </is>
      </c>
      <c r="G800" s="44" t="n"/>
      <c r="H800" s="44">
        <f>IF(F800="No",0,IF(F800="Edited",IF(G800="",E800,G800),E800))</f>
        <v/>
      </c>
    </row>
    <row r="801">
      <c r="A801" s="41" t="n">
        <v>49126</v>
      </c>
      <c r="B801" s="32">
        <f>DATE(YEAR(A801),MONTH(A801),1)</f>
        <v/>
      </c>
      <c r="C801" t="inlineStr">
        <is>
          <t>Defence Tech</t>
        </is>
      </c>
      <c r="D801" t="inlineStr">
        <is>
          <t>PAC</t>
        </is>
      </c>
      <c r="E801" s="44">
        <f>IFERROR(VLOOKUP(C801,Assets!$A:$F,6,FALSE),0)</f>
        <v/>
      </c>
      <c r="F801" t="inlineStr">
        <is>
          <t>Auto</t>
        </is>
      </c>
      <c r="G801" s="44" t="n"/>
      <c r="H801" s="44">
        <f>IF(F801="No",0,IF(F801="Edited",IF(G801="",E801,G801),E801))</f>
        <v/>
      </c>
    </row>
    <row r="802">
      <c r="A802" s="41" t="n">
        <v>49157</v>
      </c>
      <c r="B802" s="32">
        <f>DATE(YEAR(A802),MONTH(A802),1)</f>
        <v/>
      </c>
      <c r="C802" t="inlineStr">
        <is>
          <t>Core MSCI World</t>
        </is>
      </c>
      <c r="D802" t="inlineStr">
        <is>
          <t>PAC</t>
        </is>
      </c>
      <c r="E802" s="44">
        <f>IFERROR(VLOOKUP(C802,Assets!$A:$F,6,FALSE),0)</f>
        <v/>
      </c>
      <c r="F802" t="inlineStr">
        <is>
          <t>Auto</t>
        </is>
      </c>
      <c r="G802" s="44" t="n"/>
      <c r="H802" s="44">
        <f>IF(F802="No",0,IF(F802="Edited",IF(G802="",E802,G802),E802))</f>
        <v/>
      </c>
    </row>
    <row r="803">
      <c r="A803" s="41" t="n">
        <v>49157</v>
      </c>
      <c r="B803" s="32">
        <f>DATE(YEAR(A803),MONTH(A803),1)</f>
        <v/>
      </c>
      <c r="C803" t="inlineStr">
        <is>
          <t>AI &amp; Big Data</t>
        </is>
      </c>
      <c r="D803" t="inlineStr">
        <is>
          <t>PAC</t>
        </is>
      </c>
      <c r="E803" s="44">
        <f>IFERROR(VLOOKUP(C803,Assets!$A:$F,6,FALSE),0)</f>
        <v/>
      </c>
      <c r="F803" t="inlineStr">
        <is>
          <t>Auto</t>
        </is>
      </c>
      <c r="G803" s="44" t="n"/>
      <c r="H803" s="44">
        <f>IF(F803="No",0,IF(F803="Edited",IF(G803="",E803,G803),E803))</f>
        <v/>
      </c>
    </row>
    <row r="804">
      <c r="A804" s="41" t="n">
        <v>49157</v>
      </c>
      <c r="B804" s="32">
        <f>DATE(YEAR(A804),MONTH(A804),1)</f>
        <v/>
      </c>
      <c r="C804" t="inlineStr">
        <is>
          <t>Physical Gold</t>
        </is>
      </c>
      <c r="D804" t="inlineStr">
        <is>
          <t>PAC</t>
        </is>
      </c>
      <c r="E804" s="44">
        <f>IFERROR(VLOOKUP(C804,Assets!$A:$F,6,FALSE),0)</f>
        <v/>
      </c>
      <c r="F804" t="inlineStr">
        <is>
          <t>Auto</t>
        </is>
      </c>
      <c r="G804" s="44" t="n"/>
      <c r="H804" s="44">
        <f>IF(F804="No",0,IF(F804="Edited",IF(G804="",E804,G804),E804))</f>
        <v/>
      </c>
    </row>
    <row r="805">
      <c r="A805" s="41" t="n">
        <v>49157</v>
      </c>
      <c r="B805" s="32">
        <f>DATE(YEAR(A805),MONTH(A805),1)</f>
        <v/>
      </c>
      <c r="C805" t="inlineStr">
        <is>
          <t>Global Gov Bond</t>
        </is>
      </c>
      <c r="D805" t="inlineStr">
        <is>
          <t>PAC</t>
        </is>
      </c>
      <c r="E805" s="44">
        <f>IFERROR(VLOOKUP(C805,Assets!$A:$F,6,FALSE),0)</f>
        <v/>
      </c>
      <c r="F805" t="inlineStr">
        <is>
          <t>Auto</t>
        </is>
      </c>
      <c r="G805" s="44" t="n"/>
      <c r="H805" s="44">
        <f>IF(F805="No",0,IF(F805="Edited",IF(G805="",E805,G805),E805))</f>
        <v/>
      </c>
    </row>
    <row r="806">
      <c r="A806" s="41" t="n">
        <v>49157</v>
      </c>
      <c r="B806" s="32">
        <f>DATE(YEAR(A806),MONTH(A806),1)</f>
        <v/>
      </c>
      <c r="C806" t="inlineStr">
        <is>
          <t>Core EUR Corp Bond</t>
        </is>
      </c>
      <c r="D806" t="inlineStr">
        <is>
          <t>PAC</t>
        </is>
      </c>
      <c r="E806" s="44">
        <f>IFERROR(VLOOKUP(C806,Assets!$A:$F,6,FALSE),0)</f>
        <v/>
      </c>
      <c r="F806" t="inlineStr">
        <is>
          <t>Auto</t>
        </is>
      </c>
      <c r="G806" s="44" t="n"/>
      <c r="H806" s="44">
        <f>IF(F806="No",0,IF(F806="Edited",IF(G806="",E806,G806),E806))</f>
        <v/>
      </c>
    </row>
    <row r="807">
      <c r="A807" s="41" t="n">
        <v>49157</v>
      </c>
      <c r="B807" s="32">
        <f>DATE(YEAR(A807),MONTH(A807),1)</f>
        <v/>
      </c>
      <c r="C807" t="inlineStr">
        <is>
          <t>MSCI World Value</t>
        </is>
      </c>
      <c r="D807" t="inlineStr">
        <is>
          <t>PAC</t>
        </is>
      </c>
      <c r="E807" s="44">
        <f>IFERROR(VLOOKUP(C807,Assets!$A:$F,6,FALSE),0)</f>
        <v/>
      </c>
      <c r="F807" t="inlineStr">
        <is>
          <t>Auto</t>
        </is>
      </c>
      <c r="G807" s="44" t="n"/>
      <c r="H807" s="44">
        <f>IF(F807="No",0,IF(F807="Edited",IF(G807="",E807,G807),E807))</f>
        <v/>
      </c>
    </row>
    <row r="808">
      <c r="A808" s="41" t="n">
        <v>49157</v>
      </c>
      <c r="B808" s="32">
        <f>DATE(YEAR(A808),MONTH(A808),1)</f>
        <v/>
      </c>
      <c r="C808" t="inlineStr">
        <is>
          <t>MSCI EM</t>
        </is>
      </c>
      <c r="D808" t="inlineStr">
        <is>
          <t>PAC</t>
        </is>
      </c>
      <c r="E808" s="44">
        <f>IFERROR(VLOOKUP(C808,Assets!$A:$F,6,FALSE),0)</f>
        <v/>
      </c>
      <c r="F808" t="inlineStr">
        <is>
          <t>Auto</t>
        </is>
      </c>
      <c r="G808" s="44" t="n"/>
      <c r="H808" s="44">
        <f>IF(F808="No",0,IF(F808="Edited",IF(G808="",E808,G808),E808))</f>
        <v/>
      </c>
    </row>
    <row r="809">
      <c r="A809" s="41" t="n">
        <v>49157</v>
      </c>
      <c r="B809" s="32">
        <f>DATE(YEAR(A809),MONTH(A809),1)</f>
        <v/>
      </c>
      <c r="C809" t="inlineStr">
        <is>
          <t>Defence Tech</t>
        </is>
      </c>
      <c r="D809" t="inlineStr">
        <is>
          <t>PAC</t>
        </is>
      </c>
      <c r="E809" s="44">
        <f>IFERROR(VLOOKUP(C809,Assets!$A:$F,6,FALSE),0)</f>
        <v/>
      </c>
      <c r="F809" t="inlineStr">
        <is>
          <t>Auto</t>
        </is>
      </c>
      <c r="G809" s="44" t="n"/>
      <c r="H809" s="44">
        <f>IF(F809="No",0,IF(F809="Edited",IF(G809="",E809,G809),E809))</f>
        <v/>
      </c>
    </row>
    <row r="810">
      <c r="A810" s="41" t="n">
        <v>49188</v>
      </c>
      <c r="B810" s="32">
        <f>DATE(YEAR(A810),MONTH(A810),1)</f>
        <v/>
      </c>
      <c r="C810" t="inlineStr">
        <is>
          <t>Core MSCI World</t>
        </is>
      </c>
      <c r="D810" t="inlineStr">
        <is>
          <t>PAC</t>
        </is>
      </c>
      <c r="E810" s="44">
        <f>IFERROR(VLOOKUP(C810,Assets!$A:$F,6,FALSE),0)</f>
        <v/>
      </c>
      <c r="F810" t="inlineStr">
        <is>
          <t>Auto</t>
        </is>
      </c>
      <c r="G810" s="44" t="n"/>
      <c r="H810" s="44">
        <f>IF(F810="No",0,IF(F810="Edited",IF(G810="",E810,G810),E810))</f>
        <v/>
      </c>
    </row>
    <row r="811">
      <c r="A811" s="41" t="n">
        <v>49188</v>
      </c>
      <c r="B811" s="32">
        <f>DATE(YEAR(A811),MONTH(A811),1)</f>
        <v/>
      </c>
      <c r="C811" t="inlineStr">
        <is>
          <t>AI &amp; Big Data</t>
        </is>
      </c>
      <c r="D811" t="inlineStr">
        <is>
          <t>PAC</t>
        </is>
      </c>
      <c r="E811" s="44">
        <f>IFERROR(VLOOKUP(C811,Assets!$A:$F,6,FALSE),0)</f>
        <v/>
      </c>
      <c r="F811" t="inlineStr">
        <is>
          <t>Auto</t>
        </is>
      </c>
      <c r="G811" s="44" t="n"/>
      <c r="H811" s="44">
        <f>IF(F811="No",0,IF(F811="Edited",IF(G811="",E811,G811),E811))</f>
        <v/>
      </c>
    </row>
    <row r="812">
      <c r="A812" s="41" t="n">
        <v>49188</v>
      </c>
      <c r="B812" s="32">
        <f>DATE(YEAR(A812),MONTH(A812),1)</f>
        <v/>
      </c>
      <c r="C812" t="inlineStr">
        <is>
          <t>Physical Gold</t>
        </is>
      </c>
      <c r="D812" t="inlineStr">
        <is>
          <t>PAC</t>
        </is>
      </c>
      <c r="E812" s="44">
        <f>IFERROR(VLOOKUP(C812,Assets!$A:$F,6,FALSE),0)</f>
        <v/>
      </c>
      <c r="F812" t="inlineStr">
        <is>
          <t>Auto</t>
        </is>
      </c>
      <c r="G812" s="44" t="n"/>
      <c r="H812" s="44">
        <f>IF(F812="No",0,IF(F812="Edited",IF(G812="",E812,G812),E812))</f>
        <v/>
      </c>
    </row>
    <row r="813">
      <c r="A813" s="41" t="n">
        <v>49188</v>
      </c>
      <c r="B813" s="32">
        <f>DATE(YEAR(A813),MONTH(A813),1)</f>
        <v/>
      </c>
      <c r="C813" t="inlineStr">
        <is>
          <t>Global Gov Bond</t>
        </is>
      </c>
      <c r="D813" t="inlineStr">
        <is>
          <t>PAC</t>
        </is>
      </c>
      <c r="E813" s="44">
        <f>IFERROR(VLOOKUP(C813,Assets!$A:$F,6,FALSE),0)</f>
        <v/>
      </c>
      <c r="F813" t="inlineStr">
        <is>
          <t>Auto</t>
        </is>
      </c>
      <c r="G813" s="44" t="n"/>
      <c r="H813" s="44">
        <f>IF(F813="No",0,IF(F813="Edited",IF(G813="",E813,G813),E813))</f>
        <v/>
      </c>
    </row>
    <row r="814">
      <c r="A814" s="41" t="n">
        <v>49188</v>
      </c>
      <c r="B814" s="32">
        <f>DATE(YEAR(A814),MONTH(A814),1)</f>
        <v/>
      </c>
      <c r="C814" t="inlineStr">
        <is>
          <t>Core EUR Corp Bond</t>
        </is>
      </c>
      <c r="D814" t="inlineStr">
        <is>
          <t>PAC</t>
        </is>
      </c>
      <c r="E814" s="44">
        <f>IFERROR(VLOOKUP(C814,Assets!$A:$F,6,FALSE),0)</f>
        <v/>
      </c>
      <c r="F814" t="inlineStr">
        <is>
          <t>Auto</t>
        </is>
      </c>
      <c r="G814" s="44" t="n"/>
      <c r="H814" s="44">
        <f>IF(F814="No",0,IF(F814="Edited",IF(G814="",E814,G814),E814))</f>
        <v/>
      </c>
    </row>
    <row r="815">
      <c r="A815" s="41" t="n">
        <v>49188</v>
      </c>
      <c r="B815" s="32">
        <f>DATE(YEAR(A815),MONTH(A815),1)</f>
        <v/>
      </c>
      <c r="C815" t="inlineStr">
        <is>
          <t>MSCI World Value</t>
        </is>
      </c>
      <c r="D815" t="inlineStr">
        <is>
          <t>PAC</t>
        </is>
      </c>
      <c r="E815" s="44">
        <f>IFERROR(VLOOKUP(C815,Assets!$A:$F,6,FALSE),0)</f>
        <v/>
      </c>
      <c r="F815" t="inlineStr">
        <is>
          <t>Auto</t>
        </is>
      </c>
      <c r="G815" s="44" t="n"/>
      <c r="H815" s="44">
        <f>IF(F815="No",0,IF(F815="Edited",IF(G815="",E815,G815),E815))</f>
        <v/>
      </c>
    </row>
    <row r="816">
      <c r="A816" s="41" t="n">
        <v>49188</v>
      </c>
      <c r="B816" s="32">
        <f>DATE(YEAR(A816),MONTH(A816),1)</f>
        <v/>
      </c>
      <c r="C816" t="inlineStr">
        <is>
          <t>MSCI EM</t>
        </is>
      </c>
      <c r="D816" t="inlineStr">
        <is>
          <t>PAC</t>
        </is>
      </c>
      <c r="E816" s="44">
        <f>IFERROR(VLOOKUP(C816,Assets!$A:$F,6,FALSE),0)</f>
        <v/>
      </c>
      <c r="F816" t="inlineStr">
        <is>
          <t>Auto</t>
        </is>
      </c>
      <c r="G816" s="44" t="n"/>
      <c r="H816" s="44">
        <f>IF(F816="No",0,IF(F816="Edited",IF(G816="",E816,G816),E816))</f>
        <v/>
      </c>
    </row>
    <row r="817">
      <c r="A817" s="41" t="n">
        <v>49188</v>
      </c>
      <c r="B817" s="32">
        <f>DATE(YEAR(A817),MONTH(A817),1)</f>
        <v/>
      </c>
      <c r="C817" t="inlineStr">
        <is>
          <t>Defence Tech</t>
        </is>
      </c>
      <c r="D817" t="inlineStr">
        <is>
          <t>PAC</t>
        </is>
      </c>
      <c r="E817" s="44">
        <f>IFERROR(VLOOKUP(C817,Assets!$A:$F,6,FALSE),0)</f>
        <v/>
      </c>
      <c r="F817" t="inlineStr">
        <is>
          <t>Auto</t>
        </is>
      </c>
      <c r="G817" s="44" t="n"/>
      <c r="H817" s="44">
        <f>IF(F817="No",0,IF(F817="Edited",IF(G817="",E817,G817),E817))</f>
        <v/>
      </c>
    </row>
    <row r="818">
      <c r="A818" s="41" t="n">
        <v>49218</v>
      </c>
      <c r="B818" s="32">
        <f>DATE(YEAR(A818),MONTH(A818),1)</f>
        <v/>
      </c>
      <c r="C818" t="inlineStr">
        <is>
          <t>Core MSCI World</t>
        </is>
      </c>
      <c r="D818" t="inlineStr">
        <is>
          <t>PAC</t>
        </is>
      </c>
      <c r="E818" s="44">
        <f>IFERROR(VLOOKUP(C818,Assets!$A:$F,6,FALSE),0)</f>
        <v/>
      </c>
      <c r="F818" t="inlineStr">
        <is>
          <t>Auto</t>
        </is>
      </c>
      <c r="G818" s="44" t="n"/>
      <c r="H818" s="44">
        <f>IF(F818="No",0,IF(F818="Edited",IF(G818="",E818,G818),E818))</f>
        <v/>
      </c>
    </row>
    <row r="819">
      <c r="A819" s="41" t="n">
        <v>49218</v>
      </c>
      <c r="B819" s="32">
        <f>DATE(YEAR(A819),MONTH(A819),1)</f>
        <v/>
      </c>
      <c r="C819" t="inlineStr">
        <is>
          <t>AI &amp; Big Data</t>
        </is>
      </c>
      <c r="D819" t="inlineStr">
        <is>
          <t>PAC</t>
        </is>
      </c>
      <c r="E819" s="44">
        <f>IFERROR(VLOOKUP(C819,Assets!$A:$F,6,FALSE),0)</f>
        <v/>
      </c>
      <c r="F819" t="inlineStr">
        <is>
          <t>Auto</t>
        </is>
      </c>
      <c r="G819" s="44" t="n"/>
      <c r="H819" s="44">
        <f>IF(F819="No",0,IF(F819="Edited",IF(G819="",E819,G819),E819))</f>
        <v/>
      </c>
    </row>
    <row r="820">
      <c r="A820" s="41" t="n">
        <v>49218</v>
      </c>
      <c r="B820" s="32">
        <f>DATE(YEAR(A820),MONTH(A820),1)</f>
        <v/>
      </c>
      <c r="C820" t="inlineStr">
        <is>
          <t>Physical Gold</t>
        </is>
      </c>
      <c r="D820" t="inlineStr">
        <is>
          <t>PAC</t>
        </is>
      </c>
      <c r="E820" s="44">
        <f>IFERROR(VLOOKUP(C820,Assets!$A:$F,6,FALSE),0)</f>
        <v/>
      </c>
      <c r="F820" t="inlineStr">
        <is>
          <t>Auto</t>
        </is>
      </c>
      <c r="G820" s="44" t="n"/>
      <c r="H820" s="44">
        <f>IF(F820="No",0,IF(F820="Edited",IF(G820="",E820,G820),E820))</f>
        <v/>
      </c>
    </row>
    <row r="821">
      <c r="A821" s="41" t="n">
        <v>49218</v>
      </c>
      <c r="B821" s="32">
        <f>DATE(YEAR(A821),MONTH(A821),1)</f>
        <v/>
      </c>
      <c r="C821" t="inlineStr">
        <is>
          <t>Global Gov Bond</t>
        </is>
      </c>
      <c r="D821" t="inlineStr">
        <is>
          <t>PAC</t>
        </is>
      </c>
      <c r="E821" s="44">
        <f>IFERROR(VLOOKUP(C821,Assets!$A:$F,6,FALSE),0)</f>
        <v/>
      </c>
      <c r="F821" t="inlineStr">
        <is>
          <t>Auto</t>
        </is>
      </c>
      <c r="G821" s="44" t="n"/>
      <c r="H821" s="44">
        <f>IF(F821="No",0,IF(F821="Edited",IF(G821="",E821,G821),E821))</f>
        <v/>
      </c>
    </row>
    <row r="822">
      <c r="A822" s="41" t="n">
        <v>49218</v>
      </c>
      <c r="B822" s="32">
        <f>DATE(YEAR(A822),MONTH(A822),1)</f>
        <v/>
      </c>
      <c r="C822" t="inlineStr">
        <is>
          <t>Core EUR Corp Bond</t>
        </is>
      </c>
      <c r="D822" t="inlineStr">
        <is>
          <t>PAC</t>
        </is>
      </c>
      <c r="E822" s="44">
        <f>IFERROR(VLOOKUP(C822,Assets!$A:$F,6,FALSE),0)</f>
        <v/>
      </c>
      <c r="F822" t="inlineStr">
        <is>
          <t>Auto</t>
        </is>
      </c>
      <c r="G822" s="44" t="n"/>
      <c r="H822" s="44">
        <f>IF(F822="No",0,IF(F822="Edited",IF(G822="",E822,G822),E822))</f>
        <v/>
      </c>
    </row>
    <row r="823">
      <c r="A823" s="41" t="n">
        <v>49218</v>
      </c>
      <c r="B823" s="32">
        <f>DATE(YEAR(A823),MONTH(A823),1)</f>
        <v/>
      </c>
      <c r="C823" t="inlineStr">
        <is>
          <t>MSCI World Value</t>
        </is>
      </c>
      <c r="D823" t="inlineStr">
        <is>
          <t>PAC</t>
        </is>
      </c>
      <c r="E823" s="44">
        <f>IFERROR(VLOOKUP(C823,Assets!$A:$F,6,FALSE),0)</f>
        <v/>
      </c>
      <c r="F823" t="inlineStr">
        <is>
          <t>Auto</t>
        </is>
      </c>
      <c r="G823" s="44" t="n"/>
      <c r="H823" s="44">
        <f>IF(F823="No",0,IF(F823="Edited",IF(G823="",E823,G823),E823))</f>
        <v/>
      </c>
    </row>
    <row r="824">
      <c r="A824" s="41" t="n">
        <v>49218</v>
      </c>
      <c r="B824" s="32">
        <f>DATE(YEAR(A824),MONTH(A824),1)</f>
        <v/>
      </c>
      <c r="C824" t="inlineStr">
        <is>
          <t>MSCI EM</t>
        </is>
      </c>
      <c r="D824" t="inlineStr">
        <is>
          <t>PAC</t>
        </is>
      </c>
      <c r="E824" s="44">
        <f>IFERROR(VLOOKUP(C824,Assets!$A:$F,6,FALSE),0)</f>
        <v/>
      </c>
      <c r="F824" t="inlineStr">
        <is>
          <t>Auto</t>
        </is>
      </c>
      <c r="G824" s="44" t="n"/>
      <c r="H824" s="44">
        <f>IF(F824="No",0,IF(F824="Edited",IF(G824="",E824,G824),E824))</f>
        <v/>
      </c>
    </row>
    <row r="825">
      <c r="A825" s="41" t="n">
        <v>49218</v>
      </c>
      <c r="B825" s="32">
        <f>DATE(YEAR(A825),MONTH(A825),1)</f>
        <v/>
      </c>
      <c r="C825" t="inlineStr">
        <is>
          <t>Defence Tech</t>
        </is>
      </c>
      <c r="D825" t="inlineStr">
        <is>
          <t>PAC</t>
        </is>
      </c>
      <c r="E825" s="44">
        <f>IFERROR(VLOOKUP(C825,Assets!$A:$F,6,FALSE),0)</f>
        <v/>
      </c>
      <c r="F825" t="inlineStr">
        <is>
          <t>Auto</t>
        </is>
      </c>
      <c r="G825" s="44" t="n"/>
      <c r="H825" s="44">
        <f>IF(F825="No",0,IF(F825="Edited",IF(G825="",E825,G825),E825))</f>
        <v/>
      </c>
    </row>
    <row r="826">
      <c r="A826" s="41" t="n">
        <v>49249</v>
      </c>
      <c r="B826" s="32">
        <f>DATE(YEAR(A826),MONTH(A826),1)</f>
        <v/>
      </c>
      <c r="C826" t="inlineStr">
        <is>
          <t>Core MSCI World</t>
        </is>
      </c>
      <c r="D826" t="inlineStr">
        <is>
          <t>PAC</t>
        </is>
      </c>
      <c r="E826" s="44">
        <f>IFERROR(VLOOKUP(C826,Assets!$A:$F,6,FALSE),0)</f>
        <v/>
      </c>
      <c r="F826" t="inlineStr">
        <is>
          <t>Auto</t>
        </is>
      </c>
      <c r="G826" s="44" t="n"/>
      <c r="H826" s="44">
        <f>IF(F826="No",0,IF(F826="Edited",IF(G826="",E826,G826),E826))</f>
        <v/>
      </c>
    </row>
    <row r="827">
      <c r="A827" s="41" t="n">
        <v>49249</v>
      </c>
      <c r="B827" s="32">
        <f>DATE(YEAR(A827),MONTH(A827),1)</f>
        <v/>
      </c>
      <c r="C827" t="inlineStr">
        <is>
          <t>AI &amp; Big Data</t>
        </is>
      </c>
      <c r="D827" t="inlineStr">
        <is>
          <t>PAC</t>
        </is>
      </c>
      <c r="E827" s="44">
        <f>IFERROR(VLOOKUP(C827,Assets!$A:$F,6,FALSE),0)</f>
        <v/>
      </c>
      <c r="F827" t="inlineStr">
        <is>
          <t>Auto</t>
        </is>
      </c>
      <c r="G827" s="44" t="n"/>
      <c r="H827" s="44">
        <f>IF(F827="No",0,IF(F827="Edited",IF(G827="",E827,G827),E827))</f>
        <v/>
      </c>
    </row>
    <row r="828">
      <c r="A828" s="41" t="n">
        <v>49249</v>
      </c>
      <c r="B828" s="32">
        <f>DATE(YEAR(A828),MONTH(A828),1)</f>
        <v/>
      </c>
      <c r="C828" t="inlineStr">
        <is>
          <t>Physical Gold</t>
        </is>
      </c>
      <c r="D828" t="inlineStr">
        <is>
          <t>PAC</t>
        </is>
      </c>
      <c r="E828" s="44">
        <f>IFERROR(VLOOKUP(C828,Assets!$A:$F,6,FALSE),0)</f>
        <v/>
      </c>
      <c r="F828" t="inlineStr">
        <is>
          <t>Auto</t>
        </is>
      </c>
      <c r="G828" s="44" t="n"/>
      <c r="H828" s="44">
        <f>IF(F828="No",0,IF(F828="Edited",IF(G828="",E828,G828),E828))</f>
        <v/>
      </c>
    </row>
    <row r="829">
      <c r="A829" s="41" t="n">
        <v>49249</v>
      </c>
      <c r="B829" s="32">
        <f>DATE(YEAR(A829),MONTH(A829),1)</f>
        <v/>
      </c>
      <c r="C829" t="inlineStr">
        <is>
          <t>Global Gov Bond</t>
        </is>
      </c>
      <c r="D829" t="inlineStr">
        <is>
          <t>PAC</t>
        </is>
      </c>
      <c r="E829" s="44">
        <f>IFERROR(VLOOKUP(C829,Assets!$A:$F,6,FALSE),0)</f>
        <v/>
      </c>
      <c r="F829" t="inlineStr">
        <is>
          <t>Auto</t>
        </is>
      </c>
      <c r="G829" s="44" t="n"/>
      <c r="H829" s="44">
        <f>IF(F829="No",0,IF(F829="Edited",IF(G829="",E829,G829),E829))</f>
        <v/>
      </c>
    </row>
    <row r="830">
      <c r="A830" s="41" t="n">
        <v>49249</v>
      </c>
      <c r="B830" s="32">
        <f>DATE(YEAR(A830),MONTH(A830),1)</f>
        <v/>
      </c>
      <c r="C830" t="inlineStr">
        <is>
          <t>Core EUR Corp Bond</t>
        </is>
      </c>
      <c r="D830" t="inlineStr">
        <is>
          <t>PAC</t>
        </is>
      </c>
      <c r="E830" s="44">
        <f>IFERROR(VLOOKUP(C830,Assets!$A:$F,6,FALSE),0)</f>
        <v/>
      </c>
      <c r="F830" t="inlineStr">
        <is>
          <t>Auto</t>
        </is>
      </c>
      <c r="G830" s="44" t="n"/>
      <c r="H830" s="44">
        <f>IF(F830="No",0,IF(F830="Edited",IF(G830="",E830,G830),E830))</f>
        <v/>
      </c>
    </row>
    <row r="831">
      <c r="A831" s="41" t="n">
        <v>49249</v>
      </c>
      <c r="B831" s="32">
        <f>DATE(YEAR(A831),MONTH(A831),1)</f>
        <v/>
      </c>
      <c r="C831" t="inlineStr">
        <is>
          <t>MSCI World Value</t>
        </is>
      </c>
      <c r="D831" t="inlineStr">
        <is>
          <t>PAC</t>
        </is>
      </c>
      <c r="E831" s="44">
        <f>IFERROR(VLOOKUP(C831,Assets!$A:$F,6,FALSE),0)</f>
        <v/>
      </c>
      <c r="F831" t="inlineStr">
        <is>
          <t>Auto</t>
        </is>
      </c>
      <c r="G831" s="44" t="n"/>
      <c r="H831" s="44">
        <f>IF(F831="No",0,IF(F831="Edited",IF(G831="",E831,G831),E831))</f>
        <v/>
      </c>
    </row>
    <row r="832">
      <c r="A832" s="41" t="n">
        <v>49249</v>
      </c>
      <c r="B832" s="32">
        <f>DATE(YEAR(A832),MONTH(A832),1)</f>
        <v/>
      </c>
      <c r="C832" t="inlineStr">
        <is>
          <t>MSCI EM</t>
        </is>
      </c>
      <c r="D832" t="inlineStr">
        <is>
          <t>PAC</t>
        </is>
      </c>
      <c r="E832" s="44">
        <f>IFERROR(VLOOKUP(C832,Assets!$A:$F,6,FALSE),0)</f>
        <v/>
      </c>
      <c r="F832" t="inlineStr">
        <is>
          <t>Auto</t>
        </is>
      </c>
      <c r="G832" s="44" t="n"/>
      <c r="H832" s="44">
        <f>IF(F832="No",0,IF(F832="Edited",IF(G832="",E832,G832),E832))</f>
        <v/>
      </c>
    </row>
    <row r="833">
      <c r="A833" s="41" t="n">
        <v>49249</v>
      </c>
      <c r="B833" s="32">
        <f>DATE(YEAR(A833),MONTH(A833),1)</f>
        <v/>
      </c>
      <c r="C833" t="inlineStr">
        <is>
          <t>Defence Tech</t>
        </is>
      </c>
      <c r="D833" t="inlineStr">
        <is>
          <t>PAC</t>
        </is>
      </c>
      <c r="E833" s="44">
        <f>IFERROR(VLOOKUP(C833,Assets!$A:$F,6,FALSE),0)</f>
        <v/>
      </c>
      <c r="F833" t="inlineStr">
        <is>
          <t>Auto</t>
        </is>
      </c>
      <c r="G833" s="44" t="n"/>
      <c r="H833" s="44">
        <f>IF(F833="No",0,IF(F833="Edited",IF(G833="",E833,G833),E833))</f>
        <v/>
      </c>
    </row>
    <row r="834">
      <c r="A834" s="41" t="n">
        <v>49279</v>
      </c>
      <c r="B834" s="32">
        <f>DATE(YEAR(A834),MONTH(A834),1)</f>
        <v/>
      </c>
      <c r="C834" t="inlineStr">
        <is>
          <t>Core MSCI World</t>
        </is>
      </c>
      <c r="D834" t="inlineStr">
        <is>
          <t>PAC</t>
        </is>
      </c>
      <c r="E834" s="44">
        <f>IFERROR(VLOOKUP(C834,Assets!$A:$F,6,FALSE),0)</f>
        <v/>
      </c>
      <c r="F834" t="inlineStr">
        <is>
          <t>Auto</t>
        </is>
      </c>
      <c r="G834" s="44" t="n"/>
      <c r="H834" s="44">
        <f>IF(F834="No",0,IF(F834="Edited",IF(G834="",E834,G834),E834))</f>
        <v/>
      </c>
    </row>
    <row r="835">
      <c r="A835" s="41" t="n">
        <v>49279</v>
      </c>
      <c r="B835" s="32">
        <f>DATE(YEAR(A835),MONTH(A835),1)</f>
        <v/>
      </c>
      <c r="C835" t="inlineStr">
        <is>
          <t>AI &amp; Big Data</t>
        </is>
      </c>
      <c r="D835" t="inlineStr">
        <is>
          <t>PAC</t>
        </is>
      </c>
      <c r="E835" s="44">
        <f>IFERROR(VLOOKUP(C835,Assets!$A:$F,6,FALSE),0)</f>
        <v/>
      </c>
      <c r="F835" t="inlineStr">
        <is>
          <t>Auto</t>
        </is>
      </c>
      <c r="G835" s="44" t="n"/>
      <c r="H835" s="44">
        <f>IF(F835="No",0,IF(F835="Edited",IF(G835="",E835,G835),E835))</f>
        <v/>
      </c>
    </row>
    <row r="836">
      <c r="A836" s="41" t="n">
        <v>49279</v>
      </c>
      <c r="B836" s="32">
        <f>DATE(YEAR(A836),MONTH(A836),1)</f>
        <v/>
      </c>
      <c r="C836" t="inlineStr">
        <is>
          <t>Physical Gold</t>
        </is>
      </c>
      <c r="D836" t="inlineStr">
        <is>
          <t>PAC</t>
        </is>
      </c>
      <c r="E836" s="44">
        <f>IFERROR(VLOOKUP(C836,Assets!$A:$F,6,FALSE),0)</f>
        <v/>
      </c>
      <c r="F836" t="inlineStr">
        <is>
          <t>Auto</t>
        </is>
      </c>
      <c r="G836" s="44" t="n"/>
      <c r="H836" s="44">
        <f>IF(F836="No",0,IF(F836="Edited",IF(G836="",E836,G836),E836))</f>
        <v/>
      </c>
    </row>
    <row r="837">
      <c r="A837" s="41" t="n">
        <v>49279</v>
      </c>
      <c r="B837" s="32">
        <f>DATE(YEAR(A837),MONTH(A837),1)</f>
        <v/>
      </c>
      <c r="C837" t="inlineStr">
        <is>
          <t>Global Gov Bond</t>
        </is>
      </c>
      <c r="D837" t="inlineStr">
        <is>
          <t>PAC</t>
        </is>
      </c>
      <c r="E837" s="44">
        <f>IFERROR(VLOOKUP(C837,Assets!$A:$F,6,FALSE),0)</f>
        <v/>
      </c>
      <c r="F837" t="inlineStr">
        <is>
          <t>Auto</t>
        </is>
      </c>
      <c r="G837" s="44" t="n"/>
      <c r="H837" s="44">
        <f>IF(F837="No",0,IF(F837="Edited",IF(G837="",E837,G837),E837))</f>
        <v/>
      </c>
    </row>
    <row r="838">
      <c r="A838" s="41" t="n">
        <v>49279</v>
      </c>
      <c r="B838" s="32">
        <f>DATE(YEAR(A838),MONTH(A838),1)</f>
        <v/>
      </c>
      <c r="C838" t="inlineStr">
        <is>
          <t>Core EUR Corp Bond</t>
        </is>
      </c>
      <c r="D838" t="inlineStr">
        <is>
          <t>PAC</t>
        </is>
      </c>
      <c r="E838" s="44">
        <f>IFERROR(VLOOKUP(C838,Assets!$A:$F,6,FALSE),0)</f>
        <v/>
      </c>
      <c r="F838" t="inlineStr">
        <is>
          <t>Auto</t>
        </is>
      </c>
      <c r="G838" s="44" t="n"/>
      <c r="H838" s="44">
        <f>IF(F838="No",0,IF(F838="Edited",IF(G838="",E838,G838),E838))</f>
        <v/>
      </c>
    </row>
    <row r="839">
      <c r="A839" s="41" t="n">
        <v>49279</v>
      </c>
      <c r="B839" s="32">
        <f>DATE(YEAR(A839),MONTH(A839),1)</f>
        <v/>
      </c>
      <c r="C839" t="inlineStr">
        <is>
          <t>MSCI World Value</t>
        </is>
      </c>
      <c r="D839" t="inlineStr">
        <is>
          <t>PAC</t>
        </is>
      </c>
      <c r="E839" s="44">
        <f>IFERROR(VLOOKUP(C839,Assets!$A:$F,6,FALSE),0)</f>
        <v/>
      </c>
      <c r="F839" t="inlineStr">
        <is>
          <t>Auto</t>
        </is>
      </c>
      <c r="G839" s="44" t="n"/>
      <c r="H839" s="44">
        <f>IF(F839="No",0,IF(F839="Edited",IF(G839="",E839,G839),E839))</f>
        <v/>
      </c>
    </row>
    <row r="840">
      <c r="A840" s="41" t="n">
        <v>49279</v>
      </c>
      <c r="B840" s="32">
        <f>DATE(YEAR(A840),MONTH(A840),1)</f>
        <v/>
      </c>
      <c r="C840" t="inlineStr">
        <is>
          <t>MSCI EM</t>
        </is>
      </c>
      <c r="D840" t="inlineStr">
        <is>
          <t>PAC</t>
        </is>
      </c>
      <c r="E840" s="44">
        <f>IFERROR(VLOOKUP(C840,Assets!$A:$F,6,FALSE),0)</f>
        <v/>
      </c>
      <c r="F840" t="inlineStr">
        <is>
          <t>Auto</t>
        </is>
      </c>
      <c r="G840" s="44" t="n"/>
      <c r="H840" s="44">
        <f>IF(F840="No",0,IF(F840="Edited",IF(G840="",E840,G840),E840))</f>
        <v/>
      </c>
    </row>
    <row r="841">
      <c r="A841" s="41" t="n">
        <v>49279</v>
      </c>
      <c r="B841" s="32">
        <f>DATE(YEAR(A841),MONTH(A841),1)</f>
        <v/>
      </c>
      <c r="C841" t="inlineStr">
        <is>
          <t>Defence Tech</t>
        </is>
      </c>
      <c r="D841" t="inlineStr">
        <is>
          <t>PAC</t>
        </is>
      </c>
      <c r="E841" s="44">
        <f>IFERROR(VLOOKUP(C841,Assets!$A:$F,6,FALSE),0)</f>
        <v/>
      </c>
      <c r="F841" t="inlineStr">
        <is>
          <t>Auto</t>
        </is>
      </c>
      <c r="G841" s="44" t="n"/>
      <c r="H841" s="44">
        <f>IF(F841="No",0,IF(F841="Edited",IF(G841="",E841,G841),E841))</f>
        <v/>
      </c>
    </row>
    <row r="842">
      <c r="A842" s="41" t="n">
        <v>49310</v>
      </c>
      <c r="B842" s="32">
        <f>DATE(YEAR(A842),MONTH(A842),1)</f>
        <v/>
      </c>
      <c r="C842" t="inlineStr">
        <is>
          <t>Core MSCI World</t>
        </is>
      </c>
      <c r="D842" t="inlineStr">
        <is>
          <t>PAC</t>
        </is>
      </c>
      <c r="E842" s="44">
        <f>IFERROR(VLOOKUP(C842,Assets!$A:$F,6,FALSE),0)</f>
        <v/>
      </c>
      <c r="F842" t="inlineStr">
        <is>
          <t>Auto</t>
        </is>
      </c>
      <c r="G842" s="44" t="n"/>
      <c r="H842" s="44">
        <f>IF(F842="No",0,IF(F842="Edited",IF(G842="",E842,G842),E842))</f>
        <v/>
      </c>
    </row>
    <row r="843">
      <c r="A843" s="41" t="n">
        <v>49310</v>
      </c>
      <c r="B843" s="32">
        <f>DATE(YEAR(A843),MONTH(A843),1)</f>
        <v/>
      </c>
      <c r="C843" t="inlineStr">
        <is>
          <t>AI &amp; Big Data</t>
        </is>
      </c>
      <c r="D843" t="inlineStr">
        <is>
          <t>PAC</t>
        </is>
      </c>
      <c r="E843" s="44">
        <f>IFERROR(VLOOKUP(C843,Assets!$A:$F,6,FALSE),0)</f>
        <v/>
      </c>
      <c r="F843" t="inlineStr">
        <is>
          <t>Auto</t>
        </is>
      </c>
      <c r="G843" s="44" t="n"/>
      <c r="H843" s="44">
        <f>IF(F843="No",0,IF(F843="Edited",IF(G843="",E843,G843),E843))</f>
        <v/>
      </c>
    </row>
    <row r="844">
      <c r="A844" s="41" t="n">
        <v>49310</v>
      </c>
      <c r="B844" s="32">
        <f>DATE(YEAR(A844),MONTH(A844),1)</f>
        <v/>
      </c>
      <c r="C844" t="inlineStr">
        <is>
          <t>Physical Gold</t>
        </is>
      </c>
      <c r="D844" t="inlineStr">
        <is>
          <t>PAC</t>
        </is>
      </c>
      <c r="E844" s="44">
        <f>IFERROR(VLOOKUP(C844,Assets!$A:$F,6,FALSE),0)</f>
        <v/>
      </c>
      <c r="F844" t="inlineStr">
        <is>
          <t>Auto</t>
        </is>
      </c>
      <c r="G844" s="44" t="n"/>
      <c r="H844" s="44">
        <f>IF(F844="No",0,IF(F844="Edited",IF(G844="",E844,G844),E844))</f>
        <v/>
      </c>
    </row>
    <row r="845">
      <c r="A845" s="41" t="n">
        <v>49310</v>
      </c>
      <c r="B845" s="32">
        <f>DATE(YEAR(A845),MONTH(A845),1)</f>
        <v/>
      </c>
      <c r="C845" t="inlineStr">
        <is>
          <t>Global Gov Bond</t>
        </is>
      </c>
      <c r="D845" t="inlineStr">
        <is>
          <t>PAC</t>
        </is>
      </c>
      <c r="E845" s="44">
        <f>IFERROR(VLOOKUP(C845,Assets!$A:$F,6,FALSE),0)</f>
        <v/>
      </c>
      <c r="F845" t="inlineStr">
        <is>
          <t>Auto</t>
        </is>
      </c>
      <c r="G845" s="44" t="n"/>
      <c r="H845" s="44">
        <f>IF(F845="No",0,IF(F845="Edited",IF(G845="",E845,G845),E845))</f>
        <v/>
      </c>
    </row>
    <row r="846">
      <c r="A846" s="41" t="n">
        <v>49310</v>
      </c>
      <c r="B846" s="32">
        <f>DATE(YEAR(A846),MONTH(A846),1)</f>
        <v/>
      </c>
      <c r="C846" t="inlineStr">
        <is>
          <t>Core EUR Corp Bond</t>
        </is>
      </c>
      <c r="D846" t="inlineStr">
        <is>
          <t>PAC</t>
        </is>
      </c>
      <c r="E846" s="44">
        <f>IFERROR(VLOOKUP(C846,Assets!$A:$F,6,FALSE),0)</f>
        <v/>
      </c>
      <c r="F846" t="inlineStr">
        <is>
          <t>Auto</t>
        </is>
      </c>
      <c r="G846" s="44" t="n"/>
      <c r="H846" s="44">
        <f>IF(F846="No",0,IF(F846="Edited",IF(G846="",E846,G846),E846))</f>
        <v/>
      </c>
    </row>
    <row r="847">
      <c r="A847" s="41" t="n">
        <v>49310</v>
      </c>
      <c r="B847" s="32">
        <f>DATE(YEAR(A847),MONTH(A847),1)</f>
        <v/>
      </c>
      <c r="C847" t="inlineStr">
        <is>
          <t>MSCI World Value</t>
        </is>
      </c>
      <c r="D847" t="inlineStr">
        <is>
          <t>PAC</t>
        </is>
      </c>
      <c r="E847" s="44">
        <f>IFERROR(VLOOKUP(C847,Assets!$A:$F,6,FALSE),0)</f>
        <v/>
      </c>
      <c r="F847" t="inlineStr">
        <is>
          <t>Auto</t>
        </is>
      </c>
      <c r="G847" s="44" t="n"/>
      <c r="H847" s="44">
        <f>IF(F847="No",0,IF(F847="Edited",IF(G847="",E847,G847),E847))</f>
        <v/>
      </c>
    </row>
    <row r="848">
      <c r="A848" s="41" t="n">
        <v>49310</v>
      </c>
      <c r="B848" s="32">
        <f>DATE(YEAR(A848),MONTH(A848),1)</f>
        <v/>
      </c>
      <c r="C848" t="inlineStr">
        <is>
          <t>MSCI EM</t>
        </is>
      </c>
      <c r="D848" t="inlineStr">
        <is>
          <t>PAC</t>
        </is>
      </c>
      <c r="E848" s="44">
        <f>IFERROR(VLOOKUP(C848,Assets!$A:$F,6,FALSE),0)</f>
        <v/>
      </c>
      <c r="F848" t="inlineStr">
        <is>
          <t>Auto</t>
        </is>
      </c>
      <c r="G848" s="44" t="n"/>
      <c r="H848" s="44">
        <f>IF(F848="No",0,IF(F848="Edited",IF(G848="",E848,G848),E848))</f>
        <v/>
      </c>
    </row>
    <row r="849">
      <c r="A849" s="41" t="n">
        <v>49310</v>
      </c>
      <c r="B849" s="32">
        <f>DATE(YEAR(A849),MONTH(A849),1)</f>
        <v/>
      </c>
      <c r="C849" t="inlineStr">
        <is>
          <t>Defence Tech</t>
        </is>
      </c>
      <c r="D849" t="inlineStr">
        <is>
          <t>PAC</t>
        </is>
      </c>
      <c r="E849" s="44">
        <f>IFERROR(VLOOKUP(C849,Assets!$A:$F,6,FALSE),0)</f>
        <v/>
      </c>
      <c r="F849" t="inlineStr">
        <is>
          <t>Auto</t>
        </is>
      </c>
      <c r="G849" s="44" t="n"/>
      <c r="H849" s="44">
        <f>IF(F849="No",0,IF(F849="Edited",IF(G849="",E849,G849),E849))</f>
        <v/>
      </c>
    </row>
    <row r="850">
      <c r="A850" s="41" t="n">
        <v>49341</v>
      </c>
      <c r="B850" s="32">
        <f>DATE(YEAR(A850),MONTH(A850),1)</f>
        <v/>
      </c>
      <c r="C850" t="inlineStr">
        <is>
          <t>Core MSCI World</t>
        </is>
      </c>
      <c r="D850" t="inlineStr">
        <is>
          <t>PAC</t>
        </is>
      </c>
      <c r="E850" s="44">
        <f>IFERROR(VLOOKUP(C850,Assets!$A:$F,6,FALSE),0)</f>
        <v/>
      </c>
      <c r="F850" t="inlineStr">
        <is>
          <t>Auto</t>
        </is>
      </c>
      <c r="G850" s="44" t="n"/>
      <c r="H850" s="44">
        <f>IF(F850="No",0,IF(F850="Edited",IF(G850="",E850,G850),E850))</f>
        <v/>
      </c>
    </row>
    <row r="851">
      <c r="A851" s="41" t="n">
        <v>49341</v>
      </c>
      <c r="B851" s="32">
        <f>DATE(YEAR(A851),MONTH(A851),1)</f>
        <v/>
      </c>
      <c r="C851" t="inlineStr">
        <is>
          <t>AI &amp; Big Data</t>
        </is>
      </c>
      <c r="D851" t="inlineStr">
        <is>
          <t>PAC</t>
        </is>
      </c>
      <c r="E851" s="44">
        <f>IFERROR(VLOOKUP(C851,Assets!$A:$F,6,FALSE),0)</f>
        <v/>
      </c>
      <c r="F851" t="inlineStr">
        <is>
          <t>Auto</t>
        </is>
      </c>
      <c r="G851" s="44" t="n"/>
      <c r="H851" s="44">
        <f>IF(F851="No",0,IF(F851="Edited",IF(G851="",E851,G851),E851))</f>
        <v/>
      </c>
    </row>
    <row r="852">
      <c r="A852" s="41" t="n">
        <v>49341</v>
      </c>
      <c r="B852" s="32">
        <f>DATE(YEAR(A852),MONTH(A852),1)</f>
        <v/>
      </c>
      <c r="C852" t="inlineStr">
        <is>
          <t>Physical Gold</t>
        </is>
      </c>
      <c r="D852" t="inlineStr">
        <is>
          <t>PAC</t>
        </is>
      </c>
      <c r="E852" s="44">
        <f>IFERROR(VLOOKUP(C852,Assets!$A:$F,6,FALSE),0)</f>
        <v/>
      </c>
      <c r="F852" t="inlineStr">
        <is>
          <t>Auto</t>
        </is>
      </c>
      <c r="G852" s="44" t="n"/>
      <c r="H852" s="44">
        <f>IF(F852="No",0,IF(F852="Edited",IF(G852="",E852,G852),E852))</f>
        <v/>
      </c>
    </row>
    <row r="853">
      <c r="A853" s="41" t="n">
        <v>49341</v>
      </c>
      <c r="B853" s="32">
        <f>DATE(YEAR(A853),MONTH(A853),1)</f>
        <v/>
      </c>
      <c r="C853" t="inlineStr">
        <is>
          <t>Global Gov Bond</t>
        </is>
      </c>
      <c r="D853" t="inlineStr">
        <is>
          <t>PAC</t>
        </is>
      </c>
      <c r="E853" s="44">
        <f>IFERROR(VLOOKUP(C853,Assets!$A:$F,6,FALSE),0)</f>
        <v/>
      </c>
      <c r="F853" t="inlineStr">
        <is>
          <t>Auto</t>
        </is>
      </c>
      <c r="G853" s="44" t="n"/>
      <c r="H853" s="44">
        <f>IF(F853="No",0,IF(F853="Edited",IF(G853="",E853,G853),E853))</f>
        <v/>
      </c>
    </row>
    <row r="854">
      <c r="A854" s="41" t="n">
        <v>49341</v>
      </c>
      <c r="B854" s="32">
        <f>DATE(YEAR(A854),MONTH(A854),1)</f>
        <v/>
      </c>
      <c r="C854" t="inlineStr">
        <is>
          <t>Core EUR Corp Bond</t>
        </is>
      </c>
      <c r="D854" t="inlineStr">
        <is>
          <t>PAC</t>
        </is>
      </c>
      <c r="E854" s="44">
        <f>IFERROR(VLOOKUP(C854,Assets!$A:$F,6,FALSE),0)</f>
        <v/>
      </c>
      <c r="F854" t="inlineStr">
        <is>
          <t>Auto</t>
        </is>
      </c>
      <c r="G854" s="44" t="n"/>
      <c r="H854" s="44">
        <f>IF(F854="No",0,IF(F854="Edited",IF(G854="",E854,G854),E854))</f>
        <v/>
      </c>
    </row>
    <row r="855">
      <c r="A855" s="41" t="n">
        <v>49341</v>
      </c>
      <c r="B855" s="32">
        <f>DATE(YEAR(A855),MONTH(A855),1)</f>
        <v/>
      </c>
      <c r="C855" t="inlineStr">
        <is>
          <t>MSCI World Value</t>
        </is>
      </c>
      <c r="D855" t="inlineStr">
        <is>
          <t>PAC</t>
        </is>
      </c>
      <c r="E855" s="44">
        <f>IFERROR(VLOOKUP(C855,Assets!$A:$F,6,FALSE),0)</f>
        <v/>
      </c>
      <c r="F855" t="inlineStr">
        <is>
          <t>Auto</t>
        </is>
      </c>
      <c r="G855" s="44" t="n"/>
      <c r="H855" s="44">
        <f>IF(F855="No",0,IF(F855="Edited",IF(G855="",E855,G855),E855))</f>
        <v/>
      </c>
    </row>
    <row r="856">
      <c r="A856" s="41" t="n">
        <v>49341</v>
      </c>
      <c r="B856" s="32">
        <f>DATE(YEAR(A856),MONTH(A856),1)</f>
        <v/>
      </c>
      <c r="C856" t="inlineStr">
        <is>
          <t>MSCI EM</t>
        </is>
      </c>
      <c r="D856" t="inlineStr">
        <is>
          <t>PAC</t>
        </is>
      </c>
      <c r="E856" s="44">
        <f>IFERROR(VLOOKUP(C856,Assets!$A:$F,6,FALSE),0)</f>
        <v/>
      </c>
      <c r="F856" t="inlineStr">
        <is>
          <t>Auto</t>
        </is>
      </c>
      <c r="G856" s="44" t="n"/>
      <c r="H856" s="44">
        <f>IF(F856="No",0,IF(F856="Edited",IF(G856="",E856,G856),E856))</f>
        <v/>
      </c>
    </row>
    <row r="857">
      <c r="A857" s="41" t="n">
        <v>49341</v>
      </c>
      <c r="B857" s="32">
        <f>DATE(YEAR(A857),MONTH(A857),1)</f>
        <v/>
      </c>
      <c r="C857" t="inlineStr">
        <is>
          <t>Defence Tech</t>
        </is>
      </c>
      <c r="D857" t="inlineStr">
        <is>
          <t>PAC</t>
        </is>
      </c>
      <c r="E857" s="44">
        <f>IFERROR(VLOOKUP(C857,Assets!$A:$F,6,FALSE),0)</f>
        <v/>
      </c>
      <c r="F857" t="inlineStr">
        <is>
          <t>Auto</t>
        </is>
      </c>
      <c r="G857" s="44" t="n"/>
      <c r="H857" s="44">
        <f>IF(F857="No",0,IF(F857="Edited",IF(G857="",E857,G857),E857))</f>
        <v/>
      </c>
    </row>
    <row r="858">
      <c r="A858" s="41" t="n">
        <v>49369</v>
      </c>
      <c r="B858" s="32">
        <f>DATE(YEAR(A858),MONTH(A858),1)</f>
        <v/>
      </c>
      <c r="C858" t="inlineStr">
        <is>
          <t>Core MSCI World</t>
        </is>
      </c>
      <c r="D858" t="inlineStr">
        <is>
          <t>PAC</t>
        </is>
      </c>
      <c r="E858" s="44">
        <f>IFERROR(VLOOKUP(C858,Assets!$A:$F,6,FALSE),0)</f>
        <v/>
      </c>
      <c r="F858" t="inlineStr">
        <is>
          <t>Auto</t>
        </is>
      </c>
      <c r="G858" s="44" t="n"/>
      <c r="H858" s="44">
        <f>IF(F858="No",0,IF(F858="Edited",IF(G858="",E858,G858),E858))</f>
        <v/>
      </c>
    </row>
    <row r="859">
      <c r="A859" s="41" t="n">
        <v>49369</v>
      </c>
      <c r="B859" s="32">
        <f>DATE(YEAR(A859),MONTH(A859),1)</f>
        <v/>
      </c>
      <c r="C859" t="inlineStr">
        <is>
          <t>AI &amp; Big Data</t>
        </is>
      </c>
      <c r="D859" t="inlineStr">
        <is>
          <t>PAC</t>
        </is>
      </c>
      <c r="E859" s="44">
        <f>IFERROR(VLOOKUP(C859,Assets!$A:$F,6,FALSE),0)</f>
        <v/>
      </c>
      <c r="F859" t="inlineStr">
        <is>
          <t>Auto</t>
        </is>
      </c>
      <c r="G859" s="44" t="n"/>
      <c r="H859" s="44">
        <f>IF(F859="No",0,IF(F859="Edited",IF(G859="",E859,G859),E859))</f>
        <v/>
      </c>
    </row>
    <row r="860">
      <c r="A860" s="41" t="n">
        <v>49369</v>
      </c>
      <c r="B860" s="32">
        <f>DATE(YEAR(A860),MONTH(A860),1)</f>
        <v/>
      </c>
      <c r="C860" t="inlineStr">
        <is>
          <t>Physical Gold</t>
        </is>
      </c>
      <c r="D860" t="inlineStr">
        <is>
          <t>PAC</t>
        </is>
      </c>
      <c r="E860" s="44">
        <f>IFERROR(VLOOKUP(C860,Assets!$A:$F,6,FALSE),0)</f>
        <v/>
      </c>
      <c r="F860" t="inlineStr">
        <is>
          <t>Auto</t>
        </is>
      </c>
      <c r="G860" s="44" t="n"/>
      <c r="H860" s="44">
        <f>IF(F860="No",0,IF(F860="Edited",IF(G860="",E860,G860),E860))</f>
        <v/>
      </c>
    </row>
    <row r="861">
      <c r="A861" s="41" t="n">
        <v>49369</v>
      </c>
      <c r="B861" s="32">
        <f>DATE(YEAR(A861),MONTH(A861),1)</f>
        <v/>
      </c>
      <c r="C861" t="inlineStr">
        <is>
          <t>Global Gov Bond</t>
        </is>
      </c>
      <c r="D861" t="inlineStr">
        <is>
          <t>PAC</t>
        </is>
      </c>
      <c r="E861" s="44">
        <f>IFERROR(VLOOKUP(C861,Assets!$A:$F,6,FALSE),0)</f>
        <v/>
      </c>
      <c r="F861" t="inlineStr">
        <is>
          <t>Auto</t>
        </is>
      </c>
      <c r="G861" s="44" t="n"/>
      <c r="H861" s="44">
        <f>IF(F861="No",0,IF(F861="Edited",IF(G861="",E861,G861),E861))</f>
        <v/>
      </c>
    </row>
    <row r="862">
      <c r="A862" s="41" t="n">
        <v>49369</v>
      </c>
      <c r="B862" s="32">
        <f>DATE(YEAR(A862),MONTH(A862),1)</f>
        <v/>
      </c>
      <c r="C862" t="inlineStr">
        <is>
          <t>Core EUR Corp Bond</t>
        </is>
      </c>
      <c r="D862" t="inlineStr">
        <is>
          <t>PAC</t>
        </is>
      </c>
      <c r="E862" s="44">
        <f>IFERROR(VLOOKUP(C862,Assets!$A:$F,6,FALSE),0)</f>
        <v/>
      </c>
      <c r="F862" t="inlineStr">
        <is>
          <t>Auto</t>
        </is>
      </c>
      <c r="G862" s="44" t="n"/>
      <c r="H862" s="44">
        <f>IF(F862="No",0,IF(F862="Edited",IF(G862="",E862,G862),E862))</f>
        <v/>
      </c>
    </row>
    <row r="863">
      <c r="A863" s="41" t="n">
        <v>49369</v>
      </c>
      <c r="B863" s="32">
        <f>DATE(YEAR(A863),MONTH(A863),1)</f>
        <v/>
      </c>
      <c r="C863" t="inlineStr">
        <is>
          <t>MSCI World Value</t>
        </is>
      </c>
      <c r="D863" t="inlineStr">
        <is>
          <t>PAC</t>
        </is>
      </c>
      <c r="E863" s="44">
        <f>IFERROR(VLOOKUP(C863,Assets!$A:$F,6,FALSE),0)</f>
        <v/>
      </c>
      <c r="F863" t="inlineStr">
        <is>
          <t>Auto</t>
        </is>
      </c>
      <c r="G863" s="44" t="n"/>
      <c r="H863" s="44">
        <f>IF(F863="No",0,IF(F863="Edited",IF(G863="",E863,G863),E863))</f>
        <v/>
      </c>
    </row>
    <row r="864">
      <c r="A864" s="41" t="n">
        <v>49369</v>
      </c>
      <c r="B864" s="32">
        <f>DATE(YEAR(A864),MONTH(A864),1)</f>
        <v/>
      </c>
      <c r="C864" t="inlineStr">
        <is>
          <t>MSCI EM</t>
        </is>
      </c>
      <c r="D864" t="inlineStr">
        <is>
          <t>PAC</t>
        </is>
      </c>
      <c r="E864" s="44">
        <f>IFERROR(VLOOKUP(C864,Assets!$A:$F,6,FALSE),0)</f>
        <v/>
      </c>
      <c r="F864" t="inlineStr">
        <is>
          <t>Auto</t>
        </is>
      </c>
      <c r="G864" s="44" t="n"/>
      <c r="H864" s="44">
        <f>IF(F864="No",0,IF(F864="Edited",IF(G864="",E864,G864),E864))</f>
        <v/>
      </c>
    </row>
    <row r="865">
      <c r="A865" s="41" t="n">
        <v>49369</v>
      </c>
      <c r="B865" s="32">
        <f>DATE(YEAR(A865),MONTH(A865),1)</f>
        <v/>
      </c>
      <c r="C865" t="inlineStr">
        <is>
          <t>Defence Tech</t>
        </is>
      </c>
      <c r="D865" t="inlineStr">
        <is>
          <t>PAC</t>
        </is>
      </c>
      <c r="E865" s="44">
        <f>IFERROR(VLOOKUP(C865,Assets!$A:$F,6,FALSE),0)</f>
        <v/>
      </c>
      <c r="F865" t="inlineStr">
        <is>
          <t>Auto</t>
        </is>
      </c>
      <c r="G865" s="44" t="n"/>
      <c r="H865" s="44">
        <f>IF(F865="No",0,IF(F865="Edited",IF(G865="",E865,G865),E865))</f>
        <v/>
      </c>
    </row>
    <row r="866">
      <c r="A866" s="41" t="n">
        <v>49400</v>
      </c>
      <c r="B866" s="32">
        <f>DATE(YEAR(A866),MONTH(A866),1)</f>
        <v/>
      </c>
      <c r="C866" t="inlineStr">
        <is>
          <t>Core MSCI World</t>
        </is>
      </c>
      <c r="D866" t="inlineStr">
        <is>
          <t>PAC</t>
        </is>
      </c>
      <c r="E866" s="44">
        <f>IFERROR(VLOOKUP(C866,Assets!$A:$F,6,FALSE),0)</f>
        <v/>
      </c>
      <c r="F866" t="inlineStr">
        <is>
          <t>Auto</t>
        </is>
      </c>
      <c r="G866" s="44" t="n"/>
      <c r="H866" s="44">
        <f>IF(F866="No",0,IF(F866="Edited",IF(G866="",E866,G866),E866))</f>
        <v/>
      </c>
    </row>
    <row r="867">
      <c r="A867" s="41" t="n">
        <v>49400</v>
      </c>
      <c r="B867" s="32">
        <f>DATE(YEAR(A867),MONTH(A867),1)</f>
        <v/>
      </c>
      <c r="C867" t="inlineStr">
        <is>
          <t>AI &amp; Big Data</t>
        </is>
      </c>
      <c r="D867" t="inlineStr">
        <is>
          <t>PAC</t>
        </is>
      </c>
      <c r="E867" s="44">
        <f>IFERROR(VLOOKUP(C867,Assets!$A:$F,6,FALSE),0)</f>
        <v/>
      </c>
      <c r="F867" t="inlineStr">
        <is>
          <t>Auto</t>
        </is>
      </c>
      <c r="G867" s="44" t="n"/>
      <c r="H867" s="44">
        <f>IF(F867="No",0,IF(F867="Edited",IF(G867="",E867,G867),E867))</f>
        <v/>
      </c>
    </row>
    <row r="868">
      <c r="A868" s="41" t="n">
        <v>49400</v>
      </c>
      <c r="B868" s="32">
        <f>DATE(YEAR(A868),MONTH(A868),1)</f>
        <v/>
      </c>
      <c r="C868" t="inlineStr">
        <is>
          <t>Physical Gold</t>
        </is>
      </c>
      <c r="D868" t="inlineStr">
        <is>
          <t>PAC</t>
        </is>
      </c>
      <c r="E868" s="44">
        <f>IFERROR(VLOOKUP(C868,Assets!$A:$F,6,FALSE),0)</f>
        <v/>
      </c>
      <c r="F868" t="inlineStr">
        <is>
          <t>Auto</t>
        </is>
      </c>
      <c r="G868" s="44" t="n"/>
      <c r="H868" s="44">
        <f>IF(F868="No",0,IF(F868="Edited",IF(G868="",E868,G868),E868))</f>
        <v/>
      </c>
    </row>
    <row r="869">
      <c r="A869" s="41" t="n">
        <v>49400</v>
      </c>
      <c r="B869" s="32">
        <f>DATE(YEAR(A869),MONTH(A869),1)</f>
        <v/>
      </c>
      <c r="C869" t="inlineStr">
        <is>
          <t>Global Gov Bond</t>
        </is>
      </c>
      <c r="D869" t="inlineStr">
        <is>
          <t>PAC</t>
        </is>
      </c>
      <c r="E869" s="44">
        <f>IFERROR(VLOOKUP(C869,Assets!$A:$F,6,FALSE),0)</f>
        <v/>
      </c>
      <c r="F869" t="inlineStr">
        <is>
          <t>Auto</t>
        </is>
      </c>
      <c r="G869" s="44" t="n"/>
      <c r="H869" s="44">
        <f>IF(F869="No",0,IF(F869="Edited",IF(G869="",E869,G869),E869))</f>
        <v/>
      </c>
    </row>
    <row r="870">
      <c r="A870" s="41" t="n">
        <v>49400</v>
      </c>
      <c r="B870" s="32">
        <f>DATE(YEAR(A870),MONTH(A870),1)</f>
        <v/>
      </c>
      <c r="C870" t="inlineStr">
        <is>
          <t>Core EUR Corp Bond</t>
        </is>
      </c>
      <c r="D870" t="inlineStr">
        <is>
          <t>PAC</t>
        </is>
      </c>
      <c r="E870" s="44">
        <f>IFERROR(VLOOKUP(C870,Assets!$A:$F,6,FALSE),0)</f>
        <v/>
      </c>
      <c r="F870" t="inlineStr">
        <is>
          <t>Auto</t>
        </is>
      </c>
      <c r="G870" s="44" t="n"/>
      <c r="H870" s="44">
        <f>IF(F870="No",0,IF(F870="Edited",IF(G870="",E870,G870),E870))</f>
        <v/>
      </c>
    </row>
    <row r="871">
      <c r="A871" s="41" t="n">
        <v>49400</v>
      </c>
      <c r="B871" s="32">
        <f>DATE(YEAR(A871),MONTH(A871),1)</f>
        <v/>
      </c>
      <c r="C871" t="inlineStr">
        <is>
          <t>MSCI World Value</t>
        </is>
      </c>
      <c r="D871" t="inlineStr">
        <is>
          <t>PAC</t>
        </is>
      </c>
      <c r="E871" s="44">
        <f>IFERROR(VLOOKUP(C871,Assets!$A:$F,6,FALSE),0)</f>
        <v/>
      </c>
      <c r="F871" t="inlineStr">
        <is>
          <t>Auto</t>
        </is>
      </c>
      <c r="G871" s="44" t="n"/>
      <c r="H871" s="44">
        <f>IF(F871="No",0,IF(F871="Edited",IF(G871="",E871,G871),E871))</f>
        <v/>
      </c>
    </row>
    <row r="872">
      <c r="A872" s="41" t="n">
        <v>49400</v>
      </c>
      <c r="B872" s="32">
        <f>DATE(YEAR(A872),MONTH(A872),1)</f>
        <v/>
      </c>
      <c r="C872" t="inlineStr">
        <is>
          <t>MSCI EM</t>
        </is>
      </c>
      <c r="D872" t="inlineStr">
        <is>
          <t>PAC</t>
        </is>
      </c>
      <c r="E872" s="44">
        <f>IFERROR(VLOOKUP(C872,Assets!$A:$F,6,FALSE),0)</f>
        <v/>
      </c>
      <c r="F872" t="inlineStr">
        <is>
          <t>Auto</t>
        </is>
      </c>
      <c r="G872" s="44" t="n"/>
      <c r="H872" s="44">
        <f>IF(F872="No",0,IF(F872="Edited",IF(G872="",E872,G872),E872))</f>
        <v/>
      </c>
    </row>
    <row r="873">
      <c r="A873" s="41" t="n">
        <v>49400</v>
      </c>
      <c r="B873" s="32">
        <f>DATE(YEAR(A873),MONTH(A873),1)</f>
        <v/>
      </c>
      <c r="C873" t="inlineStr">
        <is>
          <t>Defence Tech</t>
        </is>
      </c>
      <c r="D873" t="inlineStr">
        <is>
          <t>PAC</t>
        </is>
      </c>
      <c r="E873" s="44">
        <f>IFERROR(VLOOKUP(C873,Assets!$A:$F,6,FALSE),0)</f>
        <v/>
      </c>
      <c r="F873" t="inlineStr">
        <is>
          <t>Auto</t>
        </is>
      </c>
      <c r="G873" s="44" t="n"/>
      <c r="H873" s="44">
        <f>IF(F873="No",0,IF(F873="Edited",IF(G873="",E873,G873),E873))</f>
        <v/>
      </c>
    </row>
    <row r="874">
      <c r="A874" s="41" t="n">
        <v>49430</v>
      </c>
      <c r="B874" s="32">
        <f>DATE(YEAR(A874),MONTH(A874),1)</f>
        <v/>
      </c>
      <c r="C874" t="inlineStr">
        <is>
          <t>Core MSCI World</t>
        </is>
      </c>
      <c r="D874" t="inlineStr">
        <is>
          <t>PAC</t>
        </is>
      </c>
      <c r="E874" s="44">
        <f>IFERROR(VLOOKUP(C874,Assets!$A:$F,6,FALSE),0)</f>
        <v/>
      </c>
      <c r="F874" t="inlineStr">
        <is>
          <t>Auto</t>
        </is>
      </c>
      <c r="G874" s="44" t="n"/>
      <c r="H874" s="44">
        <f>IF(F874="No",0,IF(F874="Edited",IF(G874="",E874,G874),E874))</f>
        <v/>
      </c>
    </row>
    <row r="875">
      <c r="A875" s="41" t="n">
        <v>49430</v>
      </c>
      <c r="B875" s="32">
        <f>DATE(YEAR(A875),MONTH(A875),1)</f>
        <v/>
      </c>
      <c r="C875" t="inlineStr">
        <is>
          <t>AI &amp; Big Data</t>
        </is>
      </c>
      <c r="D875" t="inlineStr">
        <is>
          <t>PAC</t>
        </is>
      </c>
      <c r="E875" s="44">
        <f>IFERROR(VLOOKUP(C875,Assets!$A:$F,6,FALSE),0)</f>
        <v/>
      </c>
      <c r="F875" t="inlineStr">
        <is>
          <t>Auto</t>
        </is>
      </c>
      <c r="G875" s="44" t="n"/>
      <c r="H875" s="44">
        <f>IF(F875="No",0,IF(F875="Edited",IF(G875="",E875,G875),E875))</f>
        <v/>
      </c>
    </row>
    <row r="876">
      <c r="A876" s="41" t="n">
        <v>49430</v>
      </c>
      <c r="B876" s="32">
        <f>DATE(YEAR(A876),MONTH(A876),1)</f>
        <v/>
      </c>
      <c r="C876" t="inlineStr">
        <is>
          <t>Physical Gold</t>
        </is>
      </c>
      <c r="D876" t="inlineStr">
        <is>
          <t>PAC</t>
        </is>
      </c>
      <c r="E876" s="44">
        <f>IFERROR(VLOOKUP(C876,Assets!$A:$F,6,FALSE),0)</f>
        <v/>
      </c>
      <c r="F876" t="inlineStr">
        <is>
          <t>Auto</t>
        </is>
      </c>
      <c r="G876" s="44" t="n"/>
      <c r="H876" s="44">
        <f>IF(F876="No",0,IF(F876="Edited",IF(G876="",E876,G876),E876))</f>
        <v/>
      </c>
    </row>
    <row r="877">
      <c r="A877" s="41" t="n">
        <v>49430</v>
      </c>
      <c r="B877" s="32">
        <f>DATE(YEAR(A877),MONTH(A877),1)</f>
        <v/>
      </c>
      <c r="C877" t="inlineStr">
        <is>
          <t>Global Gov Bond</t>
        </is>
      </c>
      <c r="D877" t="inlineStr">
        <is>
          <t>PAC</t>
        </is>
      </c>
      <c r="E877" s="44">
        <f>IFERROR(VLOOKUP(C877,Assets!$A:$F,6,FALSE),0)</f>
        <v/>
      </c>
      <c r="F877" t="inlineStr">
        <is>
          <t>Auto</t>
        </is>
      </c>
      <c r="G877" s="44" t="n"/>
      <c r="H877" s="44">
        <f>IF(F877="No",0,IF(F877="Edited",IF(G877="",E877,G877),E877))</f>
        <v/>
      </c>
    </row>
    <row r="878">
      <c r="A878" s="41" t="n">
        <v>49430</v>
      </c>
      <c r="B878" s="32">
        <f>DATE(YEAR(A878),MONTH(A878),1)</f>
        <v/>
      </c>
      <c r="C878" t="inlineStr">
        <is>
          <t>Core EUR Corp Bond</t>
        </is>
      </c>
      <c r="D878" t="inlineStr">
        <is>
          <t>PAC</t>
        </is>
      </c>
      <c r="E878" s="44">
        <f>IFERROR(VLOOKUP(C878,Assets!$A:$F,6,FALSE),0)</f>
        <v/>
      </c>
      <c r="F878" t="inlineStr">
        <is>
          <t>Auto</t>
        </is>
      </c>
      <c r="G878" s="44" t="n"/>
      <c r="H878" s="44">
        <f>IF(F878="No",0,IF(F878="Edited",IF(G878="",E878,G878),E878))</f>
        <v/>
      </c>
    </row>
    <row r="879">
      <c r="A879" s="41" t="n">
        <v>49430</v>
      </c>
      <c r="B879" s="32">
        <f>DATE(YEAR(A879),MONTH(A879),1)</f>
        <v/>
      </c>
      <c r="C879" t="inlineStr">
        <is>
          <t>MSCI World Value</t>
        </is>
      </c>
      <c r="D879" t="inlineStr">
        <is>
          <t>PAC</t>
        </is>
      </c>
      <c r="E879" s="44">
        <f>IFERROR(VLOOKUP(C879,Assets!$A:$F,6,FALSE),0)</f>
        <v/>
      </c>
      <c r="F879" t="inlineStr">
        <is>
          <t>Auto</t>
        </is>
      </c>
      <c r="G879" s="44" t="n"/>
      <c r="H879" s="44">
        <f>IF(F879="No",0,IF(F879="Edited",IF(G879="",E879,G879),E879))</f>
        <v/>
      </c>
    </row>
    <row r="880">
      <c r="A880" s="41" t="n">
        <v>49430</v>
      </c>
      <c r="B880" s="32">
        <f>DATE(YEAR(A880),MONTH(A880),1)</f>
        <v/>
      </c>
      <c r="C880" t="inlineStr">
        <is>
          <t>MSCI EM</t>
        </is>
      </c>
      <c r="D880" t="inlineStr">
        <is>
          <t>PAC</t>
        </is>
      </c>
      <c r="E880" s="44">
        <f>IFERROR(VLOOKUP(C880,Assets!$A:$F,6,FALSE),0)</f>
        <v/>
      </c>
      <c r="F880" t="inlineStr">
        <is>
          <t>Auto</t>
        </is>
      </c>
      <c r="G880" s="44" t="n"/>
      <c r="H880" s="44">
        <f>IF(F880="No",0,IF(F880="Edited",IF(G880="",E880,G880),E880))</f>
        <v/>
      </c>
    </row>
    <row r="881">
      <c r="A881" s="41" t="n">
        <v>49430</v>
      </c>
      <c r="B881" s="32">
        <f>DATE(YEAR(A881),MONTH(A881),1)</f>
        <v/>
      </c>
      <c r="C881" t="inlineStr">
        <is>
          <t>Defence Tech</t>
        </is>
      </c>
      <c r="D881" t="inlineStr">
        <is>
          <t>PAC</t>
        </is>
      </c>
      <c r="E881" s="44">
        <f>IFERROR(VLOOKUP(C881,Assets!$A:$F,6,FALSE),0)</f>
        <v/>
      </c>
      <c r="F881" t="inlineStr">
        <is>
          <t>Auto</t>
        </is>
      </c>
      <c r="G881" s="44" t="n"/>
      <c r="H881" s="44">
        <f>IF(F881="No",0,IF(F881="Edited",IF(G881="",E881,G881),E881))</f>
        <v/>
      </c>
    </row>
    <row r="882">
      <c r="A882" s="41" t="n">
        <v>49461</v>
      </c>
      <c r="B882" s="32">
        <f>DATE(YEAR(A882),MONTH(A882),1)</f>
        <v/>
      </c>
      <c r="C882" t="inlineStr">
        <is>
          <t>Core MSCI World</t>
        </is>
      </c>
      <c r="D882" t="inlineStr">
        <is>
          <t>PAC</t>
        </is>
      </c>
      <c r="E882" s="44">
        <f>IFERROR(VLOOKUP(C882,Assets!$A:$F,6,FALSE),0)</f>
        <v/>
      </c>
      <c r="F882" t="inlineStr">
        <is>
          <t>Auto</t>
        </is>
      </c>
      <c r="G882" s="44" t="n"/>
      <c r="H882" s="44">
        <f>IF(F882="No",0,IF(F882="Edited",IF(G882="",E882,G882),E882))</f>
        <v/>
      </c>
    </row>
    <row r="883">
      <c r="A883" s="41" t="n">
        <v>49461</v>
      </c>
      <c r="B883" s="32">
        <f>DATE(YEAR(A883),MONTH(A883),1)</f>
        <v/>
      </c>
      <c r="C883" t="inlineStr">
        <is>
          <t>AI &amp; Big Data</t>
        </is>
      </c>
      <c r="D883" t="inlineStr">
        <is>
          <t>PAC</t>
        </is>
      </c>
      <c r="E883" s="44">
        <f>IFERROR(VLOOKUP(C883,Assets!$A:$F,6,FALSE),0)</f>
        <v/>
      </c>
      <c r="F883" t="inlineStr">
        <is>
          <t>Auto</t>
        </is>
      </c>
      <c r="G883" s="44" t="n"/>
      <c r="H883" s="44">
        <f>IF(F883="No",0,IF(F883="Edited",IF(G883="",E883,G883),E883))</f>
        <v/>
      </c>
    </row>
    <row r="884">
      <c r="A884" s="41" t="n">
        <v>49461</v>
      </c>
      <c r="B884" s="32">
        <f>DATE(YEAR(A884),MONTH(A884),1)</f>
        <v/>
      </c>
      <c r="C884" t="inlineStr">
        <is>
          <t>Physical Gold</t>
        </is>
      </c>
      <c r="D884" t="inlineStr">
        <is>
          <t>PAC</t>
        </is>
      </c>
      <c r="E884" s="44">
        <f>IFERROR(VLOOKUP(C884,Assets!$A:$F,6,FALSE),0)</f>
        <v/>
      </c>
      <c r="F884" t="inlineStr">
        <is>
          <t>Auto</t>
        </is>
      </c>
      <c r="G884" s="44" t="n"/>
      <c r="H884" s="44">
        <f>IF(F884="No",0,IF(F884="Edited",IF(G884="",E884,G884),E884))</f>
        <v/>
      </c>
    </row>
    <row r="885">
      <c r="A885" s="41" t="n">
        <v>49461</v>
      </c>
      <c r="B885" s="32">
        <f>DATE(YEAR(A885),MONTH(A885),1)</f>
        <v/>
      </c>
      <c r="C885" t="inlineStr">
        <is>
          <t>Global Gov Bond</t>
        </is>
      </c>
      <c r="D885" t="inlineStr">
        <is>
          <t>PAC</t>
        </is>
      </c>
      <c r="E885" s="44">
        <f>IFERROR(VLOOKUP(C885,Assets!$A:$F,6,FALSE),0)</f>
        <v/>
      </c>
      <c r="F885" t="inlineStr">
        <is>
          <t>Auto</t>
        </is>
      </c>
      <c r="G885" s="44" t="n"/>
      <c r="H885" s="44">
        <f>IF(F885="No",0,IF(F885="Edited",IF(G885="",E885,G885),E885))</f>
        <v/>
      </c>
    </row>
    <row r="886">
      <c r="A886" s="41" t="n">
        <v>49461</v>
      </c>
      <c r="B886" s="32">
        <f>DATE(YEAR(A886),MONTH(A886),1)</f>
        <v/>
      </c>
      <c r="C886" t="inlineStr">
        <is>
          <t>Core EUR Corp Bond</t>
        </is>
      </c>
      <c r="D886" t="inlineStr">
        <is>
          <t>PAC</t>
        </is>
      </c>
      <c r="E886" s="44">
        <f>IFERROR(VLOOKUP(C886,Assets!$A:$F,6,FALSE),0)</f>
        <v/>
      </c>
      <c r="F886" t="inlineStr">
        <is>
          <t>Auto</t>
        </is>
      </c>
      <c r="G886" s="44" t="n"/>
      <c r="H886" s="44">
        <f>IF(F886="No",0,IF(F886="Edited",IF(G886="",E886,G886),E886))</f>
        <v/>
      </c>
    </row>
    <row r="887">
      <c r="A887" s="41" t="n">
        <v>49461</v>
      </c>
      <c r="B887" s="32">
        <f>DATE(YEAR(A887),MONTH(A887),1)</f>
        <v/>
      </c>
      <c r="C887" t="inlineStr">
        <is>
          <t>MSCI World Value</t>
        </is>
      </c>
      <c r="D887" t="inlineStr">
        <is>
          <t>PAC</t>
        </is>
      </c>
      <c r="E887" s="44">
        <f>IFERROR(VLOOKUP(C887,Assets!$A:$F,6,FALSE),0)</f>
        <v/>
      </c>
      <c r="F887" t="inlineStr">
        <is>
          <t>Auto</t>
        </is>
      </c>
      <c r="G887" s="44" t="n"/>
      <c r="H887" s="44">
        <f>IF(F887="No",0,IF(F887="Edited",IF(G887="",E887,G887),E887))</f>
        <v/>
      </c>
    </row>
    <row r="888">
      <c r="A888" s="41" t="n">
        <v>49461</v>
      </c>
      <c r="B888" s="32">
        <f>DATE(YEAR(A888),MONTH(A888),1)</f>
        <v/>
      </c>
      <c r="C888" t="inlineStr">
        <is>
          <t>MSCI EM</t>
        </is>
      </c>
      <c r="D888" t="inlineStr">
        <is>
          <t>PAC</t>
        </is>
      </c>
      <c r="E888" s="44">
        <f>IFERROR(VLOOKUP(C888,Assets!$A:$F,6,FALSE),0)</f>
        <v/>
      </c>
      <c r="F888" t="inlineStr">
        <is>
          <t>Auto</t>
        </is>
      </c>
      <c r="G888" s="44" t="n"/>
      <c r="H888" s="44">
        <f>IF(F888="No",0,IF(F888="Edited",IF(G888="",E888,G888),E888))</f>
        <v/>
      </c>
    </row>
    <row r="889">
      <c r="A889" s="41" t="n">
        <v>49461</v>
      </c>
      <c r="B889" s="32">
        <f>DATE(YEAR(A889),MONTH(A889),1)</f>
        <v/>
      </c>
      <c r="C889" t="inlineStr">
        <is>
          <t>Defence Tech</t>
        </is>
      </c>
      <c r="D889" t="inlineStr">
        <is>
          <t>PAC</t>
        </is>
      </c>
      <c r="E889" s="44">
        <f>IFERROR(VLOOKUP(C889,Assets!$A:$F,6,FALSE),0)</f>
        <v/>
      </c>
      <c r="F889" t="inlineStr">
        <is>
          <t>Auto</t>
        </is>
      </c>
      <c r="G889" s="44" t="n"/>
      <c r="H889" s="44">
        <f>IF(F889="No",0,IF(F889="Edited",IF(G889="",E889,G889),E889))</f>
        <v/>
      </c>
    </row>
    <row r="890">
      <c r="A890" s="41" t="n">
        <v>49491</v>
      </c>
      <c r="B890" s="32">
        <f>DATE(YEAR(A890),MONTH(A890),1)</f>
        <v/>
      </c>
      <c r="C890" t="inlineStr">
        <is>
          <t>Core MSCI World</t>
        </is>
      </c>
      <c r="D890" t="inlineStr">
        <is>
          <t>PAC</t>
        </is>
      </c>
      <c r="E890" s="44">
        <f>IFERROR(VLOOKUP(C890,Assets!$A:$F,6,FALSE),0)</f>
        <v/>
      </c>
      <c r="F890" t="inlineStr">
        <is>
          <t>Auto</t>
        </is>
      </c>
      <c r="G890" s="44" t="n"/>
      <c r="H890" s="44">
        <f>IF(F890="No",0,IF(F890="Edited",IF(G890="",E890,G890),E890))</f>
        <v/>
      </c>
    </row>
    <row r="891">
      <c r="A891" s="41" t="n">
        <v>49491</v>
      </c>
      <c r="B891" s="32">
        <f>DATE(YEAR(A891),MONTH(A891),1)</f>
        <v/>
      </c>
      <c r="C891" t="inlineStr">
        <is>
          <t>AI &amp; Big Data</t>
        </is>
      </c>
      <c r="D891" t="inlineStr">
        <is>
          <t>PAC</t>
        </is>
      </c>
      <c r="E891" s="44">
        <f>IFERROR(VLOOKUP(C891,Assets!$A:$F,6,FALSE),0)</f>
        <v/>
      </c>
      <c r="F891" t="inlineStr">
        <is>
          <t>Auto</t>
        </is>
      </c>
      <c r="G891" s="44" t="n"/>
      <c r="H891" s="44">
        <f>IF(F891="No",0,IF(F891="Edited",IF(G891="",E891,G891),E891))</f>
        <v/>
      </c>
    </row>
    <row r="892">
      <c r="A892" s="41" t="n">
        <v>49491</v>
      </c>
      <c r="B892" s="32">
        <f>DATE(YEAR(A892),MONTH(A892),1)</f>
        <v/>
      </c>
      <c r="C892" t="inlineStr">
        <is>
          <t>Physical Gold</t>
        </is>
      </c>
      <c r="D892" t="inlineStr">
        <is>
          <t>PAC</t>
        </is>
      </c>
      <c r="E892" s="44">
        <f>IFERROR(VLOOKUP(C892,Assets!$A:$F,6,FALSE),0)</f>
        <v/>
      </c>
      <c r="F892" t="inlineStr">
        <is>
          <t>Auto</t>
        </is>
      </c>
      <c r="G892" s="44" t="n"/>
      <c r="H892" s="44">
        <f>IF(F892="No",0,IF(F892="Edited",IF(G892="",E892,G892),E892))</f>
        <v/>
      </c>
    </row>
    <row r="893">
      <c r="A893" s="41" t="n">
        <v>49491</v>
      </c>
      <c r="B893" s="32">
        <f>DATE(YEAR(A893),MONTH(A893),1)</f>
        <v/>
      </c>
      <c r="C893" t="inlineStr">
        <is>
          <t>Global Gov Bond</t>
        </is>
      </c>
      <c r="D893" t="inlineStr">
        <is>
          <t>PAC</t>
        </is>
      </c>
      <c r="E893" s="44">
        <f>IFERROR(VLOOKUP(C893,Assets!$A:$F,6,FALSE),0)</f>
        <v/>
      </c>
      <c r="F893" t="inlineStr">
        <is>
          <t>Auto</t>
        </is>
      </c>
      <c r="G893" s="44" t="n"/>
      <c r="H893" s="44">
        <f>IF(F893="No",0,IF(F893="Edited",IF(G893="",E893,G893),E893))</f>
        <v/>
      </c>
    </row>
    <row r="894">
      <c r="A894" s="41" t="n">
        <v>49491</v>
      </c>
      <c r="B894" s="32">
        <f>DATE(YEAR(A894),MONTH(A894),1)</f>
        <v/>
      </c>
      <c r="C894" t="inlineStr">
        <is>
          <t>Core EUR Corp Bond</t>
        </is>
      </c>
      <c r="D894" t="inlineStr">
        <is>
          <t>PAC</t>
        </is>
      </c>
      <c r="E894" s="44">
        <f>IFERROR(VLOOKUP(C894,Assets!$A:$F,6,FALSE),0)</f>
        <v/>
      </c>
      <c r="F894" t="inlineStr">
        <is>
          <t>Auto</t>
        </is>
      </c>
      <c r="G894" s="44" t="n"/>
      <c r="H894" s="44">
        <f>IF(F894="No",0,IF(F894="Edited",IF(G894="",E894,G894),E894))</f>
        <v/>
      </c>
    </row>
    <row r="895">
      <c r="A895" s="41" t="n">
        <v>49491</v>
      </c>
      <c r="B895" s="32">
        <f>DATE(YEAR(A895),MONTH(A895),1)</f>
        <v/>
      </c>
      <c r="C895" t="inlineStr">
        <is>
          <t>MSCI World Value</t>
        </is>
      </c>
      <c r="D895" t="inlineStr">
        <is>
          <t>PAC</t>
        </is>
      </c>
      <c r="E895" s="44">
        <f>IFERROR(VLOOKUP(C895,Assets!$A:$F,6,FALSE),0)</f>
        <v/>
      </c>
      <c r="F895" t="inlineStr">
        <is>
          <t>Auto</t>
        </is>
      </c>
      <c r="G895" s="44" t="n"/>
      <c r="H895" s="44">
        <f>IF(F895="No",0,IF(F895="Edited",IF(G895="",E895,G895),E895))</f>
        <v/>
      </c>
    </row>
    <row r="896">
      <c r="A896" s="41" t="n">
        <v>49491</v>
      </c>
      <c r="B896" s="32">
        <f>DATE(YEAR(A896),MONTH(A896),1)</f>
        <v/>
      </c>
      <c r="C896" t="inlineStr">
        <is>
          <t>MSCI EM</t>
        </is>
      </c>
      <c r="D896" t="inlineStr">
        <is>
          <t>PAC</t>
        </is>
      </c>
      <c r="E896" s="44">
        <f>IFERROR(VLOOKUP(C896,Assets!$A:$F,6,FALSE),0)</f>
        <v/>
      </c>
      <c r="F896" t="inlineStr">
        <is>
          <t>Auto</t>
        </is>
      </c>
      <c r="G896" s="44" t="n"/>
      <c r="H896" s="44">
        <f>IF(F896="No",0,IF(F896="Edited",IF(G896="",E896,G896),E896))</f>
        <v/>
      </c>
    </row>
    <row r="897">
      <c r="A897" s="41" t="n">
        <v>49491</v>
      </c>
      <c r="B897" s="32">
        <f>DATE(YEAR(A897),MONTH(A897),1)</f>
        <v/>
      </c>
      <c r="C897" t="inlineStr">
        <is>
          <t>Defence Tech</t>
        </is>
      </c>
      <c r="D897" t="inlineStr">
        <is>
          <t>PAC</t>
        </is>
      </c>
      <c r="E897" s="44">
        <f>IFERROR(VLOOKUP(C897,Assets!$A:$F,6,FALSE),0)</f>
        <v/>
      </c>
      <c r="F897" t="inlineStr">
        <is>
          <t>Auto</t>
        </is>
      </c>
      <c r="G897" s="44" t="n"/>
      <c r="H897" s="44">
        <f>IF(F897="No",0,IF(F897="Edited",IF(G897="",E897,G897),E897))</f>
        <v/>
      </c>
    </row>
    <row r="898">
      <c r="A898" s="41" t="n">
        <v>49522</v>
      </c>
      <c r="B898" s="32">
        <f>DATE(YEAR(A898),MONTH(A898),1)</f>
        <v/>
      </c>
      <c r="C898" t="inlineStr">
        <is>
          <t>Core MSCI World</t>
        </is>
      </c>
      <c r="D898" t="inlineStr">
        <is>
          <t>PAC</t>
        </is>
      </c>
      <c r="E898" s="44">
        <f>IFERROR(VLOOKUP(C898,Assets!$A:$F,6,FALSE),0)</f>
        <v/>
      </c>
      <c r="F898" t="inlineStr">
        <is>
          <t>Auto</t>
        </is>
      </c>
      <c r="G898" s="44" t="n"/>
      <c r="H898" s="44">
        <f>IF(F898="No",0,IF(F898="Edited",IF(G898="",E898,G898),E898))</f>
        <v/>
      </c>
    </row>
    <row r="899">
      <c r="A899" s="41" t="n">
        <v>49522</v>
      </c>
      <c r="B899" s="32">
        <f>DATE(YEAR(A899),MONTH(A899),1)</f>
        <v/>
      </c>
      <c r="C899" t="inlineStr">
        <is>
          <t>AI &amp; Big Data</t>
        </is>
      </c>
      <c r="D899" t="inlineStr">
        <is>
          <t>PAC</t>
        </is>
      </c>
      <c r="E899" s="44">
        <f>IFERROR(VLOOKUP(C899,Assets!$A:$F,6,FALSE),0)</f>
        <v/>
      </c>
      <c r="F899" t="inlineStr">
        <is>
          <t>Auto</t>
        </is>
      </c>
      <c r="G899" s="44" t="n"/>
      <c r="H899" s="44">
        <f>IF(F899="No",0,IF(F899="Edited",IF(G899="",E899,G899),E899))</f>
        <v/>
      </c>
    </row>
    <row r="900">
      <c r="A900" s="41" t="n">
        <v>49522</v>
      </c>
      <c r="B900" s="32">
        <f>DATE(YEAR(A900),MONTH(A900),1)</f>
        <v/>
      </c>
      <c r="C900" t="inlineStr">
        <is>
          <t>Physical Gold</t>
        </is>
      </c>
      <c r="D900" t="inlineStr">
        <is>
          <t>PAC</t>
        </is>
      </c>
      <c r="E900" s="44">
        <f>IFERROR(VLOOKUP(C900,Assets!$A:$F,6,FALSE),0)</f>
        <v/>
      </c>
      <c r="F900" t="inlineStr">
        <is>
          <t>Auto</t>
        </is>
      </c>
      <c r="G900" s="44" t="n"/>
      <c r="H900" s="44">
        <f>IF(F900="No",0,IF(F900="Edited",IF(G900="",E900,G900),E900))</f>
        <v/>
      </c>
    </row>
    <row r="901">
      <c r="A901" s="41" t="n">
        <v>49522</v>
      </c>
      <c r="B901" s="32">
        <f>DATE(YEAR(A901),MONTH(A901),1)</f>
        <v/>
      </c>
      <c r="C901" t="inlineStr">
        <is>
          <t>Global Gov Bond</t>
        </is>
      </c>
      <c r="D901" t="inlineStr">
        <is>
          <t>PAC</t>
        </is>
      </c>
      <c r="E901" s="44">
        <f>IFERROR(VLOOKUP(C901,Assets!$A:$F,6,FALSE),0)</f>
        <v/>
      </c>
      <c r="F901" t="inlineStr">
        <is>
          <t>Auto</t>
        </is>
      </c>
      <c r="G901" s="44" t="n"/>
      <c r="H901" s="44">
        <f>IF(F901="No",0,IF(F901="Edited",IF(G901="",E901,G901),E901))</f>
        <v/>
      </c>
    </row>
    <row r="902">
      <c r="A902" s="41" t="n">
        <v>49522</v>
      </c>
      <c r="B902" s="32">
        <f>DATE(YEAR(A902),MONTH(A902),1)</f>
        <v/>
      </c>
      <c r="C902" t="inlineStr">
        <is>
          <t>Core EUR Corp Bond</t>
        </is>
      </c>
      <c r="D902" t="inlineStr">
        <is>
          <t>PAC</t>
        </is>
      </c>
      <c r="E902" s="44">
        <f>IFERROR(VLOOKUP(C902,Assets!$A:$F,6,FALSE),0)</f>
        <v/>
      </c>
      <c r="F902" t="inlineStr">
        <is>
          <t>Auto</t>
        </is>
      </c>
      <c r="G902" s="44" t="n"/>
      <c r="H902" s="44">
        <f>IF(F902="No",0,IF(F902="Edited",IF(G902="",E902,G902),E902))</f>
        <v/>
      </c>
    </row>
    <row r="903">
      <c r="A903" s="41" t="n">
        <v>49522</v>
      </c>
      <c r="B903" s="32">
        <f>DATE(YEAR(A903),MONTH(A903),1)</f>
        <v/>
      </c>
      <c r="C903" t="inlineStr">
        <is>
          <t>MSCI World Value</t>
        </is>
      </c>
      <c r="D903" t="inlineStr">
        <is>
          <t>PAC</t>
        </is>
      </c>
      <c r="E903" s="44">
        <f>IFERROR(VLOOKUP(C903,Assets!$A:$F,6,FALSE),0)</f>
        <v/>
      </c>
      <c r="F903" t="inlineStr">
        <is>
          <t>Auto</t>
        </is>
      </c>
      <c r="G903" s="44" t="n"/>
      <c r="H903" s="44">
        <f>IF(F903="No",0,IF(F903="Edited",IF(G903="",E903,G903),E903))</f>
        <v/>
      </c>
    </row>
    <row r="904">
      <c r="A904" s="41" t="n">
        <v>49522</v>
      </c>
      <c r="B904" s="32">
        <f>DATE(YEAR(A904),MONTH(A904),1)</f>
        <v/>
      </c>
      <c r="C904" t="inlineStr">
        <is>
          <t>MSCI EM</t>
        </is>
      </c>
      <c r="D904" t="inlineStr">
        <is>
          <t>PAC</t>
        </is>
      </c>
      <c r="E904" s="44">
        <f>IFERROR(VLOOKUP(C904,Assets!$A:$F,6,FALSE),0)</f>
        <v/>
      </c>
      <c r="F904" t="inlineStr">
        <is>
          <t>Auto</t>
        </is>
      </c>
      <c r="G904" s="44" t="n"/>
      <c r="H904" s="44">
        <f>IF(F904="No",0,IF(F904="Edited",IF(G904="",E904,G904),E904))</f>
        <v/>
      </c>
    </row>
    <row r="905">
      <c r="A905" s="41" t="n">
        <v>49522</v>
      </c>
      <c r="B905" s="32">
        <f>DATE(YEAR(A905),MONTH(A905),1)</f>
        <v/>
      </c>
      <c r="C905" t="inlineStr">
        <is>
          <t>Defence Tech</t>
        </is>
      </c>
      <c r="D905" t="inlineStr">
        <is>
          <t>PAC</t>
        </is>
      </c>
      <c r="E905" s="44">
        <f>IFERROR(VLOOKUP(C905,Assets!$A:$F,6,FALSE),0)</f>
        <v/>
      </c>
      <c r="F905" t="inlineStr">
        <is>
          <t>Auto</t>
        </is>
      </c>
      <c r="G905" s="44" t="n"/>
      <c r="H905" s="44">
        <f>IF(F905="No",0,IF(F905="Edited",IF(G905="",E905,G905),E905))</f>
        <v/>
      </c>
    </row>
    <row r="906">
      <c r="A906" s="41" t="n">
        <v>49553</v>
      </c>
      <c r="B906" s="32">
        <f>DATE(YEAR(A906),MONTH(A906),1)</f>
        <v/>
      </c>
      <c r="C906" t="inlineStr">
        <is>
          <t>Core MSCI World</t>
        </is>
      </c>
      <c r="D906" t="inlineStr">
        <is>
          <t>PAC</t>
        </is>
      </c>
      <c r="E906" s="44">
        <f>IFERROR(VLOOKUP(C906,Assets!$A:$F,6,FALSE),0)</f>
        <v/>
      </c>
      <c r="F906" t="inlineStr">
        <is>
          <t>Auto</t>
        </is>
      </c>
      <c r="G906" s="44" t="n"/>
      <c r="H906" s="44">
        <f>IF(F906="No",0,IF(F906="Edited",IF(G906="",E906,G906),E906))</f>
        <v/>
      </c>
    </row>
    <row r="907">
      <c r="A907" s="41" t="n">
        <v>49553</v>
      </c>
      <c r="B907" s="32">
        <f>DATE(YEAR(A907),MONTH(A907),1)</f>
        <v/>
      </c>
      <c r="C907" t="inlineStr">
        <is>
          <t>AI &amp; Big Data</t>
        </is>
      </c>
      <c r="D907" t="inlineStr">
        <is>
          <t>PAC</t>
        </is>
      </c>
      <c r="E907" s="44">
        <f>IFERROR(VLOOKUP(C907,Assets!$A:$F,6,FALSE),0)</f>
        <v/>
      </c>
      <c r="F907" t="inlineStr">
        <is>
          <t>Auto</t>
        </is>
      </c>
      <c r="G907" s="44" t="n"/>
      <c r="H907" s="44">
        <f>IF(F907="No",0,IF(F907="Edited",IF(G907="",E907,G907),E907))</f>
        <v/>
      </c>
    </row>
    <row r="908">
      <c r="A908" s="41" t="n">
        <v>49553</v>
      </c>
      <c r="B908" s="32">
        <f>DATE(YEAR(A908),MONTH(A908),1)</f>
        <v/>
      </c>
      <c r="C908" t="inlineStr">
        <is>
          <t>Physical Gold</t>
        </is>
      </c>
      <c r="D908" t="inlineStr">
        <is>
          <t>PAC</t>
        </is>
      </c>
      <c r="E908" s="44">
        <f>IFERROR(VLOOKUP(C908,Assets!$A:$F,6,FALSE),0)</f>
        <v/>
      </c>
      <c r="F908" t="inlineStr">
        <is>
          <t>Auto</t>
        </is>
      </c>
      <c r="G908" s="44" t="n"/>
      <c r="H908" s="44">
        <f>IF(F908="No",0,IF(F908="Edited",IF(G908="",E908,G908),E908))</f>
        <v/>
      </c>
    </row>
    <row r="909">
      <c r="A909" s="41" t="n">
        <v>49553</v>
      </c>
      <c r="B909" s="32">
        <f>DATE(YEAR(A909),MONTH(A909),1)</f>
        <v/>
      </c>
      <c r="C909" t="inlineStr">
        <is>
          <t>Global Gov Bond</t>
        </is>
      </c>
      <c r="D909" t="inlineStr">
        <is>
          <t>PAC</t>
        </is>
      </c>
      <c r="E909" s="44">
        <f>IFERROR(VLOOKUP(C909,Assets!$A:$F,6,FALSE),0)</f>
        <v/>
      </c>
      <c r="F909" t="inlineStr">
        <is>
          <t>Auto</t>
        </is>
      </c>
      <c r="G909" s="44" t="n"/>
      <c r="H909" s="44">
        <f>IF(F909="No",0,IF(F909="Edited",IF(G909="",E909,G909),E909))</f>
        <v/>
      </c>
    </row>
    <row r="910">
      <c r="A910" s="41" t="n">
        <v>49553</v>
      </c>
      <c r="B910" s="32">
        <f>DATE(YEAR(A910),MONTH(A910),1)</f>
        <v/>
      </c>
      <c r="C910" t="inlineStr">
        <is>
          <t>Core EUR Corp Bond</t>
        </is>
      </c>
      <c r="D910" t="inlineStr">
        <is>
          <t>PAC</t>
        </is>
      </c>
      <c r="E910" s="44">
        <f>IFERROR(VLOOKUP(C910,Assets!$A:$F,6,FALSE),0)</f>
        <v/>
      </c>
      <c r="F910" t="inlineStr">
        <is>
          <t>Auto</t>
        </is>
      </c>
      <c r="G910" s="44" t="n"/>
      <c r="H910" s="44">
        <f>IF(F910="No",0,IF(F910="Edited",IF(G910="",E910,G910),E910))</f>
        <v/>
      </c>
    </row>
    <row r="911">
      <c r="A911" s="41" t="n">
        <v>49553</v>
      </c>
      <c r="B911" s="32">
        <f>DATE(YEAR(A911),MONTH(A911),1)</f>
        <v/>
      </c>
      <c r="C911" t="inlineStr">
        <is>
          <t>MSCI World Value</t>
        </is>
      </c>
      <c r="D911" t="inlineStr">
        <is>
          <t>PAC</t>
        </is>
      </c>
      <c r="E911" s="44">
        <f>IFERROR(VLOOKUP(C911,Assets!$A:$F,6,FALSE),0)</f>
        <v/>
      </c>
      <c r="F911" t="inlineStr">
        <is>
          <t>Auto</t>
        </is>
      </c>
      <c r="G911" s="44" t="n"/>
      <c r="H911" s="44">
        <f>IF(F911="No",0,IF(F911="Edited",IF(G911="",E911,G911),E911))</f>
        <v/>
      </c>
    </row>
    <row r="912">
      <c r="A912" s="41" t="n">
        <v>49553</v>
      </c>
      <c r="B912" s="32">
        <f>DATE(YEAR(A912),MONTH(A912),1)</f>
        <v/>
      </c>
      <c r="C912" t="inlineStr">
        <is>
          <t>MSCI EM</t>
        </is>
      </c>
      <c r="D912" t="inlineStr">
        <is>
          <t>PAC</t>
        </is>
      </c>
      <c r="E912" s="44">
        <f>IFERROR(VLOOKUP(C912,Assets!$A:$F,6,FALSE),0)</f>
        <v/>
      </c>
      <c r="F912" t="inlineStr">
        <is>
          <t>Auto</t>
        </is>
      </c>
      <c r="G912" s="44" t="n"/>
      <c r="H912" s="44">
        <f>IF(F912="No",0,IF(F912="Edited",IF(G912="",E912,G912),E912))</f>
        <v/>
      </c>
    </row>
    <row r="913">
      <c r="A913" s="41" t="n">
        <v>49553</v>
      </c>
      <c r="B913" s="32">
        <f>DATE(YEAR(A913),MONTH(A913),1)</f>
        <v/>
      </c>
      <c r="C913" t="inlineStr">
        <is>
          <t>Defence Tech</t>
        </is>
      </c>
      <c r="D913" t="inlineStr">
        <is>
          <t>PAC</t>
        </is>
      </c>
      <c r="E913" s="44">
        <f>IFERROR(VLOOKUP(C913,Assets!$A:$F,6,FALSE),0)</f>
        <v/>
      </c>
      <c r="F913" t="inlineStr">
        <is>
          <t>Auto</t>
        </is>
      </c>
      <c r="G913" s="44" t="n"/>
      <c r="H913" s="44">
        <f>IF(F913="No",0,IF(F913="Edited",IF(G913="",E913,G913),E913))</f>
        <v/>
      </c>
    </row>
    <row r="914">
      <c r="A914" s="41" t="n">
        <v>49583</v>
      </c>
      <c r="B914" s="32">
        <f>DATE(YEAR(A914),MONTH(A914),1)</f>
        <v/>
      </c>
      <c r="C914" t="inlineStr">
        <is>
          <t>Core MSCI World</t>
        </is>
      </c>
      <c r="D914" t="inlineStr">
        <is>
          <t>PAC</t>
        </is>
      </c>
      <c r="E914" s="44">
        <f>IFERROR(VLOOKUP(C914,Assets!$A:$F,6,FALSE),0)</f>
        <v/>
      </c>
      <c r="F914" t="inlineStr">
        <is>
          <t>Auto</t>
        </is>
      </c>
      <c r="G914" s="44" t="n"/>
      <c r="H914" s="44">
        <f>IF(F914="No",0,IF(F914="Edited",IF(G914="",E914,G914),E914))</f>
        <v/>
      </c>
    </row>
    <row r="915">
      <c r="A915" s="41" t="n">
        <v>49583</v>
      </c>
      <c r="B915" s="32">
        <f>DATE(YEAR(A915),MONTH(A915),1)</f>
        <v/>
      </c>
      <c r="C915" t="inlineStr">
        <is>
          <t>AI &amp; Big Data</t>
        </is>
      </c>
      <c r="D915" t="inlineStr">
        <is>
          <t>PAC</t>
        </is>
      </c>
      <c r="E915" s="44">
        <f>IFERROR(VLOOKUP(C915,Assets!$A:$F,6,FALSE),0)</f>
        <v/>
      </c>
      <c r="F915" t="inlineStr">
        <is>
          <t>Auto</t>
        </is>
      </c>
      <c r="G915" s="44" t="n"/>
      <c r="H915" s="44">
        <f>IF(F915="No",0,IF(F915="Edited",IF(G915="",E915,G915),E915))</f>
        <v/>
      </c>
    </row>
    <row r="916">
      <c r="A916" s="41" t="n">
        <v>49583</v>
      </c>
      <c r="B916" s="32">
        <f>DATE(YEAR(A916),MONTH(A916),1)</f>
        <v/>
      </c>
      <c r="C916" t="inlineStr">
        <is>
          <t>Physical Gold</t>
        </is>
      </c>
      <c r="D916" t="inlineStr">
        <is>
          <t>PAC</t>
        </is>
      </c>
      <c r="E916" s="44">
        <f>IFERROR(VLOOKUP(C916,Assets!$A:$F,6,FALSE),0)</f>
        <v/>
      </c>
      <c r="F916" t="inlineStr">
        <is>
          <t>Auto</t>
        </is>
      </c>
      <c r="G916" s="44" t="n"/>
      <c r="H916" s="44">
        <f>IF(F916="No",0,IF(F916="Edited",IF(G916="",E916,G916),E916))</f>
        <v/>
      </c>
    </row>
    <row r="917">
      <c r="A917" s="41" t="n">
        <v>49583</v>
      </c>
      <c r="B917" s="32">
        <f>DATE(YEAR(A917),MONTH(A917),1)</f>
        <v/>
      </c>
      <c r="C917" t="inlineStr">
        <is>
          <t>Global Gov Bond</t>
        </is>
      </c>
      <c r="D917" t="inlineStr">
        <is>
          <t>PAC</t>
        </is>
      </c>
      <c r="E917" s="44">
        <f>IFERROR(VLOOKUP(C917,Assets!$A:$F,6,FALSE),0)</f>
        <v/>
      </c>
      <c r="F917" t="inlineStr">
        <is>
          <t>Auto</t>
        </is>
      </c>
      <c r="G917" s="44" t="n"/>
      <c r="H917" s="44">
        <f>IF(F917="No",0,IF(F917="Edited",IF(G917="",E917,G917),E917))</f>
        <v/>
      </c>
    </row>
    <row r="918">
      <c r="A918" s="41" t="n">
        <v>49583</v>
      </c>
      <c r="B918" s="32">
        <f>DATE(YEAR(A918),MONTH(A918),1)</f>
        <v/>
      </c>
      <c r="C918" t="inlineStr">
        <is>
          <t>Core EUR Corp Bond</t>
        </is>
      </c>
      <c r="D918" t="inlineStr">
        <is>
          <t>PAC</t>
        </is>
      </c>
      <c r="E918" s="44">
        <f>IFERROR(VLOOKUP(C918,Assets!$A:$F,6,FALSE),0)</f>
        <v/>
      </c>
      <c r="F918" t="inlineStr">
        <is>
          <t>Auto</t>
        </is>
      </c>
      <c r="G918" s="44" t="n"/>
      <c r="H918" s="44">
        <f>IF(F918="No",0,IF(F918="Edited",IF(G918="",E918,G918),E918))</f>
        <v/>
      </c>
    </row>
    <row r="919">
      <c r="A919" s="41" t="n">
        <v>49583</v>
      </c>
      <c r="B919" s="32">
        <f>DATE(YEAR(A919),MONTH(A919),1)</f>
        <v/>
      </c>
      <c r="C919" t="inlineStr">
        <is>
          <t>MSCI World Value</t>
        </is>
      </c>
      <c r="D919" t="inlineStr">
        <is>
          <t>PAC</t>
        </is>
      </c>
      <c r="E919" s="44">
        <f>IFERROR(VLOOKUP(C919,Assets!$A:$F,6,FALSE),0)</f>
        <v/>
      </c>
      <c r="F919" t="inlineStr">
        <is>
          <t>Auto</t>
        </is>
      </c>
      <c r="G919" s="44" t="n"/>
      <c r="H919" s="44">
        <f>IF(F919="No",0,IF(F919="Edited",IF(G919="",E919,G919),E919))</f>
        <v/>
      </c>
    </row>
    <row r="920">
      <c r="A920" s="41" t="n">
        <v>49583</v>
      </c>
      <c r="B920" s="32">
        <f>DATE(YEAR(A920),MONTH(A920),1)</f>
        <v/>
      </c>
      <c r="C920" t="inlineStr">
        <is>
          <t>MSCI EM</t>
        </is>
      </c>
      <c r="D920" t="inlineStr">
        <is>
          <t>PAC</t>
        </is>
      </c>
      <c r="E920" s="44">
        <f>IFERROR(VLOOKUP(C920,Assets!$A:$F,6,FALSE),0)</f>
        <v/>
      </c>
      <c r="F920" t="inlineStr">
        <is>
          <t>Auto</t>
        </is>
      </c>
      <c r="G920" s="44" t="n"/>
      <c r="H920" s="44">
        <f>IF(F920="No",0,IF(F920="Edited",IF(G920="",E920,G920),E920))</f>
        <v/>
      </c>
    </row>
    <row r="921">
      <c r="A921" s="41" t="n">
        <v>49583</v>
      </c>
      <c r="B921" s="32">
        <f>DATE(YEAR(A921),MONTH(A921),1)</f>
        <v/>
      </c>
      <c r="C921" t="inlineStr">
        <is>
          <t>Defence Tech</t>
        </is>
      </c>
      <c r="D921" t="inlineStr">
        <is>
          <t>PAC</t>
        </is>
      </c>
      <c r="E921" s="44">
        <f>IFERROR(VLOOKUP(C921,Assets!$A:$F,6,FALSE),0)</f>
        <v/>
      </c>
      <c r="F921" t="inlineStr">
        <is>
          <t>Auto</t>
        </is>
      </c>
      <c r="G921" s="44" t="n"/>
      <c r="H921" s="44">
        <f>IF(F921="No",0,IF(F921="Edited",IF(G921="",E921,G921),E921))</f>
        <v/>
      </c>
    </row>
    <row r="922">
      <c r="A922" s="41" t="n">
        <v>49614</v>
      </c>
      <c r="B922" s="32">
        <f>DATE(YEAR(A922),MONTH(A922),1)</f>
        <v/>
      </c>
      <c r="C922" t="inlineStr">
        <is>
          <t>Core MSCI World</t>
        </is>
      </c>
      <c r="D922" t="inlineStr">
        <is>
          <t>PAC</t>
        </is>
      </c>
      <c r="E922" s="44">
        <f>IFERROR(VLOOKUP(C922,Assets!$A:$F,6,FALSE),0)</f>
        <v/>
      </c>
      <c r="F922" t="inlineStr">
        <is>
          <t>Auto</t>
        </is>
      </c>
      <c r="G922" s="44" t="n"/>
      <c r="H922" s="44">
        <f>IF(F922="No",0,IF(F922="Edited",IF(G922="",E922,G922),E922))</f>
        <v/>
      </c>
    </row>
    <row r="923">
      <c r="A923" s="41" t="n">
        <v>49614</v>
      </c>
      <c r="B923" s="32">
        <f>DATE(YEAR(A923),MONTH(A923),1)</f>
        <v/>
      </c>
      <c r="C923" t="inlineStr">
        <is>
          <t>AI &amp; Big Data</t>
        </is>
      </c>
      <c r="D923" t="inlineStr">
        <is>
          <t>PAC</t>
        </is>
      </c>
      <c r="E923" s="44">
        <f>IFERROR(VLOOKUP(C923,Assets!$A:$F,6,FALSE),0)</f>
        <v/>
      </c>
      <c r="F923" t="inlineStr">
        <is>
          <t>Auto</t>
        </is>
      </c>
      <c r="G923" s="44" t="n"/>
      <c r="H923" s="44">
        <f>IF(F923="No",0,IF(F923="Edited",IF(G923="",E923,G923),E923))</f>
        <v/>
      </c>
    </row>
    <row r="924">
      <c r="A924" s="41" t="n">
        <v>49614</v>
      </c>
      <c r="B924" s="32">
        <f>DATE(YEAR(A924),MONTH(A924),1)</f>
        <v/>
      </c>
      <c r="C924" t="inlineStr">
        <is>
          <t>Physical Gold</t>
        </is>
      </c>
      <c r="D924" t="inlineStr">
        <is>
          <t>PAC</t>
        </is>
      </c>
      <c r="E924" s="44">
        <f>IFERROR(VLOOKUP(C924,Assets!$A:$F,6,FALSE),0)</f>
        <v/>
      </c>
      <c r="F924" t="inlineStr">
        <is>
          <t>Auto</t>
        </is>
      </c>
      <c r="G924" s="44" t="n"/>
      <c r="H924" s="44">
        <f>IF(F924="No",0,IF(F924="Edited",IF(G924="",E924,G924),E924))</f>
        <v/>
      </c>
    </row>
    <row r="925">
      <c r="A925" s="41" t="n">
        <v>49614</v>
      </c>
      <c r="B925" s="32">
        <f>DATE(YEAR(A925),MONTH(A925),1)</f>
        <v/>
      </c>
      <c r="C925" t="inlineStr">
        <is>
          <t>Global Gov Bond</t>
        </is>
      </c>
      <c r="D925" t="inlineStr">
        <is>
          <t>PAC</t>
        </is>
      </c>
      <c r="E925" s="44">
        <f>IFERROR(VLOOKUP(C925,Assets!$A:$F,6,FALSE),0)</f>
        <v/>
      </c>
      <c r="F925" t="inlineStr">
        <is>
          <t>Auto</t>
        </is>
      </c>
      <c r="G925" s="44" t="n"/>
      <c r="H925" s="44">
        <f>IF(F925="No",0,IF(F925="Edited",IF(G925="",E925,G925),E925))</f>
        <v/>
      </c>
    </row>
    <row r="926">
      <c r="A926" s="41" t="n">
        <v>49614</v>
      </c>
      <c r="B926" s="32">
        <f>DATE(YEAR(A926),MONTH(A926),1)</f>
        <v/>
      </c>
      <c r="C926" t="inlineStr">
        <is>
          <t>Core EUR Corp Bond</t>
        </is>
      </c>
      <c r="D926" t="inlineStr">
        <is>
          <t>PAC</t>
        </is>
      </c>
      <c r="E926" s="44">
        <f>IFERROR(VLOOKUP(C926,Assets!$A:$F,6,FALSE),0)</f>
        <v/>
      </c>
      <c r="F926" t="inlineStr">
        <is>
          <t>Auto</t>
        </is>
      </c>
      <c r="G926" s="44" t="n"/>
      <c r="H926" s="44">
        <f>IF(F926="No",0,IF(F926="Edited",IF(G926="",E926,G926),E926))</f>
        <v/>
      </c>
    </row>
    <row r="927">
      <c r="A927" s="41" t="n">
        <v>49614</v>
      </c>
      <c r="B927" s="32">
        <f>DATE(YEAR(A927),MONTH(A927),1)</f>
        <v/>
      </c>
      <c r="C927" t="inlineStr">
        <is>
          <t>MSCI World Value</t>
        </is>
      </c>
      <c r="D927" t="inlineStr">
        <is>
          <t>PAC</t>
        </is>
      </c>
      <c r="E927" s="44">
        <f>IFERROR(VLOOKUP(C927,Assets!$A:$F,6,FALSE),0)</f>
        <v/>
      </c>
      <c r="F927" t="inlineStr">
        <is>
          <t>Auto</t>
        </is>
      </c>
      <c r="G927" s="44" t="n"/>
      <c r="H927" s="44">
        <f>IF(F927="No",0,IF(F927="Edited",IF(G927="",E927,G927),E927))</f>
        <v/>
      </c>
    </row>
    <row r="928">
      <c r="A928" s="41" t="n">
        <v>49614</v>
      </c>
      <c r="B928" s="32">
        <f>DATE(YEAR(A928),MONTH(A928),1)</f>
        <v/>
      </c>
      <c r="C928" t="inlineStr">
        <is>
          <t>MSCI EM</t>
        </is>
      </c>
      <c r="D928" t="inlineStr">
        <is>
          <t>PAC</t>
        </is>
      </c>
      <c r="E928" s="44">
        <f>IFERROR(VLOOKUP(C928,Assets!$A:$F,6,FALSE),0)</f>
        <v/>
      </c>
      <c r="F928" t="inlineStr">
        <is>
          <t>Auto</t>
        </is>
      </c>
      <c r="G928" s="44" t="n"/>
      <c r="H928" s="44">
        <f>IF(F928="No",0,IF(F928="Edited",IF(G928="",E928,G928),E928))</f>
        <v/>
      </c>
    </row>
    <row r="929">
      <c r="A929" s="41" t="n">
        <v>49614</v>
      </c>
      <c r="B929" s="32">
        <f>DATE(YEAR(A929),MONTH(A929),1)</f>
        <v/>
      </c>
      <c r="C929" t="inlineStr">
        <is>
          <t>Defence Tech</t>
        </is>
      </c>
      <c r="D929" t="inlineStr">
        <is>
          <t>PAC</t>
        </is>
      </c>
      <c r="E929" s="44">
        <f>IFERROR(VLOOKUP(C929,Assets!$A:$F,6,FALSE),0)</f>
        <v/>
      </c>
      <c r="F929" t="inlineStr">
        <is>
          <t>Auto</t>
        </is>
      </c>
      <c r="G929" s="44" t="n"/>
      <c r="H929" s="44">
        <f>IF(F929="No",0,IF(F929="Edited",IF(G929="",E929,G929),E929))</f>
        <v/>
      </c>
    </row>
    <row r="930">
      <c r="A930" s="41" t="n">
        <v>49644</v>
      </c>
      <c r="B930" s="32">
        <f>DATE(YEAR(A930),MONTH(A930),1)</f>
        <v/>
      </c>
      <c r="C930" t="inlineStr">
        <is>
          <t>Core MSCI World</t>
        </is>
      </c>
      <c r="D930" t="inlineStr">
        <is>
          <t>PAC</t>
        </is>
      </c>
      <c r="E930" s="44">
        <f>IFERROR(VLOOKUP(C930,Assets!$A:$F,6,FALSE),0)</f>
        <v/>
      </c>
      <c r="F930" t="inlineStr">
        <is>
          <t>Auto</t>
        </is>
      </c>
      <c r="G930" s="44" t="n"/>
      <c r="H930" s="44">
        <f>IF(F930="No",0,IF(F930="Edited",IF(G930="",E930,G930),E930))</f>
        <v/>
      </c>
    </row>
    <row r="931">
      <c r="A931" s="41" t="n">
        <v>49644</v>
      </c>
      <c r="B931" s="32">
        <f>DATE(YEAR(A931),MONTH(A931),1)</f>
        <v/>
      </c>
      <c r="C931" t="inlineStr">
        <is>
          <t>AI &amp; Big Data</t>
        </is>
      </c>
      <c r="D931" t="inlineStr">
        <is>
          <t>PAC</t>
        </is>
      </c>
      <c r="E931" s="44">
        <f>IFERROR(VLOOKUP(C931,Assets!$A:$F,6,FALSE),0)</f>
        <v/>
      </c>
      <c r="F931" t="inlineStr">
        <is>
          <t>Auto</t>
        </is>
      </c>
      <c r="G931" s="44" t="n"/>
      <c r="H931" s="44">
        <f>IF(F931="No",0,IF(F931="Edited",IF(G931="",E931,G931),E931))</f>
        <v/>
      </c>
    </row>
    <row r="932">
      <c r="A932" s="41" t="n">
        <v>49644</v>
      </c>
      <c r="B932" s="32">
        <f>DATE(YEAR(A932),MONTH(A932),1)</f>
        <v/>
      </c>
      <c r="C932" t="inlineStr">
        <is>
          <t>Physical Gold</t>
        </is>
      </c>
      <c r="D932" t="inlineStr">
        <is>
          <t>PAC</t>
        </is>
      </c>
      <c r="E932" s="44">
        <f>IFERROR(VLOOKUP(C932,Assets!$A:$F,6,FALSE),0)</f>
        <v/>
      </c>
      <c r="F932" t="inlineStr">
        <is>
          <t>Auto</t>
        </is>
      </c>
      <c r="G932" s="44" t="n"/>
      <c r="H932" s="44">
        <f>IF(F932="No",0,IF(F932="Edited",IF(G932="",E932,G932),E932))</f>
        <v/>
      </c>
    </row>
    <row r="933">
      <c r="A933" s="41" t="n">
        <v>49644</v>
      </c>
      <c r="B933" s="32">
        <f>DATE(YEAR(A933),MONTH(A933),1)</f>
        <v/>
      </c>
      <c r="C933" t="inlineStr">
        <is>
          <t>Global Gov Bond</t>
        </is>
      </c>
      <c r="D933" t="inlineStr">
        <is>
          <t>PAC</t>
        </is>
      </c>
      <c r="E933" s="44">
        <f>IFERROR(VLOOKUP(C933,Assets!$A:$F,6,FALSE),0)</f>
        <v/>
      </c>
      <c r="F933" t="inlineStr">
        <is>
          <t>Auto</t>
        </is>
      </c>
      <c r="G933" s="44" t="n"/>
      <c r="H933" s="44">
        <f>IF(F933="No",0,IF(F933="Edited",IF(G933="",E933,G933),E933))</f>
        <v/>
      </c>
    </row>
    <row r="934">
      <c r="A934" s="41" t="n">
        <v>49644</v>
      </c>
      <c r="B934" s="32">
        <f>DATE(YEAR(A934),MONTH(A934),1)</f>
        <v/>
      </c>
      <c r="C934" t="inlineStr">
        <is>
          <t>Core EUR Corp Bond</t>
        </is>
      </c>
      <c r="D934" t="inlineStr">
        <is>
          <t>PAC</t>
        </is>
      </c>
      <c r="E934" s="44">
        <f>IFERROR(VLOOKUP(C934,Assets!$A:$F,6,FALSE),0)</f>
        <v/>
      </c>
      <c r="F934" t="inlineStr">
        <is>
          <t>Auto</t>
        </is>
      </c>
      <c r="G934" s="44" t="n"/>
      <c r="H934" s="44">
        <f>IF(F934="No",0,IF(F934="Edited",IF(G934="",E934,G934),E934))</f>
        <v/>
      </c>
    </row>
    <row r="935">
      <c r="A935" s="41" t="n">
        <v>49644</v>
      </c>
      <c r="B935" s="32">
        <f>DATE(YEAR(A935),MONTH(A935),1)</f>
        <v/>
      </c>
      <c r="C935" t="inlineStr">
        <is>
          <t>MSCI World Value</t>
        </is>
      </c>
      <c r="D935" t="inlineStr">
        <is>
          <t>PAC</t>
        </is>
      </c>
      <c r="E935" s="44">
        <f>IFERROR(VLOOKUP(C935,Assets!$A:$F,6,FALSE),0)</f>
        <v/>
      </c>
      <c r="F935" t="inlineStr">
        <is>
          <t>Auto</t>
        </is>
      </c>
      <c r="G935" s="44" t="n"/>
      <c r="H935" s="44">
        <f>IF(F935="No",0,IF(F935="Edited",IF(G935="",E935,G935),E935))</f>
        <v/>
      </c>
    </row>
    <row r="936">
      <c r="A936" s="41" t="n">
        <v>49644</v>
      </c>
      <c r="B936" s="32">
        <f>DATE(YEAR(A936),MONTH(A936),1)</f>
        <v/>
      </c>
      <c r="C936" t="inlineStr">
        <is>
          <t>MSCI EM</t>
        </is>
      </c>
      <c r="D936" t="inlineStr">
        <is>
          <t>PAC</t>
        </is>
      </c>
      <c r="E936" s="44">
        <f>IFERROR(VLOOKUP(C936,Assets!$A:$F,6,FALSE),0)</f>
        <v/>
      </c>
      <c r="F936" t="inlineStr">
        <is>
          <t>Auto</t>
        </is>
      </c>
      <c r="G936" s="44" t="n"/>
      <c r="H936" s="44">
        <f>IF(F936="No",0,IF(F936="Edited",IF(G936="",E936,G936),E936))</f>
        <v/>
      </c>
    </row>
    <row r="937">
      <c r="A937" s="41" t="n">
        <v>49644</v>
      </c>
      <c r="B937" s="32">
        <f>DATE(YEAR(A937),MONTH(A937),1)</f>
        <v/>
      </c>
      <c r="C937" t="inlineStr">
        <is>
          <t>Defence Tech</t>
        </is>
      </c>
      <c r="D937" t="inlineStr">
        <is>
          <t>PAC</t>
        </is>
      </c>
      <c r="E937" s="44">
        <f>IFERROR(VLOOKUP(C937,Assets!$A:$F,6,FALSE),0)</f>
        <v/>
      </c>
      <c r="F937" t="inlineStr">
        <is>
          <t>Auto</t>
        </is>
      </c>
      <c r="G937" s="44" t="n"/>
      <c r="H937" s="44">
        <f>IF(F937="No",0,IF(F937="Edited",IF(G937="",E937,G937),E937))</f>
        <v/>
      </c>
    </row>
    <row r="938">
      <c r="A938" s="41" t="n">
        <v>49675</v>
      </c>
      <c r="B938" s="32">
        <f>DATE(YEAR(A938),MONTH(A938),1)</f>
        <v/>
      </c>
      <c r="C938" t="inlineStr">
        <is>
          <t>Core MSCI World</t>
        </is>
      </c>
      <c r="D938" t="inlineStr">
        <is>
          <t>PAC</t>
        </is>
      </c>
      <c r="E938" s="44">
        <f>IFERROR(VLOOKUP(C938,Assets!$A:$F,6,FALSE),0)</f>
        <v/>
      </c>
      <c r="F938" t="inlineStr">
        <is>
          <t>Auto</t>
        </is>
      </c>
      <c r="G938" s="44" t="n"/>
      <c r="H938" s="44">
        <f>IF(F938="No",0,IF(F938="Edited",IF(G938="",E938,G938),E938))</f>
        <v/>
      </c>
    </row>
    <row r="939">
      <c r="A939" s="41" t="n">
        <v>49675</v>
      </c>
      <c r="B939" s="32">
        <f>DATE(YEAR(A939),MONTH(A939),1)</f>
        <v/>
      </c>
      <c r="C939" t="inlineStr">
        <is>
          <t>AI &amp; Big Data</t>
        </is>
      </c>
      <c r="D939" t="inlineStr">
        <is>
          <t>PAC</t>
        </is>
      </c>
      <c r="E939" s="44">
        <f>IFERROR(VLOOKUP(C939,Assets!$A:$F,6,FALSE),0)</f>
        <v/>
      </c>
      <c r="F939" t="inlineStr">
        <is>
          <t>Auto</t>
        </is>
      </c>
      <c r="G939" s="44" t="n"/>
      <c r="H939" s="44">
        <f>IF(F939="No",0,IF(F939="Edited",IF(G939="",E939,G939),E939))</f>
        <v/>
      </c>
    </row>
    <row r="940">
      <c r="A940" s="41" t="n">
        <v>49675</v>
      </c>
      <c r="B940" s="32">
        <f>DATE(YEAR(A940),MONTH(A940),1)</f>
        <v/>
      </c>
      <c r="C940" t="inlineStr">
        <is>
          <t>Physical Gold</t>
        </is>
      </c>
      <c r="D940" t="inlineStr">
        <is>
          <t>PAC</t>
        </is>
      </c>
      <c r="E940" s="44">
        <f>IFERROR(VLOOKUP(C940,Assets!$A:$F,6,FALSE),0)</f>
        <v/>
      </c>
      <c r="F940" t="inlineStr">
        <is>
          <t>Auto</t>
        </is>
      </c>
      <c r="G940" s="44" t="n"/>
      <c r="H940" s="44">
        <f>IF(F940="No",0,IF(F940="Edited",IF(G940="",E940,G940),E940))</f>
        <v/>
      </c>
    </row>
    <row r="941">
      <c r="A941" s="41" t="n">
        <v>49675</v>
      </c>
      <c r="B941" s="32">
        <f>DATE(YEAR(A941),MONTH(A941),1)</f>
        <v/>
      </c>
      <c r="C941" t="inlineStr">
        <is>
          <t>Global Gov Bond</t>
        </is>
      </c>
      <c r="D941" t="inlineStr">
        <is>
          <t>PAC</t>
        </is>
      </c>
      <c r="E941" s="44">
        <f>IFERROR(VLOOKUP(C941,Assets!$A:$F,6,FALSE),0)</f>
        <v/>
      </c>
      <c r="F941" t="inlineStr">
        <is>
          <t>Auto</t>
        </is>
      </c>
      <c r="G941" s="44" t="n"/>
      <c r="H941" s="44">
        <f>IF(F941="No",0,IF(F941="Edited",IF(G941="",E941,G941),E941))</f>
        <v/>
      </c>
    </row>
    <row r="942">
      <c r="A942" s="41" t="n">
        <v>49675</v>
      </c>
      <c r="B942" s="32">
        <f>DATE(YEAR(A942),MONTH(A942),1)</f>
        <v/>
      </c>
      <c r="C942" t="inlineStr">
        <is>
          <t>Core EUR Corp Bond</t>
        </is>
      </c>
      <c r="D942" t="inlineStr">
        <is>
          <t>PAC</t>
        </is>
      </c>
      <c r="E942" s="44">
        <f>IFERROR(VLOOKUP(C942,Assets!$A:$F,6,FALSE),0)</f>
        <v/>
      </c>
      <c r="F942" t="inlineStr">
        <is>
          <t>Auto</t>
        </is>
      </c>
      <c r="G942" s="44" t="n"/>
      <c r="H942" s="44">
        <f>IF(F942="No",0,IF(F942="Edited",IF(G942="",E942,G942),E942))</f>
        <v/>
      </c>
    </row>
    <row r="943">
      <c r="A943" s="41" t="n">
        <v>49675</v>
      </c>
      <c r="B943" s="32">
        <f>DATE(YEAR(A943),MONTH(A943),1)</f>
        <v/>
      </c>
      <c r="C943" t="inlineStr">
        <is>
          <t>MSCI World Value</t>
        </is>
      </c>
      <c r="D943" t="inlineStr">
        <is>
          <t>PAC</t>
        </is>
      </c>
      <c r="E943" s="44">
        <f>IFERROR(VLOOKUP(C943,Assets!$A:$F,6,FALSE),0)</f>
        <v/>
      </c>
      <c r="F943" t="inlineStr">
        <is>
          <t>Auto</t>
        </is>
      </c>
      <c r="G943" s="44" t="n"/>
      <c r="H943" s="44">
        <f>IF(F943="No",0,IF(F943="Edited",IF(G943="",E943,G943),E943))</f>
        <v/>
      </c>
    </row>
    <row r="944">
      <c r="A944" s="41" t="n">
        <v>49675</v>
      </c>
      <c r="B944" s="32">
        <f>DATE(YEAR(A944),MONTH(A944),1)</f>
        <v/>
      </c>
      <c r="C944" t="inlineStr">
        <is>
          <t>MSCI EM</t>
        </is>
      </c>
      <c r="D944" t="inlineStr">
        <is>
          <t>PAC</t>
        </is>
      </c>
      <c r="E944" s="44">
        <f>IFERROR(VLOOKUP(C944,Assets!$A:$F,6,FALSE),0)</f>
        <v/>
      </c>
      <c r="F944" t="inlineStr">
        <is>
          <t>Auto</t>
        </is>
      </c>
      <c r="G944" s="44" t="n"/>
      <c r="H944" s="44">
        <f>IF(F944="No",0,IF(F944="Edited",IF(G944="",E944,G944),E944))</f>
        <v/>
      </c>
    </row>
    <row r="945">
      <c r="A945" s="41" t="n">
        <v>49675</v>
      </c>
      <c r="B945" s="32">
        <f>DATE(YEAR(A945),MONTH(A945),1)</f>
        <v/>
      </c>
      <c r="C945" t="inlineStr">
        <is>
          <t>Defence Tech</t>
        </is>
      </c>
      <c r="D945" t="inlineStr">
        <is>
          <t>PAC</t>
        </is>
      </c>
      <c r="E945" s="44">
        <f>IFERROR(VLOOKUP(C945,Assets!$A:$F,6,FALSE),0)</f>
        <v/>
      </c>
      <c r="F945" t="inlineStr">
        <is>
          <t>Auto</t>
        </is>
      </c>
      <c r="G945" s="44" t="n"/>
      <c r="H945" s="44">
        <f>IF(F945="No",0,IF(F945="Edited",IF(G945="",E945,G945),E945))</f>
        <v/>
      </c>
    </row>
    <row r="946">
      <c r="A946" s="41" t="n">
        <v>49706</v>
      </c>
      <c r="B946" s="32">
        <f>DATE(YEAR(A946),MONTH(A946),1)</f>
        <v/>
      </c>
      <c r="C946" t="inlineStr">
        <is>
          <t>Core MSCI World</t>
        </is>
      </c>
      <c r="D946" t="inlineStr">
        <is>
          <t>PAC</t>
        </is>
      </c>
      <c r="E946" s="44">
        <f>IFERROR(VLOOKUP(C946,Assets!$A:$F,6,FALSE),0)</f>
        <v/>
      </c>
      <c r="F946" t="inlineStr">
        <is>
          <t>Auto</t>
        </is>
      </c>
      <c r="G946" s="44" t="n"/>
      <c r="H946" s="44">
        <f>IF(F946="No",0,IF(F946="Edited",IF(G946="",E946,G946),E946))</f>
        <v/>
      </c>
    </row>
    <row r="947">
      <c r="A947" s="41" t="n">
        <v>49706</v>
      </c>
      <c r="B947" s="32">
        <f>DATE(YEAR(A947),MONTH(A947),1)</f>
        <v/>
      </c>
      <c r="C947" t="inlineStr">
        <is>
          <t>AI &amp; Big Data</t>
        </is>
      </c>
      <c r="D947" t="inlineStr">
        <is>
          <t>PAC</t>
        </is>
      </c>
      <c r="E947" s="44">
        <f>IFERROR(VLOOKUP(C947,Assets!$A:$F,6,FALSE),0)</f>
        <v/>
      </c>
      <c r="F947" t="inlineStr">
        <is>
          <t>Auto</t>
        </is>
      </c>
      <c r="G947" s="44" t="n"/>
      <c r="H947" s="44">
        <f>IF(F947="No",0,IF(F947="Edited",IF(G947="",E947,G947),E947))</f>
        <v/>
      </c>
    </row>
    <row r="948">
      <c r="A948" s="41" t="n">
        <v>49706</v>
      </c>
      <c r="B948" s="32">
        <f>DATE(YEAR(A948),MONTH(A948),1)</f>
        <v/>
      </c>
      <c r="C948" t="inlineStr">
        <is>
          <t>Physical Gold</t>
        </is>
      </c>
      <c r="D948" t="inlineStr">
        <is>
          <t>PAC</t>
        </is>
      </c>
      <c r="E948" s="44">
        <f>IFERROR(VLOOKUP(C948,Assets!$A:$F,6,FALSE),0)</f>
        <v/>
      </c>
      <c r="F948" t="inlineStr">
        <is>
          <t>Auto</t>
        </is>
      </c>
      <c r="G948" s="44" t="n"/>
      <c r="H948" s="44">
        <f>IF(F948="No",0,IF(F948="Edited",IF(G948="",E948,G948),E948))</f>
        <v/>
      </c>
    </row>
    <row r="949">
      <c r="A949" s="41" t="n">
        <v>49706</v>
      </c>
      <c r="B949" s="32">
        <f>DATE(YEAR(A949),MONTH(A949),1)</f>
        <v/>
      </c>
      <c r="C949" t="inlineStr">
        <is>
          <t>Global Gov Bond</t>
        </is>
      </c>
      <c r="D949" t="inlineStr">
        <is>
          <t>PAC</t>
        </is>
      </c>
      <c r="E949" s="44">
        <f>IFERROR(VLOOKUP(C949,Assets!$A:$F,6,FALSE),0)</f>
        <v/>
      </c>
      <c r="F949" t="inlineStr">
        <is>
          <t>Auto</t>
        </is>
      </c>
      <c r="G949" s="44" t="n"/>
      <c r="H949" s="44">
        <f>IF(F949="No",0,IF(F949="Edited",IF(G949="",E949,G949),E949))</f>
        <v/>
      </c>
    </row>
    <row r="950">
      <c r="A950" s="41" t="n">
        <v>49706</v>
      </c>
      <c r="B950" s="32">
        <f>DATE(YEAR(A950),MONTH(A950),1)</f>
        <v/>
      </c>
      <c r="C950" t="inlineStr">
        <is>
          <t>Core EUR Corp Bond</t>
        </is>
      </c>
      <c r="D950" t="inlineStr">
        <is>
          <t>PAC</t>
        </is>
      </c>
      <c r="E950" s="44">
        <f>IFERROR(VLOOKUP(C950,Assets!$A:$F,6,FALSE),0)</f>
        <v/>
      </c>
      <c r="F950" t="inlineStr">
        <is>
          <t>Auto</t>
        </is>
      </c>
      <c r="G950" s="44" t="n"/>
      <c r="H950" s="44">
        <f>IF(F950="No",0,IF(F950="Edited",IF(G950="",E950,G950),E950))</f>
        <v/>
      </c>
    </row>
    <row r="951">
      <c r="A951" s="41" t="n">
        <v>49706</v>
      </c>
      <c r="B951" s="32">
        <f>DATE(YEAR(A951),MONTH(A951),1)</f>
        <v/>
      </c>
      <c r="C951" t="inlineStr">
        <is>
          <t>MSCI World Value</t>
        </is>
      </c>
      <c r="D951" t="inlineStr">
        <is>
          <t>PAC</t>
        </is>
      </c>
      <c r="E951" s="44">
        <f>IFERROR(VLOOKUP(C951,Assets!$A:$F,6,FALSE),0)</f>
        <v/>
      </c>
      <c r="F951" t="inlineStr">
        <is>
          <t>Auto</t>
        </is>
      </c>
      <c r="G951" s="44" t="n"/>
      <c r="H951" s="44">
        <f>IF(F951="No",0,IF(F951="Edited",IF(G951="",E951,G951),E951))</f>
        <v/>
      </c>
    </row>
    <row r="952">
      <c r="A952" s="41" t="n">
        <v>49706</v>
      </c>
      <c r="B952" s="32">
        <f>DATE(YEAR(A952),MONTH(A952),1)</f>
        <v/>
      </c>
      <c r="C952" t="inlineStr">
        <is>
          <t>MSCI EM</t>
        </is>
      </c>
      <c r="D952" t="inlineStr">
        <is>
          <t>PAC</t>
        </is>
      </c>
      <c r="E952" s="44">
        <f>IFERROR(VLOOKUP(C952,Assets!$A:$F,6,FALSE),0)</f>
        <v/>
      </c>
      <c r="F952" t="inlineStr">
        <is>
          <t>Auto</t>
        </is>
      </c>
      <c r="G952" s="44" t="n"/>
      <c r="H952" s="44">
        <f>IF(F952="No",0,IF(F952="Edited",IF(G952="",E952,G952),E952))</f>
        <v/>
      </c>
    </row>
    <row r="953">
      <c r="A953" s="41" t="n">
        <v>49706</v>
      </c>
      <c r="B953" s="32">
        <f>DATE(YEAR(A953),MONTH(A953),1)</f>
        <v/>
      </c>
      <c r="C953" t="inlineStr">
        <is>
          <t>Defence Tech</t>
        </is>
      </c>
      <c r="D953" t="inlineStr">
        <is>
          <t>PAC</t>
        </is>
      </c>
      <c r="E953" s="44">
        <f>IFERROR(VLOOKUP(C953,Assets!$A:$F,6,FALSE),0)</f>
        <v/>
      </c>
      <c r="F953" t="inlineStr">
        <is>
          <t>Auto</t>
        </is>
      </c>
      <c r="G953" s="44" t="n"/>
      <c r="H953" s="44">
        <f>IF(F953="No",0,IF(F953="Edited",IF(G953="",E953,G953),E953))</f>
        <v/>
      </c>
    </row>
    <row r="954">
      <c r="A954" s="41" t="n">
        <v>49735</v>
      </c>
      <c r="B954" s="32">
        <f>DATE(YEAR(A954),MONTH(A954),1)</f>
        <v/>
      </c>
      <c r="C954" t="inlineStr">
        <is>
          <t>Core MSCI World</t>
        </is>
      </c>
      <c r="D954" t="inlineStr">
        <is>
          <t>PAC</t>
        </is>
      </c>
      <c r="E954" s="44">
        <f>IFERROR(VLOOKUP(C954,Assets!$A:$F,6,FALSE),0)</f>
        <v/>
      </c>
      <c r="F954" t="inlineStr">
        <is>
          <t>Auto</t>
        </is>
      </c>
      <c r="G954" s="44" t="n"/>
      <c r="H954" s="44">
        <f>IF(F954="No",0,IF(F954="Edited",IF(G954="",E954,G954),E954))</f>
        <v/>
      </c>
    </row>
    <row r="955">
      <c r="A955" s="41" t="n">
        <v>49735</v>
      </c>
      <c r="B955" s="32">
        <f>DATE(YEAR(A955),MONTH(A955),1)</f>
        <v/>
      </c>
      <c r="C955" t="inlineStr">
        <is>
          <t>AI &amp; Big Data</t>
        </is>
      </c>
      <c r="D955" t="inlineStr">
        <is>
          <t>PAC</t>
        </is>
      </c>
      <c r="E955" s="44">
        <f>IFERROR(VLOOKUP(C955,Assets!$A:$F,6,FALSE),0)</f>
        <v/>
      </c>
      <c r="F955" t="inlineStr">
        <is>
          <t>Auto</t>
        </is>
      </c>
      <c r="G955" s="44" t="n"/>
      <c r="H955" s="44">
        <f>IF(F955="No",0,IF(F955="Edited",IF(G955="",E955,G955),E955))</f>
        <v/>
      </c>
    </row>
    <row r="956">
      <c r="A956" s="41" t="n">
        <v>49735</v>
      </c>
      <c r="B956" s="32">
        <f>DATE(YEAR(A956),MONTH(A956),1)</f>
        <v/>
      </c>
      <c r="C956" t="inlineStr">
        <is>
          <t>Physical Gold</t>
        </is>
      </c>
      <c r="D956" t="inlineStr">
        <is>
          <t>PAC</t>
        </is>
      </c>
      <c r="E956" s="44">
        <f>IFERROR(VLOOKUP(C956,Assets!$A:$F,6,FALSE),0)</f>
        <v/>
      </c>
      <c r="F956" t="inlineStr">
        <is>
          <t>Auto</t>
        </is>
      </c>
      <c r="G956" s="44" t="n"/>
      <c r="H956" s="44">
        <f>IF(F956="No",0,IF(F956="Edited",IF(G956="",E956,G956),E956))</f>
        <v/>
      </c>
    </row>
    <row r="957">
      <c r="A957" s="41" t="n">
        <v>49735</v>
      </c>
      <c r="B957" s="32">
        <f>DATE(YEAR(A957),MONTH(A957),1)</f>
        <v/>
      </c>
      <c r="C957" t="inlineStr">
        <is>
          <t>Global Gov Bond</t>
        </is>
      </c>
      <c r="D957" t="inlineStr">
        <is>
          <t>PAC</t>
        </is>
      </c>
      <c r="E957" s="44">
        <f>IFERROR(VLOOKUP(C957,Assets!$A:$F,6,FALSE),0)</f>
        <v/>
      </c>
      <c r="F957" t="inlineStr">
        <is>
          <t>Auto</t>
        </is>
      </c>
      <c r="G957" s="44" t="n"/>
      <c r="H957" s="44">
        <f>IF(F957="No",0,IF(F957="Edited",IF(G957="",E957,G957),E957))</f>
        <v/>
      </c>
    </row>
    <row r="958">
      <c r="A958" s="41" t="n">
        <v>49735</v>
      </c>
      <c r="B958" s="32">
        <f>DATE(YEAR(A958),MONTH(A958),1)</f>
        <v/>
      </c>
      <c r="C958" t="inlineStr">
        <is>
          <t>Core EUR Corp Bond</t>
        </is>
      </c>
      <c r="D958" t="inlineStr">
        <is>
          <t>PAC</t>
        </is>
      </c>
      <c r="E958" s="44">
        <f>IFERROR(VLOOKUP(C958,Assets!$A:$F,6,FALSE),0)</f>
        <v/>
      </c>
      <c r="F958" t="inlineStr">
        <is>
          <t>Auto</t>
        </is>
      </c>
      <c r="G958" s="44" t="n"/>
      <c r="H958" s="44">
        <f>IF(F958="No",0,IF(F958="Edited",IF(G958="",E958,G958),E958))</f>
        <v/>
      </c>
    </row>
    <row r="959">
      <c r="A959" s="41" t="n">
        <v>49735</v>
      </c>
      <c r="B959" s="32">
        <f>DATE(YEAR(A959),MONTH(A959),1)</f>
        <v/>
      </c>
      <c r="C959" t="inlineStr">
        <is>
          <t>MSCI World Value</t>
        </is>
      </c>
      <c r="D959" t="inlineStr">
        <is>
          <t>PAC</t>
        </is>
      </c>
      <c r="E959" s="44">
        <f>IFERROR(VLOOKUP(C959,Assets!$A:$F,6,FALSE),0)</f>
        <v/>
      </c>
      <c r="F959" t="inlineStr">
        <is>
          <t>Auto</t>
        </is>
      </c>
      <c r="G959" s="44" t="n"/>
      <c r="H959" s="44">
        <f>IF(F959="No",0,IF(F959="Edited",IF(G959="",E959,G959),E959))</f>
        <v/>
      </c>
    </row>
    <row r="960">
      <c r="A960" s="41" t="n">
        <v>49735</v>
      </c>
      <c r="B960" s="32">
        <f>DATE(YEAR(A960),MONTH(A960),1)</f>
        <v/>
      </c>
      <c r="C960" t="inlineStr">
        <is>
          <t>MSCI EM</t>
        </is>
      </c>
      <c r="D960" t="inlineStr">
        <is>
          <t>PAC</t>
        </is>
      </c>
      <c r="E960" s="44">
        <f>IFERROR(VLOOKUP(C960,Assets!$A:$F,6,FALSE),0)</f>
        <v/>
      </c>
      <c r="F960" t="inlineStr">
        <is>
          <t>Auto</t>
        </is>
      </c>
      <c r="G960" s="44" t="n"/>
      <c r="H960" s="44">
        <f>IF(F960="No",0,IF(F960="Edited",IF(G960="",E960,G960),E960))</f>
        <v/>
      </c>
    </row>
    <row r="961">
      <c r="A961" s="41" t="n">
        <v>49735</v>
      </c>
      <c r="B961" s="32">
        <f>DATE(YEAR(A961),MONTH(A961),1)</f>
        <v/>
      </c>
      <c r="C961" t="inlineStr">
        <is>
          <t>Defence Tech</t>
        </is>
      </c>
      <c r="D961" t="inlineStr">
        <is>
          <t>PAC</t>
        </is>
      </c>
      <c r="E961" s="44">
        <f>IFERROR(VLOOKUP(C961,Assets!$A:$F,6,FALSE),0)</f>
        <v/>
      </c>
      <c r="F961" t="inlineStr">
        <is>
          <t>Auto</t>
        </is>
      </c>
      <c r="G961" s="44" t="n"/>
      <c r="H961" s="44">
        <f>IF(F961="No",0,IF(F961="Edited",IF(G961="",E961,G961),E961))</f>
        <v/>
      </c>
    </row>
    <row r="962">
      <c r="A962" s="41" t="n">
        <v>49766</v>
      </c>
      <c r="B962" s="32">
        <f>DATE(YEAR(A962),MONTH(A962),1)</f>
        <v/>
      </c>
      <c r="C962" t="inlineStr">
        <is>
          <t>Core MSCI World</t>
        </is>
      </c>
      <c r="D962" t="inlineStr">
        <is>
          <t>PAC</t>
        </is>
      </c>
      <c r="E962" s="44">
        <f>IFERROR(VLOOKUP(C962,Assets!$A:$F,6,FALSE),0)</f>
        <v/>
      </c>
      <c r="F962" t="inlineStr">
        <is>
          <t>Auto</t>
        </is>
      </c>
      <c r="G962" s="44" t="n"/>
      <c r="H962" s="44">
        <f>IF(F962="No",0,IF(F962="Edited",IF(G962="",E962,G962),E962))</f>
        <v/>
      </c>
    </row>
    <row r="963">
      <c r="A963" s="41" t="n">
        <v>49766</v>
      </c>
      <c r="B963" s="32">
        <f>DATE(YEAR(A963),MONTH(A963),1)</f>
        <v/>
      </c>
      <c r="C963" t="inlineStr">
        <is>
          <t>AI &amp; Big Data</t>
        </is>
      </c>
      <c r="D963" t="inlineStr">
        <is>
          <t>PAC</t>
        </is>
      </c>
      <c r="E963" s="44">
        <f>IFERROR(VLOOKUP(C963,Assets!$A:$F,6,FALSE),0)</f>
        <v/>
      </c>
      <c r="F963" t="inlineStr">
        <is>
          <t>Auto</t>
        </is>
      </c>
      <c r="G963" s="44" t="n"/>
      <c r="H963" s="44">
        <f>IF(F963="No",0,IF(F963="Edited",IF(G963="",E963,G963),E963))</f>
        <v/>
      </c>
    </row>
    <row r="964">
      <c r="A964" s="41" t="n">
        <v>49766</v>
      </c>
      <c r="B964" s="32">
        <f>DATE(YEAR(A964),MONTH(A964),1)</f>
        <v/>
      </c>
      <c r="C964" t="inlineStr">
        <is>
          <t>Physical Gold</t>
        </is>
      </c>
      <c r="D964" t="inlineStr">
        <is>
          <t>PAC</t>
        </is>
      </c>
      <c r="E964" s="44">
        <f>IFERROR(VLOOKUP(C964,Assets!$A:$F,6,FALSE),0)</f>
        <v/>
      </c>
      <c r="F964" t="inlineStr">
        <is>
          <t>Auto</t>
        </is>
      </c>
      <c r="G964" s="44" t="n"/>
      <c r="H964" s="44">
        <f>IF(F964="No",0,IF(F964="Edited",IF(G964="",E964,G964),E964))</f>
        <v/>
      </c>
    </row>
    <row r="965">
      <c r="A965" s="41" t="n">
        <v>49766</v>
      </c>
      <c r="B965" s="32">
        <f>DATE(YEAR(A965),MONTH(A965),1)</f>
        <v/>
      </c>
      <c r="C965" t="inlineStr">
        <is>
          <t>Global Gov Bond</t>
        </is>
      </c>
      <c r="D965" t="inlineStr">
        <is>
          <t>PAC</t>
        </is>
      </c>
      <c r="E965" s="44">
        <f>IFERROR(VLOOKUP(C965,Assets!$A:$F,6,FALSE),0)</f>
        <v/>
      </c>
      <c r="F965" t="inlineStr">
        <is>
          <t>Auto</t>
        </is>
      </c>
      <c r="G965" s="44" t="n"/>
      <c r="H965" s="44">
        <f>IF(F965="No",0,IF(F965="Edited",IF(G965="",E965,G965),E965))</f>
        <v/>
      </c>
    </row>
    <row r="966">
      <c r="A966" s="41" t="n">
        <v>49766</v>
      </c>
      <c r="B966" s="32">
        <f>DATE(YEAR(A966),MONTH(A966),1)</f>
        <v/>
      </c>
      <c r="C966" t="inlineStr">
        <is>
          <t>Core EUR Corp Bond</t>
        </is>
      </c>
      <c r="D966" t="inlineStr">
        <is>
          <t>PAC</t>
        </is>
      </c>
      <c r="E966" s="44">
        <f>IFERROR(VLOOKUP(C966,Assets!$A:$F,6,FALSE),0)</f>
        <v/>
      </c>
      <c r="F966" t="inlineStr">
        <is>
          <t>Auto</t>
        </is>
      </c>
      <c r="G966" s="44" t="n"/>
      <c r="H966" s="44">
        <f>IF(F966="No",0,IF(F966="Edited",IF(G966="",E966,G966),E966))</f>
        <v/>
      </c>
    </row>
    <row r="967">
      <c r="A967" s="41" t="n">
        <v>49766</v>
      </c>
      <c r="B967" s="32">
        <f>DATE(YEAR(A967),MONTH(A967),1)</f>
        <v/>
      </c>
      <c r="C967" t="inlineStr">
        <is>
          <t>MSCI World Value</t>
        </is>
      </c>
      <c r="D967" t="inlineStr">
        <is>
          <t>PAC</t>
        </is>
      </c>
      <c r="E967" s="44">
        <f>IFERROR(VLOOKUP(C967,Assets!$A:$F,6,FALSE),0)</f>
        <v/>
      </c>
      <c r="F967" t="inlineStr">
        <is>
          <t>Auto</t>
        </is>
      </c>
      <c r="G967" s="44" t="n"/>
      <c r="H967" s="44">
        <f>IF(F967="No",0,IF(F967="Edited",IF(G967="",E967,G967),E967))</f>
        <v/>
      </c>
    </row>
    <row r="968">
      <c r="A968" s="41" t="n">
        <v>49766</v>
      </c>
      <c r="B968" s="32">
        <f>DATE(YEAR(A968),MONTH(A968),1)</f>
        <v/>
      </c>
      <c r="C968" t="inlineStr">
        <is>
          <t>MSCI EM</t>
        </is>
      </c>
      <c r="D968" t="inlineStr">
        <is>
          <t>PAC</t>
        </is>
      </c>
      <c r="E968" s="44">
        <f>IFERROR(VLOOKUP(C968,Assets!$A:$F,6,FALSE),0)</f>
        <v/>
      </c>
      <c r="F968" t="inlineStr">
        <is>
          <t>Auto</t>
        </is>
      </c>
      <c r="G968" s="44" t="n"/>
      <c r="H968" s="44">
        <f>IF(F968="No",0,IF(F968="Edited",IF(G968="",E968,G968),E968))</f>
        <v/>
      </c>
    </row>
    <row r="969">
      <c r="A969" s="41" t="n">
        <v>49766</v>
      </c>
      <c r="B969" s="32">
        <f>DATE(YEAR(A969),MONTH(A969),1)</f>
        <v/>
      </c>
      <c r="C969" t="inlineStr">
        <is>
          <t>Defence Tech</t>
        </is>
      </c>
      <c r="D969" t="inlineStr">
        <is>
          <t>PAC</t>
        </is>
      </c>
      <c r="E969" s="44">
        <f>IFERROR(VLOOKUP(C969,Assets!$A:$F,6,FALSE),0)</f>
        <v/>
      </c>
      <c r="F969" t="inlineStr">
        <is>
          <t>Auto</t>
        </is>
      </c>
      <c r="G969" s="44" t="n"/>
      <c r="H969" s="44">
        <f>IF(F969="No",0,IF(F969="Edited",IF(G969="",E969,G969),E969))</f>
        <v/>
      </c>
    </row>
    <row r="970">
      <c r="A970" s="41" t="n">
        <v>49796</v>
      </c>
      <c r="B970" s="32">
        <f>DATE(YEAR(A970),MONTH(A970),1)</f>
        <v/>
      </c>
      <c r="C970" t="inlineStr">
        <is>
          <t>Core MSCI World</t>
        </is>
      </c>
      <c r="D970" t="inlineStr">
        <is>
          <t>PAC</t>
        </is>
      </c>
      <c r="E970" s="44">
        <f>IFERROR(VLOOKUP(C970,Assets!$A:$F,6,FALSE),0)</f>
        <v/>
      </c>
      <c r="F970" t="inlineStr">
        <is>
          <t>Auto</t>
        </is>
      </c>
      <c r="G970" s="44" t="n"/>
      <c r="H970" s="44">
        <f>IF(F970="No",0,IF(F970="Edited",IF(G970="",E970,G970),E970))</f>
        <v/>
      </c>
    </row>
    <row r="971">
      <c r="A971" s="41" t="n">
        <v>49796</v>
      </c>
      <c r="B971" s="32">
        <f>DATE(YEAR(A971),MONTH(A971),1)</f>
        <v/>
      </c>
      <c r="C971" t="inlineStr">
        <is>
          <t>AI &amp; Big Data</t>
        </is>
      </c>
      <c r="D971" t="inlineStr">
        <is>
          <t>PAC</t>
        </is>
      </c>
      <c r="E971" s="44">
        <f>IFERROR(VLOOKUP(C971,Assets!$A:$F,6,FALSE),0)</f>
        <v/>
      </c>
      <c r="F971" t="inlineStr">
        <is>
          <t>Auto</t>
        </is>
      </c>
      <c r="G971" s="44" t="n"/>
      <c r="H971" s="44">
        <f>IF(F971="No",0,IF(F971="Edited",IF(G971="",E971,G971),E971))</f>
        <v/>
      </c>
    </row>
    <row r="972">
      <c r="A972" s="41" t="n">
        <v>49796</v>
      </c>
      <c r="B972" s="32">
        <f>DATE(YEAR(A972),MONTH(A972),1)</f>
        <v/>
      </c>
      <c r="C972" t="inlineStr">
        <is>
          <t>Physical Gold</t>
        </is>
      </c>
      <c r="D972" t="inlineStr">
        <is>
          <t>PAC</t>
        </is>
      </c>
      <c r="E972" s="44">
        <f>IFERROR(VLOOKUP(C972,Assets!$A:$F,6,FALSE),0)</f>
        <v/>
      </c>
      <c r="F972" t="inlineStr">
        <is>
          <t>Auto</t>
        </is>
      </c>
      <c r="G972" s="44" t="n"/>
      <c r="H972" s="44">
        <f>IF(F972="No",0,IF(F972="Edited",IF(G972="",E972,G972),E972))</f>
        <v/>
      </c>
    </row>
    <row r="973">
      <c r="A973" s="41" t="n">
        <v>49796</v>
      </c>
      <c r="B973" s="32">
        <f>DATE(YEAR(A973),MONTH(A973),1)</f>
        <v/>
      </c>
      <c r="C973" t="inlineStr">
        <is>
          <t>Global Gov Bond</t>
        </is>
      </c>
      <c r="D973" t="inlineStr">
        <is>
          <t>PAC</t>
        </is>
      </c>
      <c r="E973" s="44">
        <f>IFERROR(VLOOKUP(C973,Assets!$A:$F,6,FALSE),0)</f>
        <v/>
      </c>
      <c r="F973" t="inlineStr">
        <is>
          <t>Auto</t>
        </is>
      </c>
      <c r="G973" s="44" t="n"/>
      <c r="H973" s="44">
        <f>IF(F973="No",0,IF(F973="Edited",IF(G973="",E973,G973),E973))</f>
        <v/>
      </c>
    </row>
    <row r="974">
      <c r="A974" s="41" t="n">
        <v>49796</v>
      </c>
      <c r="B974" s="32">
        <f>DATE(YEAR(A974),MONTH(A974),1)</f>
        <v/>
      </c>
      <c r="C974" t="inlineStr">
        <is>
          <t>Core EUR Corp Bond</t>
        </is>
      </c>
      <c r="D974" t="inlineStr">
        <is>
          <t>PAC</t>
        </is>
      </c>
      <c r="E974" s="44">
        <f>IFERROR(VLOOKUP(C974,Assets!$A:$F,6,FALSE),0)</f>
        <v/>
      </c>
      <c r="F974" t="inlineStr">
        <is>
          <t>Auto</t>
        </is>
      </c>
      <c r="G974" s="44" t="n"/>
      <c r="H974" s="44">
        <f>IF(F974="No",0,IF(F974="Edited",IF(G974="",E974,G974),E974))</f>
        <v/>
      </c>
    </row>
    <row r="975">
      <c r="A975" s="41" t="n">
        <v>49796</v>
      </c>
      <c r="B975" s="32">
        <f>DATE(YEAR(A975),MONTH(A975),1)</f>
        <v/>
      </c>
      <c r="C975" t="inlineStr">
        <is>
          <t>MSCI World Value</t>
        </is>
      </c>
      <c r="D975" t="inlineStr">
        <is>
          <t>PAC</t>
        </is>
      </c>
      <c r="E975" s="44">
        <f>IFERROR(VLOOKUP(C975,Assets!$A:$F,6,FALSE),0)</f>
        <v/>
      </c>
      <c r="F975" t="inlineStr">
        <is>
          <t>Auto</t>
        </is>
      </c>
      <c r="G975" s="44" t="n"/>
      <c r="H975" s="44">
        <f>IF(F975="No",0,IF(F975="Edited",IF(G975="",E975,G975),E975))</f>
        <v/>
      </c>
    </row>
    <row r="976">
      <c r="A976" s="41" t="n">
        <v>49796</v>
      </c>
      <c r="B976" s="32">
        <f>DATE(YEAR(A976),MONTH(A976),1)</f>
        <v/>
      </c>
      <c r="C976" t="inlineStr">
        <is>
          <t>MSCI EM</t>
        </is>
      </c>
      <c r="D976" t="inlineStr">
        <is>
          <t>PAC</t>
        </is>
      </c>
      <c r="E976" s="44">
        <f>IFERROR(VLOOKUP(C976,Assets!$A:$F,6,FALSE),0)</f>
        <v/>
      </c>
      <c r="F976" t="inlineStr">
        <is>
          <t>Auto</t>
        </is>
      </c>
      <c r="G976" s="44" t="n"/>
      <c r="H976" s="44">
        <f>IF(F976="No",0,IF(F976="Edited",IF(G976="",E976,G976),E976))</f>
        <v/>
      </c>
    </row>
    <row r="977">
      <c r="A977" s="41" t="n">
        <v>49796</v>
      </c>
      <c r="B977" s="32">
        <f>DATE(YEAR(A977),MONTH(A977),1)</f>
        <v/>
      </c>
      <c r="C977" t="inlineStr">
        <is>
          <t>Defence Tech</t>
        </is>
      </c>
      <c r="D977" t="inlineStr">
        <is>
          <t>PAC</t>
        </is>
      </c>
      <c r="E977" s="44">
        <f>IFERROR(VLOOKUP(C977,Assets!$A:$F,6,FALSE),0)</f>
        <v/>
      </c>
      <c r="F977" t="inlineStr">
        <is>
          <t>Auto</t>
        </is>
      </c>
      <c r="G977" s="44" t="n"/>
      <c r="H977" s="44">
        <f>IF(F977="No",0,IF(F977="Edited",IF(G977="",E977,G977),E977))</f>
        <v/>
      </c>
    </row>
    <row r="978">
      <c r="A978" s="41" t="n">
        <v>49827</v>
      </c>
      <c r="B978" s="32">
        <f>DATE(YEAR(A978),MONTH(A978),1)</f>
        <v/>
      </c>
      <c r="C978" t="inlineStr">
        <is>
          <t>Core MSCI World</t>
        </is>
      </c>
      <c r="D978" t="inlineStr">
        <is>
          <t>PAC</t>
        </is>
      </c>
      <c r="E978" s="44">
        <f>IFERROR(VLOOKUP(C978,Assets!$A:$F,6,FALSE),0)</f>
        <v/>
      </c>
      <c r="F978" t="inlineStr">
        <is>
          <t>Auto</t>
        </is>
      </c>
      <c r="G978" s="44" t="n"/>
      <c r="H978" s="44">
        <f>IF(F978="No",0,IF(F978="Edited",IF(G978="",E978,G978),E978))</f>
        <v/>
      </c>
    </row>
    <row r="979">
      <c r="A979" s="41" t="n">
        <v>49827</v>
      </c>
      <c r="B979" s="32">
        <f>DATE(YEAR(A979),MONTH(A979),1)</f>
        <v/>
      </c>
      <c r="C979" t="inlineStr">
        <is>
          <t>AI &amp; Big Data</t>
        </is>
      </c>
      <c r="D979" t="inlineStr">
        <is>
          <t>PAC</t>
        </is>
      </c>
      <c r="E979" s="44">
        <f>IFERROR(VLOOKUP(C979,Assets!$A:$F,6,FALSE),0)</f>
        <v/>
      </c>
      <c r="F979" t="inlineStr">
        <is>
          <t>Auto</t>
        </is>
      </c>
      <c r="G979" s="44" t="n"/>
      <c r="H979" s="44">
        <f>IF(F979="No",0,IF(F979="Edited",IF(G979="",E979,G979),E979))</f>
        <v/>
      </c>
    </row>
    <row r="980">
      <c r="A980" s="41" t="n">
        <v>49827</v>
      </c>
      <c r="B980" s="32">
        <f>DATE(YEAR(A980),MONTH(A980),1)</f>
        <v/>
      </c>
      <c r="C980" t="inlineStr">
        <is>
          <t>Physical Gold</t>
        </is>
      </c>
      <c r="D980" t="inlineStr">
        <is>
          <t>PAC</t>
        </is>
      </c>
      <c r="E980" s="44">
        <f>IFERROR(VLOOKUP(C980,Assets!$A:$F,6,FALSE),0)</f>
        <v/>
      </c>
      <c r="F980" t="inlineStr">
        <is>
          <t>Auto</t>
        </is>
      </c>
      <c r="G980" s="44" t="n"/>
      <c r="H980" s="44">
        <f>IF(F980="No",0,IF(F980="Edited",IF(G980="",E980,G980),E980))</f>
        <v/>
      </c>
    </row>
    <row r="981">
      <c r="A981" s="41" t="n">
        <v>49827</v>
      </c>
      <c r="B981" s="32">
        <f>DATE(YEAR(A981),MONTH(A981),1)</f>
        <v/>
      </c>
      <c r="C981" t="inlineStr">
        <is>
          <t>Global Gov Bond</t>
        </is>
      </c>
      <c r="D981" t="inlineStr">
        <is>
          <t>PAC</t>
        </is>
      </c>
      <c r="E981" s="44">
        <f>IFERROR(VLOOKUP(C981,Assets!$A:$F,6,FALSE),0)</f>
        <v/>
      </c>
      <c r="F981" t="inlineStr">
        <is>
          <t>Auto</t>
        </is>
      </c>
      <c r="G981" s="44" t="n"/>
      <c r="H981" s="44">
        <f>IF(F981="No",0,IF(F981="Edited",IF(G981="",E981,G981),E981))</f>
        <v/>
      </c>
    </row>
    <row r="982">
      <c r="A982" s="41" t="n">
        <v>49827</v>
      </c>
      <c r="B982" s="32">
        <f>DATE(YEAR(A982),MONTH(A982),1)</f>
        <v/>
      </c>
      <c r="C982" t="inlineStr">
        <is>
          <t>Core EUR Corp Bond</t>
        </is>
      </c>
      <c r="D982" t="inlineStr">
        <is>
          <t>PAC</t>
        </is>
      </c>
      <c r="E982" s="44">
        <f>IFERROR(VLOOKUP(C982,Assets!$A:$F,6,FALSE),0)</f>
        <v/>
      </c>
      <c r="F982" t="inlineStr">
        <is>
          <t>Auto</t>
        </is>
      </c>
      <c r="G982" s="44" t="n"/>
      <c r="H982" s="44">
        <f>IF(F982="No",0,IF(F982="Edited",IF(G982="",E982,G982),E982))</f>
        <v/>
      </c>
    </row>
    <row r="983">
      <c r="A983" s="41" t="n">
        <v>49827</v>
      </c>
      <c r="B983" s="32">
        <f>DATE(YEAR(A983),MONTH(A983),1)</f>
        <v/>
      </c>
      <c r="C983" t="inlineStr">
        <is>
          <t>MSCI World Value</t>
        </is>
      </c>
      <c r="D983" t="inlineStr">
        <is>
          <t>PAC</t>
        </is>
      </c>
      <c r="E983" s="44">
        <f>IFERROR(VLOOKUP(C983,Assets!$A:$F,6,FALSE),0)</f>
        <v/>
      </c>
      <c r="F983" t="inlineStr">
        <is>
          <t>Auto</t>
        </is>
      </c>
      <c r="G983" s="44" t="n"/>
      <c r="H983" s="44">
        <f>IF(F983="No",0,IF(F983="Edited",IF(G983="",E983,G983),E983))</f>
        <v/>
      </c>
    </row>
    <row r="984">
      <c r="A984" s="41" t="n">
        <v>49827</v>
      </c>
      <c r="B984" s="32">
        <f>DATE(YEAR(A984),MONTH(A984),1)</f>
        <v/>
      </c>
      <c r="C984" t="inlineStr">
        <is>
          <t>MSCI EM</t>
        </is>
      </c>
      <c r="D984" t="inlineStr">
        <is>
          <t>PAC</t>
        </is>
      </c>
      <c r="E984" s="44">
        <f>IFERROR(VLOOKUP(C984,Assets!$A:$F,6,FALSE),0)</f>
        <v/>
      </c>
      <c r="F984" t="inlineStr">
        <is>
          <t>Auto</t>
        </is>
      </c>
      <c r="G984" s="44" t="n"/>
      <c r="H984" s="44">
        <f>IF(F984="No",0,IF(F984="Edited",IF(G984="",E984,G984),E984))</f>
        <v/>
      </c>
    </row>
    <row r="985">
      <c r="A985" s="41" t="n">
        <v>49827</v>
      </c>
      <c r="B985" s="32">
        <f>DATE(YEAR(A985),MONTH(A985),1)</f>
        <v/>
      </c>
      <c r="C985" t="inlineStr">
        <is>
          <t>Defence Tech</t>
        </is>
      </c>
      <c r="D985" t="inlineStr">
        <is>
          <t>PAC</t>
        </is>
      </c>
      <c r="E985" s="44">
        <f>IFERROR(VLOOKUP(C985,Assets!$A:$F,6,FALSE),0)</f>
        <v/>
      </c>
      <c r="F985" t="inlineStr">
        <is>
          <t>Auto</t>
        </is>
      </c>
      <c r="G985" s="44" t="n"/>
      <c r="H985" s="44">
        <f>IF(F985="No",0,IF(F985="Edited",IF(G985="",E985,G985),E985))</f>
        <v/>
      </c>
    </row>
    <row r="986">
      <c r="A986" s="41" t="n">
        <v>49857</v>
      </c>
      <c r="B986" s="32">
        <f>DATE(YEAR(A986),MONTH(A986),1)</f>
        <v/>
      </c>
      <c r="C986" t="inlineStr">
        <is>
          <t>Core MSCI World</t>
        </is>
      </c>
      <c r="D986" t="inlineStr">
        <is>
          <t>PAC</t>
        </is>
      </c>
      <c r="E986" s="44">
        <f>IFERROR(VLOOKUP(C986,Assets!$A:$F,6,FALSE),0)</f>
        <v/>
      </c>
      <c r="F986" t="inlineStr">
        <is>
          <t>Auto</t>
        </is>
      </c>
      <c r="G986" s="44" t="n"/>
      <c r="H986" s="44">
        <f>IF(F986="No",0,IF(F986="Edited",IF(G986="",E986,G986),E986))</f>
        <v/>
      </c>
    </row>
    <row r="987">
      <c r="A987" s="41" t="n">
        <v>49857</v>
      </c>
      <c r="B987" s="32">
        <f>DATE(YEAR(A987),MONTH(A987),1)</f>
        <v/>
      </c>
      <c r="C987" t="inlineStr">
        <is>
          <t>AI &amp; Big Data</t>
        </is>
      </c>
      <c r="D987" t="inlineStr">
        <is>
          <t>PAC</t>
        </is>
      </c>
      <c r="E987" s="44">
        <f>IFERROR(VLOOKUP(C987,Assets!$A:$F,6,FALSE),0)</f>
        <v/>
      </c>
      <c r="F987" t="inlineStr">
        <is>
          <t>Auto</t>
        </is>
      </c>
      <c r="G987" s="44" t="n"/>
      <c r="H987" s="44">
        <f>IF(F987="No",0,IF(F987="Edited",IF(G987="",E987,G987),E987))</f>
        <v/>
      </c>
    </row>
    <row r="988">
      <c r="A988" s="41" t="n">
        <v>49857</v>
      </c>
      <c r="B988" s="32">
        <f>DATE(YEAR(A988),MONTH(A988),1)</f>
        <v/>
      </c>
      <c r="C988" t="inlineStr">
        <is>
          <t>Physical Gold</t>
        </is>
      </c>
      <c r="D988" t="inlineStr">
        <is>
          <t>PAC</t>
        </is>
      </c>
      <c r="E988" s="44">
        <f>IFERROR(VLOOKUP(C988,Assets!$A:$F,6,FALSE),0)</f>
        <v/>
      </c>
      <c r="F988" t="inlineStr">
        <is>
          <t>Auto</t>
        </is>
      </c>
      <c r="G988" s="44" t="n"/>
      <c r="H988" s="44">
        <f>IF(F988="No",0,IF(F988="Edited",IF(G988="",E988,G988),E988))</f>
        <v/>
      </c>
    </row>
    <row r="989">
      <c r="A989" s="41" t="n">
        <v>49857</v>
      </c>
      <c r="B989" s="32">
        <f>DATE(YEAR(A989),MONTH(A989),1)</f>
        <v/>
      </c>
      <c r="C989" t="inlineStr">
        <is>
          <t>Global Gov Bond</t>
        </is>
      </c>
      <c r="D989" t="inlineStr">
        <is>
          <t>PAC</t>
        </is>
      </c>
      <c r="E989" s="44">
        <f>IFERROR(VLOOKUP(C989,Assets!$A:$F,6,FALSE),0)</f>
        <v/>
      </c>
      <c r="F989" t="inlineStr">
        <is>
          <t>Auto</t>
        </is>
      </c>
      <c r="G989" s="44" t="n"/>
      <c r="H989" s="44">
        <f>IF(F989="No",0,IF(F989="Edited",IF(G989="",E989,G989),E989))</f>
        <v/>
      </c>
    </row>
    <row r="990">
      <c r="A990" s="41" t="n">
        <v>49857</v>
      </c>
      <c r="B990" s="32">
        <f>DATE(YEAR(A990),MONTH(A990),1)</f>
        <v/>
      </c>
      <c r="C990" t="inlineStr">
        <is>
          <t>Core EUR Corp Bond</t>
        </is>
      </c>
      <c r="D990" t="inlineStr">
        <is>
          <t>PAC</t>
        </is>
      </c>
      <c r="E990" s="44">
        <f>IFERROR(VLOOKUP(C990,Assets!$A:$F,6,FALSE),0)</f>
        <v/>
      </c>
      <c r="F990" t="inlineStr">
        <is>
          <t>Auto</t>
        </is>
      </c>
      <c r="G990" s="44" t="n"/>
      <c r="H990" s="44">
        <f>IF(F990="No",0,IF(F990="Edited",IF(G990="",E990,G990),E990))</f>
        <v/>
      </c>
    </row>
    <row r="991">
      <c r="A991" s="41" t="n">
        <v>49857</v>
      </c>
      <c r="B991" s="32">
        <f>DATE(YEAR(A991),MONTH(A991),1)</f>
        <v/>
      </c>
      <c r="C991" t="inlineStr">
        <is>
          <t>MSCI World Value</t>
        </is>
      </c>
      <c r="D991" t="inlineStr">
        <is>
          <t>PAC</t>
        </is>
      </c>
      <c r="E991" s="44">
        <f>IFERROR(VLOOKUP(C991,Assets!$A:$F,6,FALSE),0)</f>
        <v/>
      </c>
      <c r="F991" t="inlineStr">
        <is>
          <t>Auto</t>
        </is>
      </c>
      <c r="G991" s="44" t="n"/>
      <c r="H991" s="44">
        <f>IF(F991="No",0,IF(F991="Edited",IF(G991="",E991,G991),E991))</f>
        <v/>
      </c>
    </row>
    <row r="992">
      <c r="A992" s="41" t="n">
        <v>49857</v>
      </c>
      <c r="B992" s="32">
        <f>DATE(YEAR(A992),MONTH(A992),1)</f>
        <v/>
      </c>
      <c r="C992" t="inlineStr">
        <is>
          <t>MSCI EM</t>
        </is>
      </c>
      <c r="D992" t="inlineStr">
        <is>
          <t>PAC</t>
        </is>
      </c>
      <c r="E992" s="44">
        <f>IFERROR(VLOOKUP(C992,Assets!$A:$F,6,FALSE),0)</f>
        <v/>
      </c>
      <c r="F992" t="inlineStr">
        <is>
          <t>Auto</t>
        </is>
      </c>
      <c r="G992" s="44" t="n"/>
      <c r="H992" s="44">
        <f>IF(F992="No",0,IF(F992="Edited",IF(G992="",E992,G992),E992))</f>
        <v/>
      </c>
    </row>
    <row r="993">
      <c r="A993" s="41" t="n">
        <v>49857</v>
      </c>
      <c r="B993" s="32">
        <f>DATE(YEAR(A993),MONTH(A993),1)</f>
        <v/>
      </c>
      <c r="C993" t="inlineStr">
        <is>
          <t>Defence Tech</t>
        </is>
      </c>
      <c r="D993" t="inlineStr">
        <is>
          <t>PAC</t>
        </is>
      </c>
      <c r="E993" s="44">
        <f>IFERROR(VLOOKUP(C993,Assets!$A:$F,6,FALSE),0)</f>
        <v/>
      </c>
      <c r="F993" t="inlineStr">
        <is>
          <t>Auto</t>
        </is>
      </c>
      <c r="G993" s="44" t="n"/>
      <c r="H993" s="44">
        <f>IF(F993="No",0,IF(F993="Edited",IF(G993="",E993,G993),E993))</f>
        <v/>
      </c>
    </row>
    <row r="994">
      <c r="A994" s="41" t="n">
        <v>49888</v>
      </c>
      <c r="B994" s="32">
        <f>DATE(YEAR(A994),MONTH(A994),1)</f>
        <v/>
      </c>
      <c r="C994" t="inlineStr">
        <is>
          <t>Core MSCI World</t>
        </is>
      </c>
      <c r="D994" t="inlineStr">
        <is>
          <t>PAC</t>
        </is>
      </c>
      <c r="E994" s="44">
        <f>IFERROR(VLOOKUP(C994,Assets!$A:$F,6,FALSE),0)</f>
        <v/>
      </c>
      <c r="F994" t="inlineStr">
        <is>
          <t>Auto</t>
        </is>
      </c>
      <c r="G994" s="44" t="n"/>
      <c r="H994" s="44">
        <f>IF(F994="No",0,IF(F994="Edited",IF(G994="",E994,G994),E994))</f>
        <v/>
      </c>
    </row>
    <row r="995">
      <c r="A995" s="41" t="n">
        <v>49888</v>
      </c>
      <c r="B995" s="32">
        <f>DATE(YEAR(A995),MONTH(A995),1)</f>
        <v/>
      </c>
      <c r="C995" t="inlineStr">
        <is>
          <t>AI &amp; Big Data</t>
        </is>
      </c>
      <c r="D995" t="inlineStr">
        <is>
          <t>PAC</t>
        </is>
      </c>
      <c r="E995" s="44">
        <f>IFERROR(VLOOKUP(C995,Assets!$A:$F,6,FALSE),0)</f>
        <v/>
      </c>
      <c r="F995" t="inlineStr">
        <is>
          <t>Auto</t>
        </is>
      </c>
      <c r="G995" s="44" t="n"/>
      <c r="H995" s="44">
        <f>IF(F995="No",0,IF(F995="Edited",IF(G995="",E995,G995),E995))</f>
        <v/>
      </c>
    </row>
    <row r="996">
      <c r="A996" s="41" t="n">
        <v>49888</v>
      </c>
      <c r="B996" s="32">
        <f>DATE(YEAR(A996),MONTH(A996),1)</f>
        <v/>
      </c>
      <c r="C996" t="inlineStr">
        <is>
          <t>Physical Gold</t>
        </is>
      </c>
      <c r="D996" t="inlineStr">
        <is>
          <t>PAC</t>
        </is>
      </c>
      <c r="E996" s="44">
        <f>IFERROR(VLOOKUP(C996,Assets!$A:$F,6,FALSE),0)</f>
        <v/>
      </c>
      <c r="F996" t="inlineStr">
        <is>
          <t>Auto</t>
        </is>
      </c>
      <c r="G996" s="44" t="n"/>
      <c r="H996" s="44">
        <f>IF(F996="No",0,IF(F996="Edited",IF(G996="",E996,G996),E996))</f>
        <v/>
      </c>
    </row>
    <row r="997">
      <c r="A997" s="41" t="n">
        <v>49888</v>
      </c>
      <c r="B997" s="32">
        <f>DATE(YEAR(A997),MONTH(A997),1)</f>
        <v/>
      </c>
      <c r="C997" t="inlineStr">
        <is>
          <t>Global Gov Bond</t>
        </is>
      </c>
      <c r="D997" t="inlineStr">
        <is>
          <t>PAC</t>
        </is>
      </c>
      <c r="E997" s="44">
        <f>IFERROR(VLOOKUP(C997,Assets!$A:$F,6,FALSE),0)</f>
        <v/>
      </c>
      <c r="F997" t="inlineStr">
        <is>
          <t>Auto</t>
        </is>
      </c>
      <c r="G997" s="44" t="n"/>
      <c r="H997" s="44">
        <f>IF(F997="No",0,IF(F997="Edited",IF(G997="",E997,G997),E997))</f>
        <v/>
      </c>
    </row>
    <row r="998">
      <c r="A998" s="41" t="n">
        <v>49888</v>
      </c>
      <c r="B998" s="32">
        <f>DATE(YEAR(A998),MONTH(A998),1)</f>
        <v/>
      </c>
      <c r="C998" t="inlineStr">
        <is>
          <t>Core EUR Corp Bond</t>
        </is>
      </c>
      <c r="D998" t="inlineStr">
        <is>
          <t>PAC</t>
        </is>
      </c>
      <c r="E998" s="44">
        <f>IFERROR(VLOOKUP(C998,Assets!$A:$F,6,FALSE),0)</f>
        <v/>
      </c>
      <c r="F998" t="inlineStr">
        <is>
          <t>Auto</t>
        </is>
      </c>
      <c r="G998" s="44" t="n"/>
      <c r="H998" s="44">
        <f>IF(F998="No",0,IF(F998="Edited",IF(G998="",E998,G998),E998))</f>
        <v/>
      </c>
    </row>
    <row r="999">
      <c r="A999" s="41" t="n">
        <v>49888</v>
      </c>
      <c r="B999" s="32">
        <f>DATE(YEAR(A999),MONTH(A999),1)</f>
        <v/>
      </c>
      <c r="C999" t="inlineStr">
        <is>
          <t>MSCI World Value</t>
        </is>
      </c>
      <c r="D999" t="inlineStr">
        <is>
          <t>PAC</t>
        </is>
      </c>
      <c r="E999" s="44">
        <f>IFERROR(VLOOKUP(C999,Assets!$A:$F,6,FALSE),0)</f>
        <v/>
      </c>
      <c r="F999" t="inlineStr">
        <is>
          <t>Auto</t>
        </is>
      </c>
      <c r="G999" s="44" t="n"/>
      <c r="H999" s="44">
        <f>IF(F999="No",0,IF(F999="Edited",IF(G999="",E999,G999),E999))</f>
        <v/>
      </c>
    </row>
    <row r="1000">
      <c r="A1000" s="41" t="n">
        <v>49888</v>
      </c>
      <c r="B1000" s="32">
        <f>DATE(YEAR(A1000),MONTH(A1000),1)</f>
        <v/>
      </c>
      <c r="C1000" t="inlineStr">
        <is>
          <t>MSCI EM</t>
        </is>
      </c>
      <c r="D1000" t="inlineStr">
        <is>
          <t>PAC</t>
        </is>
      </c>
      <c r="E1000" s="44">
        <f>IFERROR(VLOOKUP(C1000,Assets!$A:$F,6,FALSE),0)</f>
        <v/>
      </c>
      <c r="F1000" t="inlineStr">
        <is>
          <t>Auto</t>
        </is>
      </c>
      <c r="G1000" s="44" t="n"/>
      <c r="H1000" s="44">
        <f>IF(F1000="No",0,IF(F1000="Edited",IF(G1000="",E1000,G1000),E1000))</f>
        <v/>
      </c>
    </row>
    <row r="1001">
      <c r="A1001" s="41" t="n">
        <v>49888</v>
      </c>
      <c r="B1001" s="32">
        <f>DATE(YEAR(A1001),MONTH(A1001),1)</f>
        <v/>
      </c>
      <c r="C1001" t="inlineStr">
        <is>
          <t>Defence Tech</t>
        </is>
      </c>
      <c r="D1001" t="inlineStr">
        <is>
          <t>PAC</t>
        </is>
      </c>
      <c r="E1001" s="44">
        <f>IFERROR(VLOOKUP(C1001,Assets!$A:$F,6,FALSE),0)</f>
        <v/>
      </c>
      <c r="F1001" t="inlineStr">
        <is>
          <t>Auto</t>
        </is>
      </c>
      <c r="G1001" s="44" t="n"/>
      <c r="H1001" s="44">
        <f>IF(F1001="No",0,IF(F1001="Edited",IF(G1001="",E1001,G1001),E1001))</f>
        <v/>
      </c>
    </row>
    <row r="1002">
      <c r="A1002" s="41" t="n">
        <v>49919</v>
      </c>
      <c r="B1002" s="32">
        <f>DATE(YEAR(A1002),MONTH(A1002),1)</f>
        <v/>
      </c>
      <c r="C1002" t="inlineStr">
        <is>
          <t>Core MSCI World</t>
        </is>
      </c>
      <c r="D1002" t="inlineStr">
        <is>
          <t>PAC</t>
        </is>
      </c>
      <c r="E1002" s="44">
        <f>IFERROR(VLOOKUP(C1002,Assets!$A:$F,6,FALSE),0)</f>
        <v/>
      </c>
      <c r="F1002" t="inlineStr">
        <is>
          <t>Auto</t>
        </is>
      </c>
      <c r="G1002" s="44" t="n"/>
      <c r="H1002" s="44">
        <f>IF(F1002="No",0,IF(F1002="Edited",IF(G1002="",E1002,G1002),E1002))</f>
        <v/>
      </c>
    </row>
    <row r="1003">
      <c r="A1003" s="41" t="n">
        <v>49919</v>
      </c>
      <c r="B1003" s="32">
        <f>DATE(YEAR(A1003),MONTH(A1003),1)</f>
        <v/>
      </c>
      <c r="C1003" t="inlineStr">
        <is>
          <t>AI &amp; Big Data</t>
        </is>
      </c>
      <c r="D1003" t="inlineStr">
        <is>
          <t>PAC</t>
        </is>
      </c>
      <c r="E1003" s="44">
        <f>IFERROR(VLOOKUP(C1003,Assets!$A:$F,6,FALSE),0)</f>
        <v/>
      </c>
      <c r="F1003" t="inlineStr">
        <is>
          <t>Auto</t>
        </is>
      </c>
      <c r="G1003" s="44" t="n"/>
      <c r="H1003" s="44">
        <f>IF(F1003="No",0,IF(F1003="Edited",IF(G1003="",E1003,G1003),E1003))</f>
        <v/>
      </c>
    </row>
    <row r="1004">
      <c r="A1004" s="41" t="n">
        <v>49919</v>
      </c>
      <c r="B1004" s="32">
        <f>DATE(YEAR(A1004),MONTH(A1004),1)</f>
        <v/>
      </c>
      <c r="C1004" t="inlineStr">
        <is>
          <t>Physical Gold</t>
        </is>
      </c>
      <c r="D1004" t="inlineStr">
        <is>
          <t>PAC</t>
        </is>
      </c>
      <c r="E1004" s="44">
        <f>IFERROR(VLOOKUP(C1004,Assets!$A:$F,6,FALSE),0)</f>
        <v/>
      </c>
      <c r="F1004" t="inlineStr">
        <is>
          <t>Auto</t>
        </is>
      </c>
      <c r="G1004" s="44" t="n"/>
      <c r="H1004" s="44">
        <f>IF(F1004="No",0,IF(F1004="Edited",IF(G1004="",E1004,G1004),E1004))</f>
        <v/>
      </c>
    </row>
    <row r="1005">
      <c r="A1005" s="41" t="n">
        <v>49919</v>
      </c>
      <c r="B1005" s="32">
        <f>DATE(YEAR(A1005),MONTH(A1005),1)</f>
        <v/>
      </c>
      <c r="C1005" t="inlineStr">
        <is>
          <t>Global Gov Bond</t>
        </is>
      </c>
      <c r="D1005" t="inlineStr">
        <is>
          <t>PAC</t>
        </is>
      </c>
      <c r="E1005" s="44">
        <f>IFERROR(VLOOKUP(C1005,Assets!$A:$F,6,FALSE),0)</f>
        <v/>
      </c>
      <c r="F1005" t="inlineStr">
        <is>
          <t>Auto</t>
        </is>
      </c>
      <c r="G1005" s="44" t="n"/>
      <c r="H1005" s="44">
        <f>IF(F1005="No",0,IF(F1005="Edited",IF(G1005="",E1005,G1005),E1005))</f>
        <v/>
      </c>
    </row>
    <row r="1006">
      <c r="A1006" s="41" t="n">
        <v>49919</v>
      </c>
      <c r="B1006" s="32">
        <f>DATE(YEAR(A1006),MONTH(A1006),1)</f>
        <v/>
      </c>
      <c r="C1006" t="inlineStr">
        <is>
          <t>Core EUR Corp Bond</t>
        </is>
      </c>
      <c r="D1006" t="inlineStr">
        <is>
          <t>PAC</t>
        </is>
      </c>
      <c r="E1006" s="44">
        <f>IFERROR(VLOOKUP(C1006,Assets!$A:$F,6,FALSE),0)</f>
        <v/>
      </c>
      <c r="F1006" t="inlineStr">
        <is>
          <t>Auto</t>
        </is>
      </c>
      <c r="G1006" s="44" t="n"/>
      <c r="H1006" s="44">
        <f>IF(F1006="No",0,IF(F1006="Edited",IF(G1006="",E1006,G1006),E1006))</f>
        <v/>
      </c>
    </row>
    <row r="1007">
      <c r="A1007" s="41" t="n">
        <v>49919</v>
      </c>
      <c r="B1007" s="32">
        <f>DATE(YEAR(A1007),MONTH(A1007),1)</f>
        <v/>
      </c>
      <c r="C1007" t="inlineStr">
        <is>
          <t>MSCI World Value</t>
        </is>
      </c>
      <c r="D1007" t="inlineStr">
        <is>
          <t>PAC</t>
        </is>
      </c>
      <c r="E1007" s="44">
        <f>IFERROR(VLOOKUP(C1007,Assets!$A:$F,6,FALSE),0)</f>
        <v/>
      </c>
      <c r="F1007" t="inlineStr">
        <is>
          <t>Auto</t>
        </is>
      </c>
      <c r="G1007" s="44" t="n"/>
      <c r="H1007" s="44">
        <f>IF(F1007="No",0,IF(F1007="Edited",IF(G1007="",E1007,G1007),E1007))</f>
        <v/>
      </c>
    </row>
    <row r="1008">
      <c r="A1008" s="41" t="n">
        <v>49919</v>
      </c>
      <c r="B1008" s="32">
        <f>DATE(YEAR(A1008),MONTH(A1008),1)</f>
        <v/>
      </c>
      <c r="C1008" t="inlineStr">
        <is>
          <t>MSCI EM</t>
        </is>
      </c>
      <c r="D1008" t="inlineStr">
        <is>
          <t>PAC</t>
        </is>
      </c>
      <c r="E1008" s="44">
        <f>IFERROR(VLOOKUP(C1008,Assets!$A:$F,6,FALSE),0)</f>
        <v/>
      </c>
      <c r="F1008" t="inlineStr">
        <is>
          <t>Auto</t>
        </is>
      </c>
      <c r="G1008" s="44" t="n"/>
      <c r="H1008" s="44">
        <f>IF(F1008="No",0,IF(F1008="Edited",IF(G1008="",E1008,G1008),E1008))</f>
        <v/>
      </c>
    </row>
    <row r="1009">
      <c r="A1009" s="41" t="n">
        <v>49919</v>
      </c>
      <c r="B1009" s="32">
        <f>DATE(YEAR(A1009),MONTH(A1009),1)</f>
        <v/>
      </c>
      <c r="C1009" t="inlineStr">
        <is>
          <t>Defence Tech</t>
        </is>
      </c>
      <c r="D1009" t="inlineStr">
        <is>
          <t>PAC</t>
        </is>
      </c>
      <c r="E1009" s="44">
        <f>IFERROR(VLOOKUP(C1009,Assets!$A:$F,6,FALSE),0)</f>
        <v/>
      </c>
      <c r="F1009" t="inlineStr">
        <is>
          <t>Auto</t>
        </is>
      </c>
      <c r="G1009" s="44" t="n"/>
      <c r="H1009" s="44">
        <f>IF(F1009="No",0,IF(F1009="Edited",IF(G1009="",E1009,G1009),E1009))</f>
        <v/>
      </c>
    </row>
    <row r="1010">
      <c r="A1010" s="41" t="n">
        <v>49949</v>
      </c>
      <c r="B1010" s="32">
        <f>DATE(YEAR(A1010),MONTH(A1010),1)</f>
        <v/>
      </c>
      <c r="C1010" t="inlineStr">
        <is>
          <t>Core MSCI World</t>
        </is>
      </c>
      <c r="D1010" t="inlineStr">
        <is>
          <t>PAC</t>
        </is>
      </c>
      <c r="E1010" s="44">
        <f>IFERROR(VLOOKUP(C1010,Assets!$A:$F,6,FALSE),0)</f>
        <v/>
      </c>
      <c r="F1010" t="inlineStr">
        <is>
          <t>Auto</t>
        </is>
      </c>
      <c r="G1010" s="44" t="n"/>
      <c r="H1010" s="44">
        <f>IF(F1010="No",0,IF(F1010="Edited",IF(G1010="",E1010,G1010),E1010))</f>
        <v/>
      </c>
    </row>
    <row r="1011">
      <c r="A1011" s="41" t="n">
        <v>49949</v>
      </c>
      <c r="B1011" s="32">
        <f>DATE(YEAR(A1011),MONTH(A1011),1)</f>
        <v/>
      </c>
      <c r="C1011" t="inlineStr">
        <is>
          <t>AI &amp; Big Data</t>
        </is>
      </c>
      <c r="D1011" t="inlineStr">
        <is>
          <t>PAC</t>
        </is>
      </c>
      <c r="E1011" s="44">
        <f>IFERROR(VLOOKUP(C1011,Assets!$A:$F,6,FALSE),0)</f>
        <v/>
      </c>
      <c r="F1011" t="inlineStr">
        <is>
          <t>Auto</t>
        </is>
      </c>
      <c r="G1011" s="44" t="n"/>
      <c r="H1011" s="44">
        <f>IF(F1011="No",0,IF(F1011="Edited",IF(G1011="",E1011,G1011),E1011))</f>
        <v/>
      </c>
    </row>
    <row r="1012">
      <c r="A1012" s="41" t="n">
        <v>49949</v>
      </c>
      <c r="B1012" s="32">
        <f>DATE(YEAR(A1012),MONTH(A1012),1)</f>
        <v/>
      </c>
      <c r="C1012" t="inlineStr">
        <is>
          <t>Physical Gold</t>
        </is>
      </c>
      <c r="D1012" t="inlineStr">
        <is>
          <t>PAC</t>
        </is>
      </c>
      <c r="E1012" s="44">
        <f>IFERROR(VLOOKUP(C1012,Assets!$A:$F,6,FALSE),0)</f>
        <v/>
      </c>
      <c r="F1012" t="inlineStr">
        <is>
          <t>Auto</t>
        </is>
      </c>
      <c r="G1012" s="44" t="n"/>
      <c r="H1012" s="44">
        <f>IF(F1012="No",0,IF(F1012="Edited",IF(G1012="",E1012,G1012),E1012))</f>
        <v/>
      </c>
    </row>
    <row r="1013">
      <c r="A1013" s="41" t="n">
        <v>49949</v>
      </c>
      <c r="B1013" s="32">
        <f>DATE(YEAR(A1013),MONTH(A1013),1)</f>
        <v/>
      </c>
      <c r="C1013" t="inlineStr">
        <is>
          <t>Global Gov Bond</t>
        </is>
      </c>
      <c r="D1013" t="inlineStr">
        <is>
          <t>PAC</t>
        </is>
      </c>
      <c r="E1013" s="44">
        <f>IFERROR(VLOOKUP(C1013,Assets!$A:$F,6,FALSE),0)</f>
        <v/>
      </c>
      <c r="F1013" t="inlineStr">
        <is>
          <t>Auto</t>
        </is>
      </c>
      <c r="G1013" s="44" t="n"/>
      <c r="H1013" s="44">
        <f>IF(F1013="No",0,IF(F1013="Edited",IF(G1013="",E1013,G1013),E1013))</f>
        <v/>
      </c>
    </row>
    <row r="1014">
      <c r="A1014" s="41" t="n">
        <v>49949</v>
      </c>
      <c r="B1014" s="32">
        <f>DATE(YEAR(A1014),MONTH(A1014),1)</f>
        <v/>
      </c>
      <c r="C1014" t="inlineStr">
        <is>
          <t>Core EUR Corp Bond</t>
        </is>
      </c>
      <c r="D1014" t="inlineStr">
        <is>
          <t>PAC</t>
        </is>
      </c>
      <c r="E1014" s="44">
        <f>IFERROR(VLOOKUP(C1014,Assets!$A:$F,6,FALSE),0)</f>
        <v/>
      </c>
      <c r="F1014" t="inlineStr">
        <is>
          <t>Auto</t>
        </is>
      </c>
      <c r="G1014" s="44" t="n"/>
      <c r="H1014" s="44">
        <f>IF(F1014="No",0,IF(F1014="Edited",IF(G1014="",E1014,G1014),E1014))</f>
        <v/>
      </c>
    </row>
    <row r="1015">
      <c r="A1015" s="41" t="n">
        <v>49949</v>
      </c>
      <c r="B1015" s="32">
        <f>DATE(YEAR(A1015),MONTH(A1015),1)</f>
        <v/>
      </c>
      <c r="C1015" t="inlineStr">
        <is>
          <t>MSCI World Value</t>
        </is>
      </c>
      <c r="D1015" t="inlineStr">
        <is>
          <t>PAC</t>
        </is>
      </c>
      <c r="E1015" s="44">
        <f>IFERROR(VLOOKUP(C1015,Assets!$A:$F,6,FALSE),0)</f>
        <v/>
      </c>
      <c r="F1015" t="inlineStr">
        <is>
          <t>Auto</t>
        </is>
      </c>
      <c r="G1015" s="44" t="n"/>
      <c r="H1015" s="44">
        <f>IF(F1015="No",0,IF(F1015="Edited",IF(G1015="",E1015,G1015),E1015))</f>
        <v/>
      </c>
    </row>
    <row r="1016">
      <c r="A1016" s="41" t="n">
        <v>49949</v>
      </c>
      <c r="B1016" s="32">
        <f>DATE(YEAR(A1016),MONTH(A1016),1)</f>
        <v/>
      </c>
      <c r="C1016" t="inlineStr">
        <is>
          <t>MSCI EM</t>
        </is>
      </c>
      <c r="D1016" t="inlineStr">
        <is>
          <t>PAC</t>
        </is>
      </c>
      <c r="E1016" s="44">
        <f>IFERROR(VLOOKUP(C1016,Assets!$A:$F,6,FALSE),0)</f>
        <v/>
      </c>
      <c r="F1016" t="inlineStr">
        <is>
          <t>Auto</t>
        </is>
      </c>
      <c r="G1016" s="44" t="n"/>
      <c r="H1016" s="44">
        <f>IF(F1016="No",0,IF(F1016="Edited",IF(G1016="",E1016,G1016),E1016))</f>
        <v/>
      </c>
    </row>
    <row r="1017">
      <c r="A1017" s="41" t="n">
        <v>49949</v>
      </c>
      <c r="B1017" s="32">
        <f>DATE(YEAR(A1017),MONTH(A1017),1)</f>
        <v/>
      </c>
      <c r="C1017" t="inlineStr">
        <is>
          <t>Defence Tech</t>
        </is>
      </c>
      <c r="D1017" t="inlineStr">
        <is>
          <t>PAC</t>
        </is>
      </c>
      <c r="E1017" s="44">
        <f>IFERROR(VLOOKUP(C1017,Assets!$A:$F,6,FALSE),0)</f>
        <v/>
      </c>
      <c r="F1017" t="inlineStr">
        <is>
          <t>Auto</t>
        </is>
      </c>
      <c r="G1017" s="44" t="n"/>
      <c r="H1017" s="44">
        <f>IF(F1017="No",0,IF(F1017="Edited",IF(G1017="",E1017,G1017),E1017))</f>
        <v/>
      </c>
    </row>
    <row r="1018">
      <c r="A1018" s="41" t="n">
        <v>49980</v>
      </c>
      <c r="B1018" s="32">
        <f>DATE(YEAR(A1018),MONTH(A1018),1)</f>
        <v/>
      </c>
      <c r="C1018" t="inlineStr">
        <is>
          <t>Core MSCI World</t>
        </is>
      </c>
      <c r="D1018" t="inlineStr">
        <is>
          <t>PAC</t>
        </is>
      </c>
      <c r="E1018" s="44">
        <f>IFERROR(VLOOKUP(C1018,Assets!$A:$F,6,FALSE),0)</f>
        <v/>
      </c>
      <c r="F1018" t="inlineStr">
        <is>
          <t>Auto</t>
        </is>
      </c>
      <c r="G1018" s="44" t="n"/>
      <c r="H1018" s="44">
        <f>IF(F1018="No",0,IF(F1018="Edited",IF(G1018="",E1018,G1018),E1018))</f>
        <v/>
      </c>
    </row>
    <row r="1019">
      <c r="A1019" s="41" t="n">
        <v>49980</v>
      </c>
      <c r="B1019" s="32">
        <f>DATE(YEAR(A1019),MONTH(A1019),1)</f>
        <v/>
      </c>
      <c r="C1019" t="inlineStr">
        <is>
          <t>AI &amp; Big Data</t>
        </is>
      </c>
      <c r="D1019" t="inlineStr">
        <is>
          <t>PAC</t>
        </is>
      </c>
      <c r="E1019" s="44">
        <f>IFERROR(VLOOKUP(C1019,Assets!$A:$F,6,FALSE),0)</f>
        <v/>
      </c>
      <c r="F1019" t="inlineStr">
        <is>
          <t>Auto</t>
        </is>
      </c>
      <c r="G1019" s="44" t="n"/>
      <c r="H1019" s="44">
        <f>IF(F1019="No",0,IF(F1019="Edited",IF(G1019="",E1019,G1019),E1019))</f>
        <v/>
      </c>
    </row>
    <row r="1020">
      <c r="A1020" s="41" t="n">
        <v>49980</v>
      </c>
      <c r="B1020" s="32">
        <f>DATE(YEAR(A1020),MONTH(A1020),1)</f>
        <v/>
      </c>
      <c r="C1020" t="inlineStr">
        <is>
          <t>Physical Gold</t>
        </is>
      </c>
      <c r="D1020" t="inlineStr">
        <is>
          <t>PAC</t>
        </is>
      </c>
      <c r="E1020" s="44">
        <f>IFERROR(VLOOKUP(C1020,Assets!$A:$F,6,FALSE),0)</f>
        <v/>
      </c>
      <c r="F1020" t="inlineStr">
        <is>
          <t>Auto</t>
        </is>
      </c>
      <c r="G1020" s="44" t="n"/>
      <c r="H1020" s="44">
        <f>IF(F1020="No",0,IF(F1020="Edited",IF(G1020="",E1020,G1020),E1020))</f>
        <v/>
      </c>
    </row>
    <row r="1021">
      <c r="A1021" s="41" t="n">
        <v>49980</v>
      </c>
      <c r="B1021" s="32">
        <f>DATE(YEAR(A1021),MONTH(A1021),1)</f>
        <v/>
      </c>
      <c r="C1021" t="inlineStr">
        <is>
          <t>Global Gov Bond</t>
        </is>
      </c>
      <c r="D1021" t="inlineStr">
        <is>
          <t>PAC</t>
        </is>
      </c>
      <c r="E1021" s="44">
        <f>IFERROR(VLOOKUP(C1021,Assets!$A:$F,6,FALSE),0)</f>
        <v/>
      </c>
      <c r="F1021" t="inlineStr">
        <is>
          <t>Auto</t>
        </is>
      </c>
      <c r="G1021" s="44" t="n"/>
      <c r="H1021" s="44">
        <f>IF(F1021="No",0,IF(F1021="Edited",IF(G1021="",E1021,G1021),E1021))</f>
        <v/>
      </c>
    </row>
    <row r="1022">
      <c r="A1022" s="41" t="n">
        <v>49980</v>
      </c>
      <c r="B1022" s="32">
        <f>DATE(YEAR(A1022),MONTH(A1022),1)</f>
        <v/>
      </c>
      <c r="C1022" t="inlineStr">
        <is>
          <t>Core EUR Corp Bond</t>
        </is>
      </c>
      <c r="D1022" t="inlineStr">
        <is>
          <t>PAC</t>
        </is>
      </c>
      <c r="E1022" s="44">
        <f>IFERROR(VLOOKUP(C1022,Assets!$A:$F,6,FALSE),0)</f>
        <v/>
      </c>
      <c r="F1022" t="inlineStr">
        <is>
          <t>Auto</t>
        </is>
      </c>
      <c r="G1022" s="44" t="n"/>
      <c r="H1022" s="44">
        <f>IF(F1022="No",0,IF(F1022="Edited",IF(G1022="",E1022,G1022),E1022))</f>
        <v/>
      </c>
    </row>
    <row r="1023">
      <c r="A1023" s="41" t="n">
        <v>49980</v>
      </c>
      <c r="B1023" s="32">
        <f>DATE(YEAR(A1023),MONTH(A1023),1)</f>
        <v/>
      </c>
      <c r="C1023" t="inlineStr">
        <is>
          <t>MSCI World Value</t>
        </is>
      </c>
      <c r="D1023" t="inlineStr">
        <is>
          <t>PAC</t>
        </is>
      </c>
      <c r="E1023" s="44">
        <f>IFERROR(VLOOKUP(C1023,Assets!$A:$F,6,FALSE),0)</f>
        <v/>
      </c>
      <c r="F1023" t="inlineStr">
        <is>
          <t>Auto</t>
        </is>
      </c>
      <c r="G1023" s="44" t="n"/>
      <c r="H1023" s="44">
        <f>IF(F1023="No",0,IF(F1023="Edited",IF(G1023="",E1023,G1023),E1023))</f>
        <v/>
      </c>
    </row>
    <row r="1024">
      <c r="A1024" s="41" t="n">
        <v>49980</v>
      </c>
      <c r="B1024" s="32">
        <f>DATE(YEAR(A1024),MONTH(A1024),1)</f>
        <v/>
      </c>
      <c r="C1024" t="inlineStr">
        <is>
          <t>MSCI EM</t>
        </is>
      </c>
      <c r="D1024" t="inlineStr">
        <is>
          <t>PAC</t>
        </is>
      </c>
      <c r="E1024" s="44">
        <f>IFERROR(VLOOKUP(C1024,Assets!$A:$F,6,FALSE),0)</f>
        <v/>
      </c>
      <c r="F1024" t="inlineStr">
        <is>
          <t>Auto</t>
        </is>
      </c>
      <c r="G1024" s="44" t="n"/>
      <c r="H1024" s="44">
        <f>IF(F1024="No",0,IF(F1024="Edited",IF(G1024="",E1024,G1024),E1024))</f>
        <v/>
      </c>
    </row>
    <row r="1025">
      <c r="A1025" s="41" t="n">
        <v>49980</v>
      </c>
      <c r="B1025" s="32">
        <f>DATE(YEAR(A1025),MONTH(A1025),1)</f>
        <v/>
      </c>
      <c r="C1025" t="inlineStr">
        <is>
          <t>Defence Tech</t>
        </is>
      </c>
      <c r="D1025" t="inlineStr">
        <is>
          <t>PAC</t>
        </is>
      </c>
      <c r="E1025" s="44">
        <f>IFERROR(VLOOKUP(C1025,Assets!$A:$F,6,FALSE),0)</f>
        <v/>
      </c>
      <c r="F1025" t="inlineStr">
        <is>
          <t>Auto</t>
        </is>
      </c>
      <c r="G1025" s="44" t="n"/>
      <c r="H1025" s="44">
        <f>IF(F1025="No",0,IF(F1025="Edited",IF(G1025="",E1025,G1025),E1025))</f>
        <v/>
      </c>
    </row>
    <row r="1026">
      <c r="A1026" s="41" t="n">
        <v>50010</v>
      </c>
      <c r="B1026" s="32">
        <f>DATE(YEAR(A1026),MONTH(A1026),1)</f>
        <v/>
      </c>
      <c r="C1026" t="inlineStr">
        <is>
          <t>Core MSCI World</t>
        </is>
      </c>
      <c r="D1026" t="inlineStr">
        <is>
          <t>PAC</t>
        </is>
      </c>
      <c r="E1026" s="44">
        <f>IFERROR(VLOOKUP(C1026,Assets!$A:$F,6,FALSE),0)</f>
        <v/>
      </c>
      <c r="F1026" t="inlineStr">
        <is>
          <t>Auto</t>
        </is>
      </c>
      <c r="G1026" s="44" t="n"/>
      <c r="H1026" s="44">
        <f>IF(F1026="No",0,IF(F1026="Edited",IF(G1026="",E1026,G1026),E1026))</f>
        <v/>
      </c>
    </row>
    <row r="1027">
      <c r="A1027" s="41" t="n">
        <v>50010</v>
      </c>
      <c r="B1027" s="32">
        <f>DATE(YEAR(A1027),MONTH(A1027),1)</f>
        <v/>
      </c>
      <c r="C1027" t="inlineStr">
        <is>
          <t>AI &amp; Big Data</t>
        </is>
      </c>
      <c r="D1027" t="inlineStr">
        <is>
          <t>PAC</t>
        </is>
      </c>
      <c r="E1027" s="44">
        <f>IFERROR(VLOOKUP(C1027,Assets!$A:$F,6,FALSE),0)</f>
        <v/>
      </c>
      <c r="F1027" t="inlineStr">
        <is>
          <t>Auto</t>
        </is>
      </c>
      <c r="G1027" s="44" t="n"/>
      <c r="H1027" s="44">
        <f>IF(F1027="No",0,IF(F1027="Edited",IF(G1027="",E1027,G1027),E1027))</f>
        <v/>
      </c>
    </row>
    <row r="1028">
      <c r="A1028" s="41" t="n">
        <v>50010</v>
      </c>
      <c r="B1028" s="32">
        <f>DATE(YEAR(A1028),MONTH(A1028),1)</f>
        <v/>
      </c>
      <c r="C1028" t="inlineStr">
        <is>
          <t>Physical Gold</t>
        </is>
      </c>
      <c r="D1028" t="inlineStr">
        <is>
          <t>PAC</t>
        </is>
      </c>
      <c r="E1028" s="44">
        <f>IFERROR(VLOOKUP(C1028,Assets!$A:$F,6,FALSE),0)</f>
        <v/>
      </c>
      <c r="F1028" t="inlineStr">
        <is>
          <t>Auto</t>
        </is>
      </c>
      <c r="G1028" s="44" t="n"/>
      <c r="H1028" s="44">
        <f>IF(F1028="No",0,IF(F1028="Edited",IF(G1028="",E1028,G1028),E1028))</f>
        <v/>
      </c>
    </row>
    <row r="1029">
      <c r="A1029" s="41" t="n">
        <v>50010</v>
      </c>
      <c r="B1029" s="32">
        <f>DATE(YEAR(A1029),MONTH(A1029),1)</f>
        <v/>
      </c>
      <c r="C1029" t="inlineStr">
        <is>
          <t>Global Gov Bond</t>
        </is>
      </c>
      <c r="D1029" t="inlineStr">
        <is>
          <t>PAC</t>
        </is>
      </c>
      <c r="E1029" s="44">
        <f>IFERROR(VLOOKUP(C1029,Assets!$A:$F,6,FALSE),0)</f>
        <v/>
      </c>
      <c r="F1029" t="inlineStr">
        <is>
          <t>Auto</t>
        </is>
      </c>
      <c r="G1029" s="44" t="n"/>
      <c r="H1029" s="44">
        <f>IF(F1029="No",0,IF(F1029="Edited",IF(G1029="",E1029,G1029),E1029))</f>
        <v/>
      </c>
    </row>
    <row r="1030">
      <c r="A1030" s="41" t="n">
        <v>50010</v>
      </c>
      <c r="B1030" s="32">
        <f>DATE(YEAR(A1030),MONTH(A1030),1)</f>
        <v/>
      </c>
      <c r="C1030" t="inlineStr">
        <is>
          <t>Core EUR Corp Bond</t>
        </is>
      </c>
      <c r="D1030" t="inlineStr">
        <is>
          <t>PAC</t>
        </is>
      </c>
      <c r="E1030" s="44">
        <f>IFERROR(VLOOKUP(C1030,Assets!$A:$F,6,FALSE),0)</f>
        <v/>
      </c>
      <c r="F1030" t="inlineStr">
        <is>
          <t>Auto</t>
        </is>
      </c>
      <c r="G1030" s="44" t="n"/>
      <c r="H1030" s="44">
        <f>IF(F1030="No",0,IF(F1030="Edited",IF(G1030="",E1030,G1030),E1030))</f>
        <v/>
      </c>
    </row>
    <row r="1031">
      <c r="A1031" s="41" t="n">
        <v>50010</v>
      </c>
      <c r="B1031" s="32">
        <f>DATE(YEAR(A1031),MONTH(A1031),1)</f>
        <v/>
      </c>
      <c r="C1031" t="inlineStr">
        <is>
          <t>MSCI World Value</t>
        </is>
      </c>
      <c r="D1031" t="inlineStr">
        <is>
          <t>PAC</t>
        </is>
      </c>
      <c r="E1031" s="44">
        <f>IFERROR(VLOOKUP(C1031,Assets!$A:$F,6,FALSE),0)</f>
        <v/>
      </c>
      <c r="F1031" t="inlineStr">
        <is>
          <t>Auto</t>
        </is>
      </c>
      <c r="G1031" s="44" t="n"/>
      <c r="H1031" s="44">
        <f>IF(F1031="No",0,IF(F1031="Edited",IF(G1031="",E1031,G1031),E1031))</f>
        <v/>
      </c>
    </row>
    <row r="1032">
      <c r="A1032" s="41" t="n">
        <v>50010</v>
      </c>
      <c r="B1032" s="32">
        <f>DATE(YEAR(A1032),MONTH(A1032),1)</f>
        <v/>
      </c>
      <c r="C1032" t="inlineStr">
        <is>
          <t>MSCI EM</t>
        </is>
      </c>
      <c r="D1032" t="inlineStr">
        <is>
          <t>PAC</t>
        </is>
      </c>
      <c r="E1032" s="44">
        <f>IFERROR(VLOOKUP(C1032,Assets!$A:$F,6,FALSE),0)</f>
        <v/>
      </c>
      <c r="F1032" t="inlineStr">
        <is>
          <t>Auto</t>
        </is>
      </c>
      <c r="G1032" s="44" t="n"/>
      <c r="H1032" s="44">
        <f>IF(F1032="No",0,IF(F1032="Edited",IF(G1032="",E1032,G1032),E1032))</f>
        <v/>
      </c>
    </row>
    <row r="1033">
      <c r="A1033" s="41" t="n">
        <v>50010</v>
      </c>
      <c r="B1033" s="32">
        <f>DATE(YEAR(A1033),MONTH(A1033),1)</f>
        <v/>
      </c>
      <c r="C1033" t="inlineStr">
        <is>
          <t>Defence Tech</t>
        </is>
      </c>
      <c r="D1033" t="inlineStr">
        <is>
          <t>PAC</t>
        </is>
      </c>
      <c r="E1033" s="44">
        <f>IFERROR(VLOOKUP(C1033,Assets!$A:$F,6,FALSE),0)</f>
        <v/>
      </c>
      <c r="F1033" t="inlineStr">
        <is>
          <t>Auto</t>
        </is>
      </c>
      <c r="G1033" s="44" t="n"/>
      <c r="H1033" s="44">
        <f>IF(F1033="No",0,IF(F1033="Edited",IF(G1033="",E1033,G1033),E1033))</f>
        <v/>
      </c>
    </row>
    <row r="1034">
      <c r="A1034" s="41" t="n">
        <v>50041</v>
      </c>
      <c r="B1034" s="32">
        <f>DATE(YEAR(A1034),MONTH(A1034),1)</f>
        <v/>
      </c>
      <c r="C1034" t="inlineStr">
        <is>
          <t>Core MSCI World</t>
        </is>
      </c>
      <c r="D1034" t="inlineStr">
        <is>
          <t>PAC</t>
        </is>
      </c>
      <c r="E1034" s="44">
        <f>IFERROR(VLOOKUP(C1034,Assets!$A:$F,6,FALSE),0)</f>
        <v/>
      </c>
      <c r="F1034" t="inlineStr">
        <is>
          <t>Auto</t>
        </is>
      </c>
      <c r="G1034" s="44" t="n"/>
      <c r="H1034" s="44">
        <f>IF(F1034="No",0,IF(F1034="Edited",IF(G1034="",E1034,G1034),E1034))</f>
        <v/>
      </c>
    </row>
    <row r="1035">
      <c r="A1035" s="41" t="n">
        <v>50041</v>
      </c>
      <c r="B1035" s="32">
        <f>DATE(YEAR(A1035),MONTH(A1035),1)</f>
        <v/>
      </c>
      <c r="C1035" t="inlineStr">
        <is>
          <t>AI &amp; Big Data</t>
        </is>
      </c>
      <c r="D1035" t="inlineStr">
        <is>
          <t>PAC</t>
        </is>
      </c>
      <c r="E1035" s="44">
        <f>IFERROR(VLOOKUP(C1035,Assets!$A:$F,6,FALSE),0)</f>
        <v/>
      </c>
      <c r="F1035" t="inlineStr">
        <is>
          <t>Auto</t>
        </is>
      </c>
      <c r="G1035" s="44" t="n"/>
      <c r="H1035" s="44">
        <f>IF(F1035="No",0,IF(F1035="Edited",IF(G1035="",E1035,G1035),E1035))</f>
        <v/>
      </c>
    </row>
    <row r="1036">
      <c r="A1036" s="41" t="n">
        <v>50041</v>
      </c>
      <c r="B1036" s="32">
        <f>DATE(YEAR(A1036),MONTH(A1036),1)</f>
        <v/>
      </c>
      <c r="C1036" t="inlineStr">
        <is>
          <t>Physical Gold</t>
        </is>
      </c>
      <c r="D1036" t="inlineStr">
        <is>
          <t>PAC</t>
        </is>
      </c>
      <c r="E1036" s="44">
        <f>IFERROR(VLOOKUP(C1036,Assets!$A:$F,6,FALSE),0)</f>
        <v/>
      </c>
      <c r="F1036" t="inlineStr">
        <is>
          <t>Auto</t>
        </is>
      </c>
      <c r="G1036" s="44" t="n"/>
      <c r="H1036" s="44">
        <f>IF(F1036="No",0,IF(F1036="Edited",IF(G1036="",E1036,G1036),E1036))</f>
        <v/>
      </c>
    </row>
    <row r="1037">
      <c r="A1037" s="41" t="n">
        <v>50041</v>
      </c>
      <c r="B1037" s="32">
        <f>DATE(YEAR(A1037),MONTH(A1037),1)</f>
        <v/>
      </c>
      <c r="C1037" t="inlineStr">
        <is>
          <t>Global Gov Bond</t>
        </is>
      </c>
      <c r="D1037" t="inlineStr">
        <is>
          <t>PAC</t>
        </is>
      </c>
      <c r="E1037" s="44">
        <f>IFERROR(VLOOKUP(C1037,Assets!$A:$F,6,FALSE),0)</f>
        <v/>
      </c>
      <c r="F1037" t="inlineStr">
        <is>
          <t>Auto</t>
        </is>
      </c>
      <c r="G1037" s="44" t="n"/>
      <c r="H1037" s="44">
        <f>IF(F1037="No",0,IF(F1037="Edited",IF(G1037="",E1037,G1037),E1037))</f>
        <v/>
      </c>
    </row>
    <row r="1038">
      <c r="A1038" s="41" t="n">
        <v>50041</v>
      </c>
      <c r="B1038" s="32">
        <f>DATE(YEAR(A1038),MONTH(A1038),1)</f>
        <v/>
      </c>
      <c r="C1038" t="inlineStr">
        <is>
          <t>Core EUR Corp Bond</t>
        </is>
      </c>
      <c r="D1038" t="inlineStr">
        <is>
          <t>PAC</t>
        </is>
      </c>
      <c r="E1038" s="44">
        <f>IFERROR(VLOOKUP(C1038,Assets!$A:$F,6,FALSE),0)</f>
        <v/>
      </c>
      <c r="F1038" t="inlineStr">
        <is>
          <t>Auto</t>
        </is>
      </c>
      <c r="G1038" s="44" t="n"/>
      <c r="H1038" s="44">
        <f>IF(F1038="No",0,IF(F1038="Edited",IF(G1038="",E1038,G1038),E1038))</f>
        <v/>
      </c>
    </row>
    <row r="1039">
      <c r="A1039" s="41" t="n">
        <v>50041</v>
      </c>
      <c r="B1039" s="32">
        <f>DATE(YEAR(A1039),MONTH(A1039),1)</f>
        <v/>
      </c>
      <c r="C1039" t="inlineStr">
        <is>
          <t>MSCI World Value</t>
        </is>
      </c>
      <c r="D1039" t="inlineStr">
        <is>
          <t>PAC</t>
        </is>
      </c>
      <c r="E1039" s="44">
        <f>IFERROR(VLOOKUP(C1039,Assets!$A:$F,6,FALSE),0)</f>
        <v/>
      </c>
      <c r="F1039" t="inlineStr">
        <is>
          <t>Auto</t>
        </is>
      </c>
      <c r="G1039" s="44" t="n"/>
      <c r="H1039" s="44">
        <f>IF(F1039="No",0,IF(F1039="Edited",IF(G1039="",E1039,G1039),E1039))</f>
        <v/>
      </c>
    </row>
    <row r="1040">
      <c r="A1040" s="41" t="n">
        <v>50041</v>
      </c>
      <c r="B1040" s="32">
        <f>DATE(YEAR(A1040),MONTH(A1040),1)</f>
        <v/>
      </c>
      <c r="C1040" t="inlineStr">
        <is>
          <t>MSCI EM</t>
        </is>
      </c>
      <c r="D1040" t="inlineStr">
        <is>
          <t>PAC</t>
        </is>
      </c>
      <c r="E1040" s="44">
        <f>IFERROR(VLOOKUP(C1040,Assets!$A:$F,6,FALSE),0)</f>
        <v/>
      </c>
      <c r="F1040" t="inlineStr">
        <is>
          <t>Auto</t>
        </is>
      </c>
      <c r="G1040" s="44" t="n"/>
      <c r="H1040" s="44">
        <f>IF(F1040="No",0,IF(F1040="Edited",IF(G1040="",E1040,G1040),E1040))</f>
        <v/>
      </c>
    </row>
    <row r="1041">
      <c r="A1041" s="41" t="n">
        <v>50041</v>
      </c>
      <c r="B1041" s="32">
        <f>DATE(YEAR(A1041),MONTH(A1041),1)</f>
        <v/>
      </c>
      <c r="C1041" t="inlineStr">
        <is>
          <t>Defence Tech</t>
        </is>
      </c>
      <c r="D1041" t="inlineStr">
        <is>
          <t>PAC</t>
        </is>
      </c>
      <c r="E1041" s="44">
        <f>IFERROR(VLOOKUP(C1041,Assets!$A:$F,6,FALSE),0)</f>
        <v/>
      </c>
      <c r="F1041" t="inlineStr">
        <is>
          <t>Auto</t>
        </is>
      </c>
      <c r="G1041" s="44" t="n"/>
      <c r="H1041" s="44">
        <f>IF(F1041="No",0,IF(F1041="Edited",IF(G1041="",E1041,G1041),E1041))</f>
        <v/>
      </c>
    </row>
    <row r="1042">
      <c r="A1042" s="41" t="n">
        <v>50072</v>
      </c>
      <c r="B1042" s="32">
        <f>DATE(YEAR(A1042),MONTH(A1042),1)</f>
        <v/>
      </c>
      <c r="C1042" t="inlineStr">
        <is>
          <t>Core MSCI World</t>
        </is>
      </c>
      <c r="D1042" t="inlineStr">
        <is>
          <t>PAC</t>
        </is>
      </c>
      <c r="E1042" s="44">
        <f>IFERROR(VLOOKUP(C1042,Assets!$A:$F,6,FALSE),0)</f>
        <v/>
      </c>
      <c r="F1042" t="inlineStr">
        <is>
          <t>Auto</t>
        </is>
      </c>
      <c r="G1042" s="44" t="n"/>
      <c r="H1042" s="44">
        <f>IF(F1042="No",0,IF(F1042="Edited",IF(G1042="",E1042,G1042),E1042))</f>
        <v/>
      </c>
    </row>
    <row r="1043">
      <c r="A1043" s="41" t="n">
        <v>50072</v>
      </c>
      <c r="B1043" s="32">
        <f>DATE(YEAR(A1043),MONTH(A1043),1)</f>
        <v/>
      </c>
      <c r="C1043" t="inlineStr">
        <is>
          <t>AI &amp; Big Data</t>
        </is>
      </c>
      <c r="D1043" t="inlineStr">
        <is>
          <t>PAC</t>
        </is>
      </c>
      <c r="E1043" s="44">
        <f>IFERROR(VLOOKUP(C1043,Assets!$A:$F,6,FALSE),0)</f>
        <v/>
      </c>
      <c r="F1043" t="inlineStr">
        <is>
          <t>Auto</t>
        </is>
      </c>
      <c r="G1043" s="44" t="n"/>
      <c r="H1043" s="44">
        <f>IF(F1043="No",0,IF(F1043="Edited",IF(G1043="",E1043,G1043),E1043))</f>
        <v/>
      </c>
    </row>
    <row r="1044">
      <c r="A1044" s="41" t="n">
        <v>50072</v>
      </c>
      <c r="B1044" s="32">
        <f>DATE(YEAR(A1044),MONTH(A1044),1)</f>
        <v/>
      </c>
      <c r="C1044" t="inlineStr">
        <is>
          <t>Physical Gold</t>
        </is>
      </c>
      <c r="D1044" t="inlineStr">
        <is>
          <t>PAC</t>
        </is>
      </c>
      <c r="E1044" s="44">
        <f>IFERROR(VLOOKUP(C1044,Assets!$A:$F,6,FALSE),0)</f>
        <v/>
      </c>
      <c r="F1044" t="inlineStr">
        <is>
          <t>Auto</t>
        </is>
      </c>
      <c r="G1044" s="44" t="n"/>
      <c r="H1044" s="44">
        <f>IF(F1044="No",0,IF(F1044="Edited",IF(G1044="",E1044,G1044),E1044))</f>
        <v/>
      </c>
    </row>
    <row r="1045">
      <c r="A1045" s="41" t="n">
        <v>50072</v>
      </c>
      <c r="B1045" s="32">
        <f>DATE(YEAR(A1045),MONTH(A1045),1)</f>
        <v/>
      </c>
      <c r="C1045" t="inlineStr">
        <is>
          <t>Global Gov Bond</t>
        </is>
      </c>
      <c r="D1045" t="inlineStr">
        <is>
          <t>PAC</t>
        </is>
      </c>
      <c r="E1045" s="44">
        <f>IFERROR(VLOOKUP(C1045,Assets!$A:$F,6,FALSE),0)</f>
        <v/>
      </c>
      <c r="F1045" t="inlineStr">
        <is>
          <t>Auto</t>
        </is>
      </c>
      <c r="G1045" s="44" t="n"/>
      <c r="H1045" s="44">
        <f>IF(F1045="No",0,IF(F1045="Edited",IF(G1045="",E1045,G1045),E1045))</f>
        <v/>
      </c>
    </row>
    <row r="1046">
      <c r="A1046" s="41" t="n">
        <v>50072</v>
      </c>
      <c r="B1046" s="32">
        <f>DATE(YEAR(A1046),MONTH(A1046),1)</f>
        <v/>
      </c>
      <c r="C1046" t="inlineStr">
        <is>
          <t>Core EUR Corp Bond</t>
        </is>
      </c>
      <c r="D1046" t="inlineStr">
        <is>
          <t>PAC</t>
        </is>
      </c>
      <c r="E1046" s="44">
        <f>IFERROR(VLOOKUP(C1046,Assets!$A:$F,6,FALSE),0)</f>
        <v/>
      </c>
      <c r="F1046" t="inlineStr">
        <is>
          <t>Auto</t>
        </is>
      </c>
      <c r="G1046" s="44" t="n"/>
      <c r="H1046" s="44">
        <f>IF(F1046="No",0,IF(F1046="Edited",IF(G1046="",E1046,G1046),E1046))</f>
        <v/>
      </c>
    </row>
    <row r="1047">
      <c r="A1047" s="41" t="n">
        <v>50072</v>
      </c>
      <c r="B1047" s="32">
        <f>DATE(YEAR(A1047),MONTH(A1047),1)</f>
        <v/>
      </c>
      <c r="C1047" t="inlineStr">
        <is>
          <t>MSCI World Value</t>
        </is>
      </c>
      <c r="D1047" t="inlineStr">
        <is>
          <t>PAC</t>
        </is>
      </c>
      <c r="E1047" s="44">
        <f>IFERROR(VLOOKUP(C1047,Assets!$A:$F,6,FALSE),0)</f>
        <v/>
      </c>
      <c r="F1047" t="inlineStr">
        <is>
          <t>Auto</t>
        </is>
      </c>
      <c r="G1047" s="44" t="n"/>
      <c r="H1047" s="44">
        <f>IF(F1047="No",0,IF(F1047="Edited",IF(G1047="",E1047,G1047),E1047))</f>
        <v/>
      </c>
    </row>
    <row r="1048">
      <c r="A1048" s="41" t="n">
        <v>50072</v>
      </c>
      <c r="B1048" s="32">
        <f>DATE(YEAR(A1048),MONTH(A1048),1)</f>
        <v/>
      </c>
      <c r="C1048" t="inlineStr">
        <is>
          <t>MSCI EM</t>
        </is>
      </c>
      <c r="D1048" t="inlineStr">
        <is>
          <t>PAC</t>
        </is>
      </c>
      <c r="E1048" s="44">
        <f>IFERROR(VLOOKUP(C1048,Assets!$A:$F,6,FALSE),0)</f>
        <v/>
      </c>
      <c r="F1048" t="inlineStr">
        <is>
          <t>Auto</t>
        </is>
      </c>
      <c r="G1048" s="44" t="n"/>
      <c r="H1048" s="44">
        <f>IF(F1048="No",0,IF(F1048="Edited",IF(G1048="",E1048,G1048),E1048))</f>
        <v/>
      </c>
    </row>
    <row r="1049">
      <c r="A1049" s="41" t="n">
        <v>50072</v>
      </c>
      <c r="B1049" s="32">
        <f>DATE(YEAR(A1049),MONTH(A1049),1)</f>
        <v/>
      </c>
      <c r="C1049" t="inlineStr">
        <is>
          <t>Defence Tech</t>
        </is>
      </c>
      <c r="D1049" t="inlineStr">
        <is>
          <t>PAC</t>
        </is>
      </c>
      <c r="E1049" s="44">
        <f>IFERROR(VLOOKUP(C1049,Assets!$A:$F,6,FALSE),0)</f>
        <v/>
      </c>
      <c r="F1049" t="inlineStr">
        <is>
          <t>Auto</t>
        </is>
      </c>
      <c r="G1049" s="44" t="n"/>
      <c r="H1049" s="44">
        <f>IF(F1049="No",0,IF(F1049="Edited",IF(G1049="",E1049,G1049),E1049))</f>
        <v/>
      </c>
    </row>
    <row r="1050">
      <c r="A1050" s="41" t="n">
        <v>50100</v>
      </c>
      <c r="B1050" s="32">
        <f>DATE(YEAR(A1050),MONTH(A1050),1)</f>
        <v/>
      </c>
      <c r="C1050" t="inlineStr">
        <is>
          <t>Core MSCI World</t>
        </is>
      </c>
      <c r="D1050" t="inlineStr">
        <is>
          <t>PAC</t>
        </is>
      </c>
      <c r="E1050" s="44">
        <f>IFERROR(VLOOKUP(C1050,Assets!$A:$F,6,FALSE),0)</f>
        <v/>
      </c>
      <c r="F1050" t="inlineStr">
        <is>
          <t>Auto</t>
        </is>
      </c>
      <c r="G1050" s="44" t="n"/>
      <c r="H1050" s="44">
        <f>IF(F1050="No",0,IF(F1050="Edited",IF(G1050="",E1050,G1050),E1050))</f>
        <v/>
      </c>
    </row>
    <row r="1051">
      <c r="A1051" s="41" t="n">
        <v>50100</v>
      </c>
      <c r="B1051" s="32">
        <f>DATE(YEAR(A1051),MONTH(A1051),1)</f>
        <v/>
      </c>
      <c r="C1051" t="inlineStr">
        <is>
          <t>AI &amp; Big Data</t>
        </is>
      </c>
      <c r="D1051" t="inlineStr">
        <is>
          <t>PAC</t>
        </is>
      </c>
      <c r="E1051" s="44">
        <f>IFERROR(VLOOKUP(C1051,Assets!$A:$F,6,FALSE),0)</f>
        <v/>
      </c>
      <c r="F1051" t="inlineStr">
        <is>
          <t>Auto</t>
        </is>
      </c>
      <c r="G1051" s="44" t="n"/>
      <c r="H1051" s="44">
        <f>IF(F1051="No",0,IF(F1051="Edited",IF(G1051="",E1051,G1051),E1051))</f>
        <v/>
      </c>
    </row>
    <row r="1052">
      <c r="A1052" s="41" t="n">
        <v>50100</v>
      </c>
      <c r="B1052" s="32">
        <f>DATE(YEAR(A1052),MONTH(A1052),1)</f>
        <v/>
      </c>
      <c r="C1052" t="inlineStr">
        <is>
          <t>Physical Gold</t>
        </is>
      </c>
      <c r="D1052" t="inlineStr">
        <is>
          <t>PAC</t>
        </is>
      </c>
      <c r="E1052" s="44">
        <f>IFERROR(VLOOKUP(C1052,Assets!$A:$F,6,FALSE),0)</f>
        <v/>
      </c>
      <c r="F1052" t="inlineStr">
        <is>
          <t>Auto</t>
        </is>
      </c>
      <c r="G1052" s="44" t="n"/>
      <c r="H1052" s="44">
        <f>IF(F1052="No",0,IF(F1052="Edited",IF(G1052="",E1052,G1052),E1052))</f>
        <v/>
      </c>
    </row>
    <row r="1053">
      <c r="A1053" s="41" t="n">
        <v>50100</v>
      </c>
      <c r="B1053" s="32">
        <f>DATE(YEAR(A1053),MONTH(A1053),1)</f>
        <v/>
      </c>
      <c r="C1053" t="inlineStr">
        <is>
          <t>Global Gov Bond</t>
        </is>
      </c>
      <c r="D1053" t="inlineStr">
        <is>
          <t>PAC</t>
        </is>
      </c>
      <c r="E1053" s="44">
        <f>IFERROR(VLOOKUP(C1053,Assets!$A:$F,6,FALSE),0)</f>
        <v/>
      </c>
      <c r="F1053" t="inlineStr">
        <is>
          <t>Auto</t>
        </is>
      </c>
      <c r="G1053" s="44" t="n"/>
      <c r="H1053" s="44">
        <f>IF(F1053="No",0,IF(F1053="Edited",IF(G1053="",E1053,G1053),E1053))</f>
        <v/>
      </c>
    </row>
    <row r="1054">
      <c r="A1054" s="41" t="n">
        <v>50100</v>
      </c>
      <c r="B1054" s="32">
        <f>DATE(YEAR(A1054),MONTH(A1054),1)</f>
        <v/>
      </c>
      <c r="C1054" t="inlineStr">
        <is>
          <t>Core EUR Corp Bond</t>
        </is>
      </c>
      <c r="D1054" t="inlineStr">
        <is>
          <t>PAC</t>
        </is>
      </c>
      <c r="E1054" s="44">
        <f>IFERROR(VLOOKUP(C1054,Assets!$A:$F,6,FALSE),0)</f>
        <v/>
      </c>
      <c r="F1054" t="inlineStr">
        <is>
          <t>Auto</t>
        </is>
      </c>
      <c r="G1054" s="44" t="n"/>
      <c r="H1054" s="44">
        <f>IF(F1054="No",0,IF(F1054="Edited",IF(G1054="",E1054,G1054),E1054))</f>
        <v/>
      </c>
    </row>
    <row r="1055">
      <c r="A1055" s="41" t="n">
        <v>50100</v>
      </c>
      <c r="B1055" s="32">
        <f>DATE(YEAR(A1055),MONTH(A1055),1)</f>
        <v/>
      </c>
      <c r="C1055" t="inlineStr">
        <is>
          <t>MSCI World Value</t>
        </is>
      </c>
      <c r="D1055" t="inlineStr">
        <is>
          <t>PAC</t>
        </is>
      </c>
      <c r="E1055" s="44">
        <f>IFERROR(VLOOKUP(C1055,Assets!$A:$F,6,FALSE),0)</f>
        <v/>
      </c>
      <c r="F1055" t="inlineStr">
        <is>
          <t>Auto</t>
        </is>
      </c>
      <c r="G1055" s="44" t="n"/>
      <c r="H1055" s="44">
        <f>IF(F1055="No",0,IF(F1055="Edited",IF(G1055="",E1055,G1055),E1055))</f>
        <v/>
      </c>
    </row>
    <row r="1056">
      <c r="A1056" s="41" t="n">
        <v>50100</v>
      </c>
      <c r="B1056" s="32">
        <f>DATE(YEAR(A1056),MONTH(A1056),1)</f>
        <v/>
      </c>
      <c r="C1056" t="inlineStr">
        <is>
          <t>MSCI EM</t>
        </is>
      </c>
      <c r="D1056" t="inlineStr">
        <is>
          <t>PAC</t>
        </is>
      </c>
      <c r="E1056" s="44">
        <f>IFERROR(VLOOKUP(C1056,Assets!$A:$F,6,FALSE),0)</f>
        <v/>
      </c>
      <c r="F1056" t="inlineStr">
        <is>
          <t>Auto</t>
        </is>
      </c>
      <c r="G1056" s="44" t="n"/>
      <c r="H1056" s="44">
        <f>IF(F1056="No",0,IF(F1056="Edited",IF(G1056="",E1056,G1056),E1056))</f>
        <v/>
      </c>
    </row>
    <row r="1057">
      <c r="A1057" s="41" t="n">
        <v>50100</v>
      </c>
      <c r="B1057" s="32">
        <f>DATE(YEAR(A1057),MONTH(A1057),1)</f>
        <v/>
      </c>
      <c r="C1057" t="inlineStr">
        <is>
          <t>Defence Tech</t>
        </is>
      </c>
      <c r="D1057" t="inlineStr">
        <is>
          <t>PAC</t>
        </is>
      </c>
      <c r="E1057" s="44">
        <f>IFERROR(VLOOKUP(C1057,Assets!$A:$F,6,FALSE),0)</f>
        <v/>
      </c>
      <c r="F1057" t="inlineStr">
        <is>
          <t>Auto</t>
        </is>
      </c>
      <c r="G1057" s="44" t="n"/>
      <c r="H1057" s="44">
        <f>IF(F1057="No",0,IF(F1057="Edited",IF(G1057="",E1057,G1057),E1057))</f>
        <v/>
      </c>
    </row>
    <row r="1058">
      <c r="A1058" s="41" t="n">
        <v>50131</v>
      </c>
      <c r="B1058" s="32">
        <f>DATE(YEAR(A1058),MONTH(A1058),1)</f>
        <v/>
      </c>
      <c r="C1058" t="inlineStr">
        <is>
          <t>Core MSCI World</t>
        </is>
      </c>
      <c r="D1058" t="inlineStr">
        <is>
          <t>PAC</t>
        </is>
      </c>
      <c r="E1058" s="44">
        <f>IFERROR(VLOOKUP(C1058,Assets!$A:$F,6,FALSE),0)</f>
        <v/>
      </c>
      <c r="F1058" t="inlineStr">
        <is>
          <t>Auto</t>
        </is>
      </c>
      <c r="G1058" s="44" t="n"/>
      <c r="H1058" s="44">
        <f>IF(F1058="No",0,IF(F1058="Edited",IF(G1058="",E1058,G1058),E1058))</f>
        <v/>
      </c>
    </row>
    <row r="1059">
      <c r="A1059" s="41" t="n">
        <v>50131</v>
      </c>
      <c r="B1059" s="32">
        <f>DATE(YEAR(A1059),MONTH(A1059),1)</f>
        <v/>
      </c>
      <c r="C1059" t="inlineStr">
        <is>
          <t>AI &amp; Big Data</t>
        </is>
      </c>
      <c r="D1059" t="inlineStr">
        <is>
          <t>PAC</t>
        </is>
      </c>
      <c r="E1059" s="44">
        <f>IFERROR(VLOOKUP(C1059,Assets!$A:$F,6,FALSE),0)</f>
        <v/>
      </c>
      <c r="F1059" t="inlineStr">
        <is>
          <t>Auto</t>
        </is>
      </c>
      <c r="G1059" s="44" t="n"/>
      <c r="H1059" s="44">
        <f>IF(F1059="No",0,IF(F1059="Edited",IF(G1059="",E1059,G1059),E1059))</f>
        <v/>
      </c>
    </row>
    <row r="1060">
      <c r="A1060" s="41" t="n">
        <v>50131</v>
      </c>
      <c r="B1060" s="32">
        <f>DATE(YEAR(A1060),MONTH(A1060),1)</f>
        <v/>
      </c>
      <c r="C1060" t="inlineStr">
        <is>
          <t>Physical Gold</t>
        </is>
      </c>
      <c r="D1060" t="inlineStr">
        <is>
          <t>PAC</t>
        </is>
      </c>
      <c r="E1060" s="44">
        <f>IFERROR(VLOOKUP(C1060,Assets!$A:$F,6,FALSE),0)</f>
        <v/>
      </c>
      <c r="F1060" t="inlineStr">
        <is>
          <t>Auto</t>
        </is>
      </c>
      <c r="G1060" s="44" t="n"/>
      <c r="H1060" s="44">
        <f>IF(F1060="No",0,IF(F1060="Edited",IF(G1060="",E1060,G1060),E1060))</f>
        <v/>
      </c>
    </row>
    <row r="1061">
      <c r="A1061" s="41" t="n">
        <v>50131</v>
      </c>
      <c r="B1061" s="32">
        <f>DATE(YEAR(A1061),MONTH(A1061),1)</f>
        <v/>
      </c>
      <c r="C1061" t="inlineStr">
        <is>
          <t>Global Gov Bond</t>
        </is>
      </c>
      <c r="D1061" t="inlineStr">
        <is>
          <t>PAC</t>
        </is>
      </c>
      <c r="E1061" s="44">
        <f>IFERROR(VLOOKUP(C1061,Assets!$A:$F,6,FALSE),0)</f>
        <v/>
      </c>
      <c r="F1061" t="inlineStr">
        <is>
          <t>Auto</t>
        </is>
      </c>
      <c r="G1061" s="44" t="n"/>
      <c r="H1061" s="44">
        <f>IF(F1061="No",0,IF(F1061="Edited",IF(G1061="",E1061,G1061),E1061))</f>
        <v/>
      </c>
    </row>
    <row r="1062">
      <c r="A1062" s="41" t="n">
        <v>50131</v>
      </c>
      <c r="B1062" s="32">
        <f>DATE(YEAR(A1062),MONTH(A1062),1)</f>
        <v/>
      </c>
      <c r="C1062" t="inlineStr">
        <is>
          <t>Core EUR Corp Bond</t>
        </is>
      </c>
      <c r="D1062" t="inlineStr">
        <is>
          <t>PAC</t>
        </is>
      </c>
      <c r="E1062" s="44">
        <f>IFERROR(VLOOKUP(C1062,Assets!$A:$F,6,FALSE),0)</f>
        <v/>
      </c>
      <c r="F1062" t="inlineStr">
        <is>
          <t>Auto</t>
        </is>
      </c>
      <c r="G1062" s="44" t="n"/>
      <c r="H1062" s="44">
        <f>IF(F1062="No",0,IF(F1062="Edited",IF(G1062="",E1062,G1062),E1062))</f>
        <v/>
      </c>
    </row>
    <row r="1063">
      <c r="A1063" s="41" t="n">
        <v>50131</v>
      </c>
      <c r="B1063" s="32">
        <f>DATE(YEAR(A1063),MONTH(A1063),1)</f>
        <v/>
      </c>
      <c r="C1063" t="inlineStr">
        <is>
          <t>MSCI World Value</t>
        </is>
      </c>
      <c r="D1063" t="inlineStr">
        <is>
          <t>PAC</t>
        </is>
      </c>
      <c r="E1063" s="44">
        <f>IFERROR(VLOOKUP(C1063,Assets!$A:$F,6,FALSE),0)</f>
        <v/>
      </c>
      <c r="F1063" t="inlineStr">
        <is>
          <t>Auto</t>
        </is>
      </c>
      <c r="G1063" s="44" t="n"/>
      <c r="H1063" s="44">
        <f>IF(F1063="No",0,IF(F1063="Edited",IF(G1063="",E1063,G1063),E1063))</f>
        <v/>
      </c>
    </row>
    <row r="1064">
      <c r="A1064" s="41" t="n">
        <v>50131</v>
      </c>
      <c r="B1064" s="32">
        <f>DATE(YEAR(A1064),MONTH(A1064),1)</f>
        <v/>
      </c>
      <c r="C1064" t="inlineStr">
        <is>
          <t>MSCI EM</t>
        </is>
      </c>
      <c r="D1064" t="inlineStr">
        <is>
          <t>PAC</t>
        </is>
      </c>
      <c r="E1064" s="44">
        <f>IFERROR(VLOOKUP(C1064,Assets!$A:$F,6,FALSE),0)</f>
        <v/>
      </c>
      <c r="F1064" t="inlineStr">
        <is>
          <t>Auto</t>
        </is>
      </c>
      <c r="G1064" s="44" t="n"/>
      <c r="H1064" s="44">
        <f>IF(F1064="No",0,IF(F1064="Edited",IF(G1064="",E1064,G1064),E1064))</f>
        <v/>
      </c>
    </row>
    <row r="1065">
      <c r="A1065" s="41" t="n">
        <v>50131</v>
      </c>
      <c r="B1065" s="32">
        <f>DATE(YEAR(A1065),MONTH(A1065),1)</f>
        <v/>
      </c>
      <c r="C1065" t="inlineStr">
        <is>
          <t>Defence Tech</t>
        </is>
      </c>
      <c r="D1065" t="inlineStr">
        <is>
          <t>PAC</t>
        </is>
      </c>
      <c r="E1065" s="44">
        <f>IFERROR(VLOOKUP(C1065,Assets!$A:$F,6,FALSE),0)</f>
        <v/>
      </c>
      <c r="F1065" t="inlineStr">
        <is>
          <t>Auto</t>
        </is>
      </c>
      <c r="G1065" s="44" t="n"/>
      <c r="H1065" s="44">
        <f>IF(F1065="No",0,IF(F1065="Edited",IF(G1065="",E1065,G1065),E1065))</f>
        <v/>
      </c>
    </row>
    <row r="1066">
      <c r="A1066" s="41" t="n">
        <v>50161</v>
      </c>
      <c r="B1066" s="32">
        <f>DATE(YEAR(A1066),MONTH(A1066),1)</f>
        <v/>
      </c>
      <c r="C1066" t="inlineStr">
        <is>
          <t>Core MSCI World</t>
        </is>
      </c>
      <c r="D1066" t="inlineStr">
        <is>
          <t>PAC</t>
        </is>
      </c>
      <c r="E1066" s="44">
        <f>IFERROR(VLOOKUP(C1066,Assets!$A:$F,6,FALSE),0)</f>
        <v/>
      </c>
      <c r="F1066" t="inlineStr">
        <is>
          <t>Auto</t>
        </is>
      </c>
      <c r="G1066" s="44" t="n"/>
      <c r="H1066" s="44">
        <f>IF(F1066="No",0,IF(F1066="Edited",IF(G1066="",E1066,G1066),E1066))</f>
        <v/>
      </c>
    </row>
    <row r="1067">
      <c r="A1067" s="41" t="n">
        <v>50161</v>
      </c>
      <c r="B1067" s="32">
        <f>DATE(YEAR(A1067),MONTH(A1067),1)</f>
        <v/>
      </c>
      <c r="C1067" t="inlineStr">
        <is>
          <t>AI &amp; Big Data</t>
        </is>
      </c>
      <c r="D1067" t="inlineStr">
        <is>
          <t>PAC</t>
        </is>
      </c>
      <c r="E1067" s="44">
        <f>IFERROR(VLOOKUP(C1067,Assets!$A:$F,6,FALSE),0)</f>
        <v/>
      </c>
      <c r="F1067" t="inlineStr">
        <is>
          <t>Auto</t>
        </is>
      </c>
      <c r="G1067" s="44" t="n"/>
      <c r="H1067" s="44">
        <f>IF(F1067="No",0,IF(F1067="Edited",IF(G1067="",E1067,G1067),E1067))</f>
        <v/>
      </c>
    </row>
    <row r="1068">
      <c r="A1068" s="41" t="n">
        <v>50161</v>
      </c>
      <c r="B1068" s="32">
        <f>DATE(YEAR(A1068),MONTH(A1068),1)</f>
        <v/>
      </c>
      <c r="C1068" t="inlineStr">
        <is>
          <t>Physical Gold</t>
        </is>
      </c>
      <c r="D1068" t="inlineStr">
        <is>
          <t>PAC</t>
        </is>
      </c>
      <c r="E1068" s="44">
        <f>IFERROR(VLOOKUP(C1068,Assets!$A:$F,6,FALSE),0)</f>
        <v/>
      </c>
      <c r="F1068" t="inlineStr">
        <is>
          <t>Auto</t>
        </is>
      </c>
      <c r="G1068" s="44" t="n"/>
      <c r="H1068" s="44">
        <f>IF(F1068="No",0,IF(F1068="Edited",IF(G1068="",E1068,G1068),E1068))</f>
        <v/>
      </c>
    </row>
    <row r="1069">
      <c r="A1069" s="41" t="n">
        <v>50161</v>
      </c>
      <c r="B1069" s="32">
        <f>DATE(YEAR(A1069),MONTH(A1069),1)</f>
        <v/>
      </c>
      <c r="C1069" t="inlineStr">
        <is>
          <t>Global Gov Bond</t>
        </is>
      </c>
      <c r="D1069" t="inlineStr">
        <is>
          <t>PAC</t>
        </is>
      </c>
      <c r="E1069" s="44">
        <f>IFERROR(VLOOKUP(C1069,Assets!$A:$F,6,FALSE),0)</f>
        <v/>
      </c>
      <c r="F1069" t="inlineStr">
        <is>
          <t>Auto</t>
        </is>
      </c>
      <c r="G1069" s="44" t="n"/>
      <c r="H1069" s="44">
        <f>IF(F1069="No",0,IF(F1069="Edited",IF(G1069="",E1069,G1069),E1069))</f>
        <v/>
      </c>
    </row>
    <row r="1070">
      <c r="A1070" s="41" t="n">
        <v>50161</v>
      </c>
      <c r="B1070" s="32">
        <f>DATE(YEAR(A1070),MONTH(A1070),1)</f>
        <v/>
      </c>
      <c r="C1070" t="inlineStr">
        <is>
          <t>Core EUR Corp Bond</t>
        </is>
      </c>
      <c r="D1070" t="inlineStr">
        <is>
          <t>PAC</t>
        </is>
      </c>
      <c r="E1070" s="44">
        <f>IFERROR(VLOOKUP(C1070,Assets!$A:$F,6,FALSE),0)</f>
        <v/>
      </c>
      <c r="F1070" t="inlineStr">
        <is>
          <t>Auto</t>
        </is>
      </c>
      <c r="G1070" s="44" t="n"/>
      <c r="H1070" s="44">
        <f>IF(F1070="No",0,IF(F1070="Edited",IF(G1070="",E1070,G1070),E1070))</f>
        <v/>
      </c>
    </row>
    <row r="1071">
      <c r="A1071" s="41" t="n">
        <v>50161</v>
      </c>
      <c r="B1071" s="32">
        <f>DATE(YEAR(A1071),MONTH(A1071),1)</f>
        <v/>
      </c>
      <c r="C1071" t="inlineStr">
        <is>
          <t>MSCI World Value</t>
        </is>
      </c>
      <c r="D1071" t="inlineStr">
        <is>
          <t>PAC</t>
        </is>
      </c>
      <c r="E1071" s="44">
        <f>IFERROR(VLOOKUP(C1071,Assets!$A:$F,6,FALSE),0)</f>
        <v/>
      </c>
      <c r="F1071" t="inlineStr">
        <is>
          <t>Auto</t>
        </is>
      </c>
      <c r="G1071" s="44" t="n"/>
      <c r="H1071" s="44">
        <f>IF(F1071="No",0,IF(F1071="Edited",IF(G1071="",E1071,G1071),E1071))</f>
        <v/>
      </c>
    </row>
    <row r="1072">
      <c r="A1072" s="41" t="n">
        <v>50161</v>
      </c>
      <c r="B1072" s="32">
        <f>DATE(YEAR(A1072),MONTH(A1072),1)</f>
        <v/>
      </c>
      <c r="C1072" t="inlineStr">
        <is>
          <t>MSCI EM</t>
        </is>
      </c>
      <c r="D1072" t="inlineStr">
        <is>
          <t>PAC</t>
        </is>
      </c>
      <c r="E1072" s="44">
        <f>IFERROR(VLOOKUP(C1072,Assets!$A:$F,6,FALSE),0)</f>
        <v/>
      </c>
      <c r="F1072" t="inlineStr">
        <is>
          <t>Auto</t>
        </is>
      </c>
      <c r="G1072" s="44" t="n"/>
      <c r="H1072" s="44">
        <f>IF(F1072="No",0,IF(F1072="Edited",IF(G1072="",E1072,G1072),E1072))</f>
        <v/>
      </c>
    </row>
    <row r="1073">
      <c r="A1073" s="41" t="n">
        <v>50161</v>
      </c>
      <c r="B1073" s="32">
        <f>DATE(YEAR(A1073),MONTH(A1073),1)</f>
        <v/>
      </c>
      <c r="C1073" t="inlineStr">
        <is>
          <t>Defence Tech</t>
        </is>
      </c>
      <c r="D1073" t="inlineStr">
        <is>
          <t>PAC</t>
        </is>
      </c>
      <c r="E1073" s="44">
        <f>IFERROR(VLOOKUP(C1073,Assets!$A:$F,6,FALSE),0)</f>
        <v/>
      </c>
      <c r="F1073" t="inlineStr">
        <is>
          <t>Auto</t>
        </is>
      </c>
      <c r="G1073" s="44" t="n"/>
      <c r="H1073" s="44">
        <f>IF(F1073="No",0,IF(F1073="Edited",IF(G1073="",E1073,G1073),E1073))</f>
        <v/>
      </c>
    </row>
    <row r="1074">
      <c r="A1074" s="41" t="n">
        <v>50192</v>
      </c>
      <c r="B1074" s="32">
        <f>DATE(YEAR(A1074),MONTH(A1074),1)</f>
        <v/>
      </c>
      <c r="C1074" t="inlineStr">
        <is>
          <t>Core MSCI World</t>
        </is>
      </c>
      <c r="D1074" t="inlineStr">
        <is>
          <t>PAC</t>
        </is>
      </c>
      <c r="E1074" s="44">
        <f>IFERROR(VLOOKUP(C1074,Assets!$A:$F,6,FALSE),0)</f>
        <v/>
      </c>
      <c r="F1074" t="inlineStr">
        <is>
          <t>Auto</t>
        </is>
      </c>
      <c r="G1074" s="44" t="n"/>
      <c r="H1074" s="44">
        <f>IF(F1074="No",0,IF(F1074="Edited",IF(G1074="",E1074,G1074),E1074))</f>
        <v/>
      </c>
    </row>
    <row r="1075">
      <c r="A1075" s="41" t="n">
        <v>50192</v>
      </c>
      <c r="B1075" s="32">
        <f>DATE(YEAR(A1075),MONTH(A1075),1)</f>
        <v/>
      </c>
      <c r="C1075" t="inlineStr">
        <is>
          <t>AI &amp; Big Data</t>
        </is>
      </c>
      <c r="D1075" t="inlineStr">
        <is>
          <t>PAC</t>
        </is>
      </c>
      <c r="E1075" s="44">
        <f>IFERROR(VLOOKUP(C1075,Assets!$A:$F,6,FALSE),0)</f>
        <v/>
      </c>
      <c r="F1075" t="inlineStr">
        <is>
          <t>Auto</t>
        </is>
      </c>
      <c r="G1075" s="44" t="n"/>
      <c r="H1075" s="44">
        <f>IF(F1075="No",0,IF(F1075="Edited",IF(G1075="",E1075,G1075),E1075))</f>
        <v/>
      </c>
    </row>
    <row r="1076">
      <c r="A1076" s="41" t="n">
        <v>50192</v>
      </c>
      <c r="B1076" s="32">
        <f>DATE(YEAR(A1076),MONTH(A1076),1)</f>
        <v/>
      </c>
      <c r="C1076" t="inlineStr">
        <is>
          <t>Physical Gold</t>
        </is>
      </c>
      <c r="D1076" t="inlineStr">
        <is>
          <t>PAC</t>
        </is>
      </c>
      <c r="E1076" s="44">
        <f>IFERROR(VLOOKUP(C1076,Assets!$A:$F,6,FALSE),0)</f>
        <v/>
      </c>
      <c r="F1076" t="inlineStr">
        <is>
          <t>Auto</t>
        </is>
      </c>
      <c r="G1076" s="44" t="n"/>
      <c r="H1076" s="44">
        <f>IF(F1076="No",0,IF(F1076="Edited",IF(G1076="",E1076,G1076),E1076))</f>
        <v/>
      </c>
    </row>
    <row r="1077">
      <c r="A1077" s="41" t="n">
        <v>50192</v>
      </c>
      <c r="B1077" s="32">
        <f>DATE(YEAR(A1077),MONTH(A1077),1)</f>
        <v/>
      </c>
      <c r="C1077" t="inlineStr">
        <is>
          <t>Global Gov Bond</t>
        </is>
      </c>
      <c r="D1077" t="inlineStr">
        <is>
          <t>PAC</t>
        </is>
      </c>
      <c r="E1077" s="44">
        <f>IFERROR(VLOOKUP(C1077,Assets!$A:$F,6,FALSE),0)</f>
        <v/>
      </c>
      <c r="F1077" t="inlineStr">
        <is>
          <t>Auto</t>
        </is>
      </c>
      <c r="G1077" s="44" t="n"/>
      <c r="H1077" s="44">
        <f>IF(F1077="No",0,IF(F1077="Edited",IF(G1077="",E1077,G1077),E1077))</f>
        <v/>
      </c>
    </row>
    <row r="1078">
      <c r="A1078" s="41" t="n">
        <v>50192</v>
      </c>
      <c r="B1078" s="32">
        <f>DATE(YEAR(A1078),MONTH(A1078),1)</f>
        <v/>
      </c>
      <c r="C1078" t="inlineStr">
        <is>
          <t>Core EUR Corp Bond</t>
        </is>
      </c>
      <c r="D1078" t="inlineStr">
        <is>
          <t>PAC</t>
        </is>
      </c>
      <c r="E1078" s="44">
        <f>IFERROR(VLOOKUP(C1078,Assets!$A:$F,6,FALSE),0)</f>
        <v/>
      </c>
      <c r="F1078" t="inlineStr">
        <is>
          <t>Auto</t>
        </is>
      </c>
      <c r="G1078" s="44" t="n"/>
      <c r="H1078" s="44">
        <f>IF(F1078="No",0,IF(F1078="Edited",IF(G1078="",E1078,G1078),E1078))</f>
        <v/>
      </c>
    </row>
    <row r="1079">
      <c r="A1079" s="41" t="n">
        <v>50192</v>
      </c>
      <c r="B1079" s="32">
        <f>DATE(YEAR(A1079),MONTH(A1079),1)</f>
        <v/>
      </c>
      <c r="C1079" t="inlineStr">
        <is>
          <t>MSCI World Value</t>
        </is>
      </c>
      <c r="D1079" t="inlineStr">
        <is>
          <t>PAC</t>
        </is>
      </c>
      <c r="E1079" s="44">
        <f>IFERROR(VLOOKUP(C1079,Assets!$A:$F,6,FALSE),0)</f>
        <v/>
      </c>
      <c r="F1079" t="inlineStr">
        <is>
          <t>Auto</t>
        </is>
      </c>
      <c r="G1079" s="44" t="n"/>
      <c r="H1079" s="44">
        <f>IF(F1079="No",0,IF(F1079="Edited",IF(G1079="",E1079,G1079),E1079))</f>
        <v/>
      </c>
    </row>
    <row r="1080">
      <c r="A1080" s="41" t="n">
        <v>50192</v>
      </c>
      <c r="B1080" s="32">
        <f>DATE(YEAR(A1080),MONTH(A1080),1)</f>
        <v/>
      </c>
      <c r="C1080" t="inlineStr">
        <is>
          <t>MSCI EM</t>
        </is>
      </c>
      <c r="D1080" t="inlineStr">
        <is>
          <t>PAC</t>
        </is>
      </c>
      <c r="E1080" s="44">
        <f>IFERROR(VLOOKUP(C1080,Assets!$A:$F,6,FALSE),0)</f>
        <v/>
      </c>
      <c r="F1080" t="inlineStr">
        <is>
          <t>Auto</t>
        </is>
      </c>
      <c r="G1080" s="44" t="n"/>
      <c r="H1080" s="44">
        <f>IF(F1080="No",0,IF(F1080="Edited",IF(G1080="",E1080,G1080),E1080))</f>
        <v/>
      </c>
    </row>
    <row r="1081">
      <c r="A1081" s="41" t="n">
        <v>50192</v>
      </c>
      <c r="B1081" s="32">
        <f>DATE(YEAR(A1081),MONTH(A1081),1)</f>
        <v/>
      </c>
      <c r="C1081" t="inlineStr">
        <is>
          <t>Defence Tech</t>
        </is>
      </c>
      <c r="D1081" t="inlineStr">
        <is>
          <t>PAC</t>
        </is>
      </c>
      <c r="E1081" s="44">
        <f>IFERROR(VLOOKUP(C1081,Assets!$A:$F,6,FALSE),0)</f>
        <v/>
      </c>
      <c r="F1081" t="inlineStr">
        <is>
          <t>Auto</t>
        </is>
      </c>
      <c r="G1081" s="44" t="n"/>
      <c r="H1081" s="44">
        <f>IF(F1081="No",0,IF(F1081="Edited",IF(G1081="",E1081,G1081),E1081))</f>
        <v/>
      </c>
    </row>
    <row r="1082">
      <c r="A1082" s="41" t="n">
        <v>50222</v>
      </c>
      <c r="B1082" s="32">
        <f>DATE(YEAR(A1082),MONTH(A1082),1)</f>
        <v/>
      </c>
      <c r="C1082" t="inlineStr">
        <is>
          <t>Core MSCI World</t>
        </is>
      </c>
      <c r="D1082" t="inlineStr">
        <is>
          <t>PAC</t>
        </is>
      </c>
      <c r="E1082" s="44">
        <f>IFERROR(VLOOKUP(C1082,Assets!$A:$F,6,FALSE),0)</f>
        <v/>
      </c>
      <c r="F1082" t="inlineStr">
        <is>
          <t>Auto</t>
        </is>
      </c>
      <c r="G1082" s="44" t="n"/>
      <c r="H1082" s="44">
        <f>IF(F1082="No",0,IF(F1082="Edited",IF(G1082="",E1082,G1082),E1082))</f>
        <v/>
      </c>
    </row>
    <row r="1083">
      <c r="A1083" s="41" t="n">
        <v>50222</v>
      </c>
      <c r="B1083" s="32">
        <f>DATE(YEAR(A1083),MONTH(A1083),1)</f>
        <v/>
      </c>
      <c r="C1083" t="inlineStr">
        <is>
          <t>AI &amp; Big Data</t>
        </is>
      </c>
      <c r="D1083" t="inlineStr">
        <is>
          <t>PAC</t>
        </is>
      </c>
      <c r="E1083" s="44">
        <f>IFERROR(VLOOKUP(C1083,Assets!$A:$F,6,FALSE),0)</f>
        <v/>
      </c>
      <c r="F1083" t="inlineStr">
        <is>
          <t>Auto</t>
        </is>
      </c>
      <c r="G1083" s="44" t="n"/>
      <c r="H1083" s="44">
        <f>IF(F1083="No",0,IF(F1083="Edited",IF(G1083="",E1083,G1083),E1083))</f>
        <v/>
      </c>
    </row>
    <row r="1084">
      <c r="A1084" s="41" t="n">
        <v>50222</v>
      </c>
      <c r="B1084" s="32">
        <f>DATE(YEAR(A1084),MONTH(A1084),1)</f>
        <v/>
      </c>
      <c r="C1084" t="inlineStr">
        <is>
          <t>Physical Gold</t>
        </is>
      </c>
      <c r="D1084" t="inlineStr">
        <is>
          <t>PAC</t>
        </is>
      </c>
      <c r="E1084" s="44">
        <f>IFERROR(VLOOKUP(C1084,Assets!$A:$F,6,FALSE),0)</f>
        <v/>
      </c>
      <c r="F1084" t="inlineStr">
        <is>
          <t>Auto</t>
        </is>
      </c>
      <c r="G1084" s="44" t="n"/>
      <c r="H1084" s="44">
        <f>IF(F1084="No",0,IF(F1084="Edited",IF(G1084="",E1084,G1084),E1084))</f>
        <v/>
      </c>
    </row>
    <row r="1085">
      <c r="A1085" s="41" t="n">
        <v>50222</v>
      </c>
      <c r="B1085" s="32">
        <f>DATE(YEAR(A1085),MONTH(A1085),1)</f>
        <v/>
      </c>
      <c r="C1085" t="inlineStr">
        <is>
          <t>Global Gov Bond</t>
        </is>
      </c>
      <c r="D1085" t="inlineStr">
        <is>
          <t>PAC</t>
        </is>
      </c>
      <c r="E1085" s="44">
        <f>IFERROR(VLOOKUP(C1085,Assets!$A:$F,6,FALSE),0)</f>
        <v/>
      </c>
      <c r="F1085" t="inlineStr">
        <is>
          <t>Auto</t>
        </is>
      </c>
      <c r="G1085" s="44" t="n"/>
      <c r="H1085" s="44">
        <f>IF(F1085="No",0,IF(F1085="Edited",IF(G1085="",E1085,G1085),E1085))</f>
        <v/>
      </c>
    </row>
    <row r="1086">
      <c r="A1086" s="41" t="n">
        <v>50222</v>
      </c>
      <c r="B1086" s="32">
        <f>DATE(YEAR(A1086),MONTH(A1086),1)</f>
        <v/>
      </c>
      <c r="C1086" t="inlineStr">
        <is>
          <t>Core EUR Corp Bond</t>
        </is>
      </c>
      <c r="D1086" t="inlineStr">
        <is>
          <t>PAC</t>
        </is>
      </c>
      <c r="E1086" s="44">
        <f>IFERROR(VLOOKUP(C1086,Assets!$A:$F,6,FALSE),0)</f>
        <v/>
      </c>
      <c r="F1086" t="inlineStr">
        <is>
          <t>Auto</t>
        </is>
      </c>
      <c r="G1086" s="44" t="n"/>
      <c r="H1086" s="44">
        <f>IF(F1086="No",0,IF(F1086="Edited",IF(G1086="",E1086,G1086),E1086))</f>
        <v/>
      </c>
    </row>
    <row r="1087">
      <c r="A1087" s="41" t="n">
        <v>50222</v>
      </c>
      <c r="B1087" s="32">
        <f>DATE(YEAR(A1087),MONTH(A1087),1)</f>
        <v/>
      </c>
      <c r="C1087" t="inlineStr">
        <is>
          <t>MSCI World Value</t>
        </is>
      </c>
      <c r="D1087" t="inlineStr">
        <is>
          <t>PAC</t>
        </is>
      </c>
      <c r="E1087" s="44">
        <f>IFERROR(VLOOKUP(C1087,Assets!$A:$F,6,FALSE),0)</f>
        <v/>
      </c>
      <c r="F1087" t="inlineStr">
        <is>
          <t>Auto</t>
        </is>
      </c>
      <c r="G1087" s="44" t="n"/>
      <c r="H1087" s="44">
        <f>IF(F1087="No",0,IF(F1087="Edited",IF(G1087="",E1087,G1087),E1087))</f>
        <v/>
      </c>
    </row>
    <row r="1088">
      <c r="A1088" s="41" t="n">
        <v>50222</v>
      </c>
      <c r="B1088" s="32">
        <f>DATE(YEAR(A1088),MONTH(A1088),1)</f>
        <v/>
      </c>
      <c r="C1088" t="inlineStr">
        <is>
          <t>MSCI EM</t>
        </is>
      </c>
      <c r="D1088" t="inlineStr">
        <is>
          <t>PAC</t>
        </is>
      </c>
      <c r="E1088" s="44">
        <f>IFERROR(VLOOKUP(C1088,Assets!$A:$F,6,FALSE),0)</f>
        <v/>
      </c>
      <c r="F1088" t="inlineStr">
        <is>
          <t>Auto</t>
        </is>
      </c>
      <c r="G1088" s="44" t="n"/>
      <c r="H1088" s="44">
        <f>IF(F1088="No",0,IF(F1088="Edited",IF(G1088="",E1088,G1088),E1088))</f>
        <v/>
      </c>
    </row>
    <row r="1089">
      <c r="A1089" s="41" t="n">
        <v>50222</v>
      </c>
      <c r="B1089" s="32">
        <f>DATE(YEAR(A1089),MONTH(A1089),1)</f>
        <v/>
      </c>
      <c r="C1089" t="inlineStr">
        <is>
          <t>Defence Tech</t>
        </is>
      </c>
      <c r="D1089" t="inlineStr">
        <is>
          <t>PAC</t>
        </is>
      </c>
      <c r="E1089" s="44">
        <f>IFERROR(VLOOKUP(C1089,Assets!$A:$F,6,FALSE),0)</f>
        <v/>
      </c>
      <c r="F1089" t="inlineStr">
        <is>
          <t>Auto</t>
        </is>
      </c>
      <c r="G1089" s="44" t="n"/>
      <c r="H1089" s="44">
        <f>IF(F1089="No",0,IF(F1089="Edited",IF(G1089="",E1089,G1089),E1089))</f>
        <v/>
      </c>
    </row>
    <row r="1090">
      <c r="A1090" s="41" t="n">
        <v>50253</v>
      </c>
      <c r="B1090" s="32">
        <f>DATE(YEAR(A1090),MONTH(A1090),1)</f>
        <v/>
      </c>
      <c r="C1090" t="inlineStr">
        <is>
          <t>Core MSCI World</t>
        </is>
      </c>
      <c r="D1090" t="inlineStr">
        <is>
          <t>PAC</t>
        </is>
      </c>
      <c r="E1090" s="44">
        <f>IFERROR(VLOOKUP(C1090,Assets!$A:$F,6,FALSE),0)</f>
        <v/>
      </c>
      <c r="F1090" t="inlineStr">
        <is>
          <t>Auto</t>
        </is>
      </c>
      <c r="G1090" s="44" t="n"/>
      <c r="H1090" s="44">
        <f>IF(F1090="No",0,IF(F1090="Edited",IF(G1090="",E1090,G1090),E1090))</f>
        <v/>
      </c>
    </row>
    <row r="1091">
      <c r="A1091" s="41" t="n">
        <v>50253</v>
      </c>
      <c r="B1091" s="32">
        <f>DATE(YEAR(A1091),MONTH(A1091),1)</f>
        <v/>
      </c>
      <c r="C1091" t="inlineStr">
        <is>
          <t>AI &amp; Big Data</t>
        </is>
      </c>
      <c r="D1091" t="inlineStr">
        <is>
          <t>PAC</t>
        </is>
      </c>
      <c r="E1091" s="44">
        <f>IFERROR(VLOOKUP(C1091,Assets!$A:$F,6,FALSE),0)</f>
        <v/>
      </c>
      <c r="F1091" t="inlineStr">
        <is>
          <t>Auto</t>
        </is>
      </c>
      <c r="G1091" s="44" t="n"/>
      <c r="H1091" s="44">
        <f>IF(F1091="No",0,IF(F1091="Edited",IF(G1091="",E1091,G1091),E1091))</f>
        <v/>
      </c>
    </row>
    <row r="1092">
      <c r="A1092" s="41" t="n">
        <v>50253</v>
      </c>
      <c r="B1092" s="32">
        <f>DATE(YEAR(A1092),MONTH(A1092),1)</f>
        <v/>
      </c>
      <c r="C1092" t="inlineStr">
        <is>
          <t>Physical Gold</t>
        </is>
      </c>
      <c r="D1092" t="inlineStr">
        <is>
          <t>PAC</t>
        </is>
      </c>
      <c r="E1092" s="44">
        <f>IFERROR(VLOOKUP(C1092,Assets!$A:$F,6,FALSE),0)</f>
        <v/>
      </c>
      <c r="F1092" t="inlineStr">
        <is>
          <t>Auto</t>
        </is>
      </c>
      <c r="G1092" s="44" t="n"/>
      <c r="H1092" s="44">
        <f>IF(F1092="No",0,IF(F1092="Edited",IF(G1092="",E1092,G1092),E1092))</f>
        <v/>
      </c>
    </row>
    <row r="1093">
      <c r="A1093" s="41" t="n">
        <v>50253</v>
      </c>
      <c r="B1093" s="32">
        <f>DATE(YEAR(A1093),MONTH(A1093),1)</f>
        <v/>
      </c>
      <c r="C1093" t="inlineStr">
        <is>
          <t>Global Gov Bond</t>
        </is>
      </c>
      <c r="D1093" t="inlineStr">
        <is>
          <t>PAC</t>
        </is>
      </c>
      <c r="E1093" s="44">
        <f>IFERROR(VLOOKUP(C1093,Assets!$A:$F,6,FALSE),0)</f>
        <v/>
      </c>
      <c r="F1093" t="inlineStr">
        <is>
          <t>Auto</t>
        </is>
      </c>
      <c r="G1093" s="44" t="n"/>
      <c r="H1093" s="44">
        <f>IF(F1093="No",0,IF(F1093="Edited",IF(G1093="",E1093,G1093),E1093))</f>
        <v/>
      </c>
    </row>
    <row r="1094">
      <c r="A1094" s="41" t="n">
        <v>50253</v>
      </c>
      <c r="B1094" s="32">
        <f>DATE(YEAR(A1094),MONTH(A1094),1)</f>
        <v/>
      </c>
      <c r="C1094" t="inlineStr">
        <is>
          <t>Core EUR Corp Bond</t>
        </is>
      </c>
      <c r="D1094" t="inlineStr">
        <is>
          <t>PAC</t>
        </is>
      </c>
      <c r="E1094" s="44">
        <f>IFERROR(VLOOKUP(C1094,Assets!$A:$F,6,FALSE),0)</f>
        <v/>
      </c>
      <c r="F1094" t="inlineStr">
        <is>
          <t>Auto</t>
        </is>
      </c>
      <c r="G1094" s="44" t="n"/>
      <c r="H1094" s="44">
        <f>IF(F1094="No",0,IF(F1094="Edited",IF(G1094="",E1094,G1094),E1094))</f>
        <v/>
      </c>
    </row>
    <row r="1095">
      <c r="A1095" s="41" t="n">
        <v>50253</v>
      </c>
      <c r="B1095" s="32">
        <f>DATE(YEAR(A1095),MONTH(A1095),1)</f>
        <v/>
      </c>
      <c r="C1095" t="inlineStr">
        <is>
          <t>MSCI World Value</t>
        </is>
      </c>
      <c r="D1095" t="inlineStr">
        <is>
          <t>PAC</t>
        </is>
      </c>
      <c r="E1095" s="44">
        <f>IFERROR(VLOOKUP(C1095,Assets!$A:$F,6,FALSE),0)</f>
        <v/>
      </c>
      <c r="F1095" t="inlineStr">
        <is>
          <t>Auto</t>
        </is>
      </c>
      <c r="G1095" s="44" t="n"/>
      <c r="H1095" s="44">
        <f>IF(F1095="No",0,IF(F1095="Edited",IF(G1095="",E1095,G1095),E1095))</f>
        <v/>
      </c>
    </row>
    <row r="1096">
      <c r="A1096" s="41" t="n">
        <v>50253</v>
      </c>
      <c r="B1096" s="32">
        <f>DATE(YEAR(A1096),MONTH(A1096),1)</f>
        <v/>
      </c>
      <c r="C1096" t="inlineStr">
        <is>
          <t>MSCI EM</t>
        </is>
      </c>
      <c r="D1096" t="inlineStr">
        <is>
          <t>PAC</t>
        </is>
      </c>
      <c r="E1096" s="44">
        <f>IFERROR(VLOOKUP(C1096,Assets!$A:$F,6,FALSE),0)</f>
        <v/>
      </c>
      <c r="F1096" t="inlineStr">
        <is>
          <t>Auto</t>
        </is>
      </c>
      <c r="G1096" s="44" t="n"/>
      <c r="H1096" s="44">
        <f>IF(F1096="No",0,IF(F1096="Edited",IF(G1096="",E1096,G1096),E1096))</f>
        <v/>
      </c>
    </row>
    <row r="1097">
      <c r="A1097" s="41" t="n">
        <v>50253</v>
      </c>
      <c r="B1097" s="32">
        <f>DATE(YEAR(A1097),MONTH(A1097),1)</f>
        <v/>
      </c>
      <c r="C1097" t="inlineStr">
        <is>
          <t>Defence Tech</t>
        </is>
      </c>
      <c r="D1097" t="inlineStr">
        <is>
          <t>PAC</t>
        </is>
      </c>
      <c r="E1097" s="44">
        <f>IFERROR(VLOOKUP(C1097,Assets!$A:$F,6,FALSE),0)</f>
        <v/>
      </c>
      <c r="F1097" t="inlineStr">
        <is>
          <t>Auto</t>
        </is>
      </c>
      <c r="G1097" s="44" t="n"/>
      <c r="H1097" s="44">
        <f>IF(F1097="No",0,IF(F1097="Edited",IF(G1097="",E1097,G1097),E1097))</f>
        <v/>
      </c>
    </row>
    <row r="1098">
      <c r="A1098" s="41" t="n">
        <v>50284</v>
      </c>
      <c r="B1098" s="32">
        <f>DATE(YEAR(A1098),MONTH(A1098),1)</f>
        <v/>
      </c>
      <c r="C1098" t="inlineStr">
        <is>
          <t>Core MSCI World</t>
        </is>
      </c>
      <c r="D1098" t="inlineStr">
        <is>
          <t>PAC</t>
        </is>
      </c>
      <c r="E1098" s="44">
        <f>IFERROR(VLOOKUP(C1098,Assets!$A:$F,6,FALSE),0)</f>
        <v/>
      </c>
      <c r="F1098" t="inlineStr">
        <is>
          <t>Auto</t>
        </is>
      </c>
      <c r="G1098" s="44" t="n"/>
      <c r="H1098" s="44">
        <f>IF(F1098="No",0,IF(F1098="Edited",IF(G1098="",E1098,G1098),E1098))</f>
        <v/>
      </c>
    </row>
    <row r="1099">
      <c r="A1099" s="41" t="n">
        <v>50284</v>
      </c>
      <c r="B1099" s="32">
        <f>DATE(YEAR(A1099),MONTH(A1099),1)</f>
        <v/>
      </c>
      <c r="C1099" t="inlineStr">
        <is>
          <t>AI &amp; Big Data</t>
        </is>
      </c>
      <c r="D1099" t="inlineStr">
        <is>
          <t>PAC</t>
        </is>
      </c>
      <c r="E1099" s="44">
        <f>IFERROR(VLOOKUP(C1099,Assets!$A:$F,6,FALSE),0)</f>
        <v/>
      </c>
      <c r="F1099" t="inlineStr">
        <is>
          <t>Auto</t>
        </is>
      </c>
      <c r="G1099" s="44" t="n"/>
      <c r="H1099" s="44">
        <f>IF(F1099="No",0,IF(F1099="Edited",IF(G1099="",E1099,G1099),E1099))</f>
        <v/>
      </c>
    </row>
    <row r="1100">
      <c r="A1100" s="41" t="n">
        <v>50284</v>
      </c>
      <c r="B1100" s="32">
        <f>DATE(YEAR(A1100),MONTH(A1100),1)</f>
        <v/>
      </c>
      <c r="C1100" t="inlineStr">
        <is>
          <t>Physical Gold</t>
        </is>
      </c>
      <c r="D1100" t="inlineStr">
        <is>
          <t>PAC</t>
        </is>
      </c>
      <c r="E1100" s="44">
        <f>IFERROR(VLOOKUP(C1100,Assets!$A:$F,6,FALSE),0)</f>
        <v/>
      </c>
      <c r="F1100" t="inlineStr">
        <is>
          <t>Auto</t>
        </is>
      </c>
      <c r="G1100" s="44" t="n"/>
      <c r="H1100" s="44">
        <f>IF(F1100="No",0,IF(F1100="Edited",IF(G1100="",E1100,G1100),E1100))</f>
        <v/>
      </c>
    </row>
    <row r="1101">
      <c r="A1101" s="41" t="n">
        <v>50284</v>
      </c>
      <c r="B1101" s="32">
        <f>DATE(YEAR(A1101),MONTH(A1101),1)</f>
        <v/>
      </c>
      <c r="C1101" t="inlineStr">
        <is>
          <t>Global Gov Bond</t>
        </is>
      </c>
      <c r="D1101" t="inlineStr">
        <is>
          <t>PAC</t>
        </is>
      </c>
      <c r="E1101" s="44">
        <f>IFERROR(VLOOKUP(C1101,Assets!$A:$F,6,FALSE),0)</f>
        <v/>
      </c>
      <c r="F1101" t="inlineStr">
        <is>
          <t>Auto</t>
        </is>
      </c>
      <c r="G1101" s="44" t="n"/>
      <c r="H1101" s="44">
        <f>IF(F1101="No",0,IF(F1101="Edited",IF(G1101="",E1101,G1101),E1101))</f>
        <v/>
      </c>
    </row>
    <row r="1102">
      <c r="A1102" s="41" t="n">
        <v>50284</v>
      </c>
      <c r="B1102" s="32">
        <f>DATE(YEAR(A1102),MONTH(A1102),1)</f>
        <v/>
      </c>
      <c r="C1102" t="inlineStr">
        <is>
          <t>Core EUR Corp Bond</t>
        </is>
      </c>
      <c r="D1102" t="inlineStr">
        <is>
          <t>PAC</t>
        </is>
      </c>
      <c r="E1102" s="44">
        <f>IFERROR(VLOOKUP(C1102,Assets!$A:$F,6,FALSE),0)</f>
        <v/>
      </c>
      <c r="F1102" t="inlineStr">
        <is>
          <t>Auto</t>
        </is>
      </c>
      <c r="G1102" s="44" t="n"/>
      <c r="H1102" s="44">
        <f>IF(F1102="No",0,IF(F1102="Edited",IF(G1102="",E1102,G1102),E1102))</f>
        <v/>
      </c>
    </row>
    <row r="1103">
      <c r="A1103" s="41" t="n">
        <v>50284</v>
      </c>
      <c r="B1103" s="32">
        <f>DATE(YEAR(A1103),MONTH(A1103),1)</f>
        <v/>
      </c>
      <c r="C1103" t="inlineStr">
        <is>
          <t>MSCI World Value</t>
        </is>
      </c>
      <c r="D1103" t="inlineStr">
        <is>
          <t>PAC</t>
        </is>
      </c>
      <c r="E1103" s="44">
        <f>IFERROR(VLOOKUP(C1103,Assets!$A:$F,6,FALSE),0)</f>
        <v/>
      </c>
      <c r="F1103" t="inlineStr">
        <is>
          <t>Auto</t>
        </is>
      </c>
      <c r="G1103" s="44" t="n"/>
      <c r="H1103" s="44">
        <f>IF(F1103="No",0,IF(F1103="Edited",IF(G1103="",E1103,G1103),E1103))</f>
        <v/>
      </c>
    </row>
    <row r="1104">
      <c r="A1104" s="41" t="n">
        <v>50284</v>
      </c>
      <c r="B1104" s="32">
        <f>DATE(YEAR(A1104),MONTH(A1104),1)</f>
        <v/>
      </c>
      <c r="C1104" t="inlineStr">
        <is>
          <t>MSCI EM</t>
        </is>
      </c>
      <c r="D1104" t="inlineStr">
        <is>
          <t>PAC</t>
        </is>
      </c>
      <c r="E1104" s="44">
        <f>IFERROR(VLOOKUP(C1104,Assets!$A:$F,6,FALSE),0)</f>
        <v/>
      </c>
      <c r="F1104" t="inlineStr">
        <is>
          <t>Auto</t>
        </is>
      </c>
      <c r="G1104" s="44" t="n"/>
      <c r="H1104" s="44">
        <f>IF(F1104="No",0,IF(F1104="Edited",IF(G1104="",E1104,G1104),E1104))</f>
        <v/>
      </c>
    </row>
    <row r="1105">
      <c r="A1105" s="41" t="n">
        <v>50284</v>
      </c>
      <c r="B1105" s="32">
        <f>DATE(YEAR(A1105),MONTH(A1105),1)</f>
        <v/>
      </c>
      <c r="C1105" t="inlineStr">
        <is>
          <t>Defence Tech</t>
        </is>
      </c>
      <c r="D1105" t="inlineStr">
        <is>
          <t>PAC</t>
        </is>
      </c>
      <c r="E1105" s="44">
        <f>IFERROR(VLOOKUP(C1105,Assets!$A:$F,6,FALSE),0)</f>
        <v/>
      </c>
      <c r="F1105" t="inlineStr">
        <is>
          <t>Auto</t>
        </is>
      </c>
      <c r="G1105" s="44" t="n"/>
      <c r="H1105" s="44">
        <f>IF(F1105="No",0,IF(F1105="Edited",IF(G1105="",E1105,G1105),E1105))</f>
        <v/>
      </c>
    </row>
    <row r="1106">
      <c r="A1106" s="41" t="n">
        <v>50314</v>
      </c>
      <c r="B1106" s="32">
        <f>DATE(YEAR(A1106),MONTH(A1106),1)</f>
        <v/>
      </c>
      <c r="C1106" t="inlineStr">
        <is>
          <t>Core MSCI World</t>
        </is>
      </c>
      <c r="D1106" t="inlineStr">
        <is>
          <t>PAC</t>
        </is>
      </c>
      <c r="E1106" s="44">
        <f>IFERROR(VLOOKUP(C1106,Assets!$A:$F,6,FALSE),0)</f>
        <v/>
      </c>
      <c r="F1106" t="inlineStr">
        <is>
          <t>Auto</t>
        </is>
      </c>
      <c r="G1106" s="44" t="n"/>
      <c r="H1106" s="44">
        <f>IF(F1106="No",0,IF(F1106="Edited",IF(G1106="",E1106,G1106),E1106))</f>
        <v/>
      </c>
    </row>
    <row r="1107">
      <c r="A1107" s="41" t="n">
        <v>50314</v>
      </c>
      <c r="B1107" s="32">
        <f>DATE(YEAR(A1107),MONTH(A1107),1)</f>
        <v/>
      </c>
      <c r="C1107" t="inlineStr">
        <is>
          <t>AI &amp; Big Data</t>
        </is>
      </c>
      <c r="D1107" t="inlineStr">
        <is>
          <t>PAC</t>
        </is>
      </c>
      <c r="E1107" s="44">
        <f>IFERROR(VLOOKUP(C1107,Assets!$A:$F,6,FALSE),0)</f>
        <v/>
      </c>
      <c r="F1107" t="inlineStr">
        <is>
          <t>Auto</t>
        </is>
      </c>
      <c r="G1107" s="44" t="n"/>
      <c r="H1107" s="44">
        <f>IF(F1107="No",0,IF(F1107="Edited",IF(G1107="",E1107,G1107),E1107))</f>
        <v/>
      </c>
    </row>
    <row r="1108">
      <c r="A1108" s="41" t="n">
        <v>50314</v>
      </c>
      <c r="B1108" s="32">
        <f>DATE(YEAR(A1108),MONTH(A1108),1)</f>
        <v/>
      </c>
      <c r="C1108" t="inlineStr">
        <is>
          <t>Physical Gold</t>
        </is>
      </c>
      <c r="D1108" t="inlineStr">
        <is>
          <t>PAC</t>
        </is>
      </c>
      <c r="E1108" s="44">
        <f>IFERROR(VLOOKUP(C1108,Assets!$A:$F,6,FALSE),0)</f>
        <v/>
      </c>
      <c r="F1108" t="inlineStr">
        <is>
          <t>Auto</t>
        </is>
      </c>
      <c r="G1108" s="44" t="n"/>
      <c r="H1108" s="44">
        <f>IF(F1108="No",0,IF(F1108="Edited",IF(G1108="",E1108,G1108),E1108))</f>
        <v/>
      </c>
    </row>
    <row r="1109">
      <c r="A1109" s="41" t="n">
        <v>50314</v>
      </c>
      <c r="B1109" s="32">
        <f>DATE(YEAR(A1109),MONTH(A1109),1)</f>
        <v/>
      </c>
      <c r="C1109" t="inlineStr">
        <is>
          <t>Global Gov Bond</t>
        </is>
      </c>
      <c r="D1109" t="inlineStr">
        <is>
          <t>PAC</t>
        </is>
      </c>
      <c r="E1109" s="44">
        <f>IFERROR(VLOOKUP(C1109,Assets!$A:$F,6,FALSE),0)</f>
        <v/>
      </c>
      <c r="F1109" t="inlineStr">
        <is>
          <t>Auto</t>
        </is>
      </c>
      <c r="G1109" s="44" t="n"/>
      <c r="H1109" s="44">
        <f>IF(F1109="No",0,IF(F1109="Edited",IF(G1109="",E1109,G1109),E1109))</f>
        <v/>
      </c>
    </row>
    <row r="1110">
      <c r="A1110" s="41" t="n">
        <v>50314</v>
      </c>
      <c r="B1110" s="32">
        <f>DATE(YEAR(A1110),MONTH(A1110),1)</f>
        <v/>
      </c>
      <c r="C1110" t="inlineStr">
        <is>
          <t>Core EUR Corp Bond</t>
        </is>
      </c>
      <c r="D1110" t="inlineStr">
        <is>
          <t>PAC</t>
        </is>
      </c>
      <c r="E1110" s="44">
        <f>IFERROR(VLOOKUP(C1110,Assets!$A:$F,6,FALSE),0)</f>
        <v/>
      </c>
      <c r="F1110" t="inlineStr">
        <is>
          <t>Auto</t>
        </is>
      </c>
      <c r="G1110" s="44" t="n"/>
      <c r="H1110" s="44">
        <f>IF(F1110="No",0,IF(F1110="Edited",IF(G1110="",E1110,G1110),E1110))</f>
        <v/>
      </c>
    </row>
    <row r="1111">
      <c r="A1111" s="41" t="n">
        <v>50314</v>
      </c>
      <c r="B1111" s="32">
        <f>DATE(YEAR(A1111),MONTH(A1111),1)</f>
        <v/>
      </c>
      <c r="C1111" t="inlineStr">
        <is>
          <t>MSCI World Value</t>
        </is>
      </c>
      <c r="D1111" t="inlineStr">
        <is>
          <t>PAC</t>
        </is>
      </c>
      <c r="E1111" s="44">
        <f>IFERROR(VLOOKUP(C1111,Assets!$A:$F,6,FALSE),0)</f>
        <v/>
      </c>
      <c r="F1111" t="inlineStr">
        <is>
          <t>Auto</t>
        </is>
      </c>
      <c r="G1111" s="44" t="n"/>
      <c r="H1111" s="44">
        <f>IF(F1111="No",0,IF(F1111="Edited",IF(G1111="",E1111,G1111),E1111))</f>
        <v/>
      </c>
    </row>
    <row r="1112">
      <c r="A1112" s="41" t="n">
        <v>50314</v>
      </c>
      <c r="B1112" s="32">
        <f>DATE(YEAR(A1112),MONTH(A1112),1)</f>
        <v/>
      </c>
      <c r="C1112" t="inlineStr">
        <is>
          <t>MSCI EM</t>
        </is>
      </c>
      <c r="D1112" t="inlineStr">
        <is>
          <t>PAC</t>
        </is>
      </c>
      <c r="E1112" s="44">
        <f>IFERROR(VLOOKUP(C1112,Assets!$A:$F,6,FALSE),0)</f>
        <v/>
      </c>
      <c r="F1112" t="inlineStr">
        <is>
          <t>Auto</t>
        </is>
      </c>
      <c r="G1112" s="44" t="n"/>
      <c r="H1112" s="44">
        <f>IF(F1112="No",0,IF(F1112="Edited",IF(G1112="",E1112,G1112),E1112))</f>
        <v/>
      </c>
    </row>
    <row r="1113">
      <c r="A1113" s="41" t="n">
        <v>50314</v>
      </c>
      <c r="B1113" s="32">
        <f>DATE(YEAR(A1113),MONTH(A1113),1)</f>
        <v/>
      </c>
      <c r="C1113" t="inlineStr">
        <is>
          <t>Defence Tech</t>
        </is>
      </c>
      <c r="D1113" t="inlineStr">
        <is>
          <t>PAC</t>
        </is>
      </c>
      <c r="E1113" s="44">
        <f>IFERROR(VLOOKUP(C1113,Assets!$A:$F,6,FALSE),0)</f>
        <v/>
      </c>
      <c r="F1113" t="inlineStr">
        <is>
          <t>Auto</t>
        </is>
      </c>
      <c r="G1113" s="44" t="n"/>
      <c r="H1113" s="44">
        <f>IF(F1113="No",0,IF(F1113="Edited",IF(G1113="",E1113,G1113),E1113))</f>
        <v/>
      </c>
    </row>
    <row r="1114">
      <c r="A1114" s="41" t="n">
        <v>50345</v>
      </c>
      <c r="B1114" s="32">
        <f>DATE(YEAR(A1114),MONTH(A1114),1)</f>
        <v/>
      </c>
      <c r="C1114" t="inlineStr">
        <is>
          <t>Core MSCI World</t>
        </is>
      </c>
      <c r="D1114" t="inlineStr">
        <is>
          <t>PAC</t>
        </is>
      </c>
      <c r="E1114" s="44">
        <f>IFERROR(VLOOKUP(C1114,Assets!$A:$F,6,FALSE),0)</f>
        <v/>
      </c>
      <c r="F1114" t="inlineStr">
        <is>
          <t>Auto</t>
        </is>
      </c>
      <c r="G1114" s="44" t="n"/>
      <c r="H1114" s="44">
        <f>IF(F1114="No",0,IF(F1114="Edited",IF(G1114="",E1114,G1114),E1114))</f>
        <v/>
      </c>
    </row>
    <row r="1115">
      <c r="A1115" s="41" t="n">
        <v>50345</v>
      </c>
      <c r="B1115" s="32">
        <f>DATE(YEAR(A1115),MONTH(A1115),1)</f>
        <v/>
      </c>
      <c r="C1115" t="inlineStr">
        <is>
          <t>AI &amp; Big Data</t>
        </is>
      </c>
      <c r="D1115" t="inlineStr">
        <is>
          <t>PAC</t>
        </is>
      </c>
      <c r="E1115" s="44">
        <f>IFERROR(VLOOKUP(C1115,Assets!$A:$F,6,FALSE),0)</f>
        <v/>
      </c>
      <c r="F1115" t="inlineStr">
        <is>
          <t>Auto</t>
        </is>
      </c>
      <c r="G1115" s="44" t="n"/>
      <c r="H1115" s="44">
        <f>IF(F1115="No",0,IF(F1115="Edited",IF(G1115="",E1115,G1115),E1115))</f>
        <v/>
      </c>
    </row>
    <row r="1116">
      <c r="A1116" s="41" t="n">
        <v>50345</v>
      </c>
      <c r="B1116" s="32">
        <f>DATE(YEAR(A1116),MONTH(A1116),1)</f>
        <v/>
      </c>
      <c r="C1116" t="inlineStr">
        <is>
          <t>Physical Gold</t>
        </is>
      </c>
      <c r="D1116" t="inlineStr">
        <is>
          <t>PAC</t>
        </is>
      </c>
      <c r="E1116" s="44">
        <f>IFERROR(VLOOKUP(C1116,Assets!$A:$F,6,FALSE),0)</f>
        <v/>
      </c>
      <c r="F1116" t="inlineStr">
        <is>
          <t>Auto</t>
        </is>
      </c>
      <c r="G1116" s="44" t="n"/>
      <c r="H1116" s="44">
        <f>IF(F1116="No",0,IF(F1116="Edited",IF(G1116="",E1116,G1116),E1116))</f>
        <v/>
      </c>
    </row>
    <row r="1117">
      <c r="A1117" s="41" t="n">
        <v>50345</v>
      </c>
      <c r="B1117" s="32">
        <f>DATE(YEAR(A1117),MONTH(A1117),1)</f>
        <v/>
      </c>
      <c r="C1117" t="inlineStr">
        <is>
          <t>Global Gov Bond</t>
        </is>
      </c>
      <c r="D1117" t="inlineStr">
        <is>
          <t>PAC</t>
        </is>
      </c>
      <c r="E1117" s="44">
        <f>IFERROR(VLOOKUP(C1117,Assets!$A:$F,6,FALSE),0)</f>
        <v/>
      </c>
      <c r="F1117" t="inlineStr">
        <is>
          <t>Auto</t>
        </is>
      </c>
      <c r="G1117" s="44" t="n"/>
      <c r="H1117" s="44">
        <f>IF(F1117="No",0,IF(F1117="Edited",IF(G1117="",E1117,G1117),E1117))</f>
        <v/>
      </c>
    </row>
    <row r="1118">
      <c r="A1118" s="41" t="n">
        <v>50345</v>
      </c>
      <c r="B1118" s="32">
        <f>DATE(YEAR(A1118),MONTH(A1118),1)</f>
        <v/>
      </c>
      <c r="C1118" t="inlineStr">
        <is>
          <t>Core EUR Corp Bond</t>
        </is>
      </c>
      <c r="D1118" t="inlineStr">
        <is>
          <t>PAC</t>
        </is>
      </c>
      <c r="E1118" s="44">
        <f>IFERROR(VLOOKUP(C1118,Assets!$A:$F,6,FALSE),0)</f>
        <v/>
      </c>
      <c r="F1118" t="inlineStr">
        <is>
          <t>Auto</t>
        </is>
      </c>
      <c r="G1118" s="44" t="n"/>
      <c r="H1118" s="44">
        <f>IF(F1118="No",0,IF(F1118="Edited",IF(G1118="",E1118,G1118),E1118))</f>
        <v/>
      </c>
    </row>
    <row r="1119">
      <c r="A1119" s="41" t="n">
        <v>50345</v>
      </c>
      <c r="B1119" s="32">
        <f>DATE(YEAR(A1119),MONTH(A1119),1)</f>
        <v/>
      </c>
      <c r="C1119" t="inlineStr">
        <is>
          <t>MSCI World Value</t>
        </is>
      </c>
      <c r="D1119" t="inlineStr">
        <is>
          <t>PAC</t>
        </is>
      </c>
      <c r="E1119" s="44">
        <f>IFERROR(VLOOKUP(C1119,Assets!$A:$F,6,FALSE),0)</f>
        <v/>
      </c>
      <c r="F1119" t="inlineStr">
        <is>
          <t>Auto</t>
        </is>
      </c>
      <c r="G1119" s="44" t="n"/>
      <c r="H1119" s="44">
        <f>IF(F1119="No",0,IF(F1119="Edited",IF(G1119="",E1119,G1119),E1119))</f>
        <v/>
      </c>
    </row>
    <row r="1120">
      <c r="A1120" s="41" t="n">
        <v>50345</v>
      </c>
      <c r="B1120" s="32">
        <f>DATE(YEAR(A1120),MONTH(A1120),1)</f>
        <v/>
      </c>
      <c r="C1120" t="inlineStr">
        <is>
          <t>MSCI EM</t>
        </is>
      </c>
      <c r="D1120" t="inlineStr">
        <is>
          <t>PAC</t>
        </is>
      </c>
      <c r="E1120" s="44">
        <f>IFERROR(VLOOKUP(C1120,Assets!$A:$F,6,FALSE),0)</f>
        <v/>
      </c>
      <c r="F1120" t="inlineStr">
        <is>
          <t>Auto</t>
        </is>
      </c>
      <c r="G1120" s="44" t="n"/>
      <c r="H1120" s="44">
        <f>IF(F1120="No",0,IF(F1120="Edited",IF(G1120="",E1120,G1120),E1120))</f>
        <v/>
      </c>
    </row>
    <row r="1121">
      <c r="A1121" s="41" t="n">
        <v>50345</v>
      </c>
      <c r="B1121" s="32">
        <f>DATE(YEAR(A1121),MONTH(A1121),1)</f>
        <v/>
      </c>
      <c r="C1121" t="inlineStr">
        <is>
          <t>Defence Tech</t>
        </is>
      </c>
      <c r="D1121" t="inlineStr">
        <is>
          <t>PAC</t>
        </is>
      </c>
      <c r="E1121" s="44">
        <f>IFERROR(VLOOKUP(C1121,Assets!$A:$F,6,FALSE),0)</f>
        <v/>
      </c>
      <c r="F1121" t="inlineStr">
        <is>
          <t>Auto</t>
        </is>
      </c>
      <c r="G1121" s="44" t="n"/>
      <c r="H1121" s="44">
        <f>IF(F1121="No",0,IF(F1121="Edited",IF(G1121="",E1121,G1121),E1121))</f>
        <v/>
      </c>
    </row>
    <row r="1122">
      <c r="A1122" s="41" t="n">
        <v>50375</v>
      </c>
      <c r="B1122" s="32">
        <f>DATE(YEAR(A1122),MONTH(A1122),1)</f>
        <v/>
      </c>
      <c r="C1122" t="inlineStr">
        <is>
          <t>Core MSCI World</t>
        </is>
      </c>
      <c r="D1122" t="inlineStr">
        <is>
          <t>PAC</t>
        </is>
      </c>
      <c r="E1122" s="44">
        <f>IFERROR(VLOOKUP(C1122,Assets!$A:$F,6,FALSE),0)</f>
        <v/>
      </c>
      <c r="F1122" t="inlineStr">
        <is>
          <t>Auto</t>
        </is>
      </c>
      <c r="G1122" s="44" t="n"/>
      <c r="H1122" s="44">
        <f>IF(F1122="No",0,IF(F1122="Edited",IF(G1122="",E1122,G1122),E1122))</f>
        <v/>
      </c>
    </row>
    <row r="1123">
      <c r="A1123" s="41" t="n">
        <v>50375</v>
      </c>
      <c r="B1123" s="32">
        <f>DATE(YEAR(A1123),MONTH(A1123),1)</f>
        <v/>
      </c>
      <c r="C1123" t="inlineStr">
        <is>
          <t>AI &amp; Big Data</t>
        </is>
      </c>
      <c r="D1123" t="inlineStr">
        <is>
          <t>PAC</t>
        </is>
      </c>
      <c r="E1123" s="44">
        <f>IFERROR(VLOOKUP(C1123,Assets!$A:$F,6,FALSE),0)</f>
        <v/>
      </c>
      <c r="F1123" t="inlineStr">
        <is>
          <t>Auto</t>
        </is>
      </c>
      <c r="G1123" s="44" t="n"/>
      <c r="H1123" s="44">
        <f>IF(F1123="No",0,IF(F1123="Edited",IF(G1123="",E1123,G1123),E1123))</f>
        <v/>
      </c>
    </row>
    <row r="1124">
      <c r="A1124" s="41" t="n">
        <v>50375</v>
      </c>
      <c r="B1124" s="32">
        <f>DATE(YEAR(A1124),MONTH(A1124),1)</f>
        <v/>
      </c>
      <c r="C1124" t="inlineStr">
        <is>
          <t>Physical Gold</t>
        </is>
      </c>
      <c r="D1124" t="inlineStr">
        <is>
          <t>PAC</t>
        </is>
      </c>
      <c r="E1124" s="44">
        <f>IFERROR(VLOOKUP(C1124,Assets!$A:$F,6,FALSE),0)</f>
        <v/>
      </c>
      <c r="F1124" t="inlineStr">
        <is>
          <t>Auto</t>
        </is>
      </c>
      <c r="G1124" s="44" t="n"/>
      <c r="H1124" s="44">
        <f>IF(F1124="No",0,IF(F1124="Edited",IF(G1124="",E1124,G1124),E1124))</f>
        <v/>
      </c>
    </row>
    <row r="1125">
      <c r="A1125" s="41" t="n">
        <v>50375</v>
      </c>
      <c r="B1125" s="32">
        <f>DATE(YEAR(A1125),MONTH(A1125),1)</f>
        <v/>
      </c>
      <c r="C1125" t="inlineStr">
        <is>
          <t>Global Gov Bond</t>
        </is>
      </c>
      <c r="D1125" t="inlineStr">
        <is>
          <t>PAC</t>
        </is>
      </c>
      <c r="E1125" s="44">
        <f>IFERROR(VLOOKUP(C1125,Assets!$A:$F,6,FALSE),0)</f>
        <v/>
      </c>
      <c r="F1125" t="inlineStr">
        <is>
          <t>Auto</t>
        </is>
      </c>
      <c r="G1125" s="44" t="n"/>
      <c r="H1125" s="44">
        <f>IF(F1125="No",0,IF(F1125="Edited",IF(G1125="",E1125,G1125),E1125))</f>
        <v/>
      </c>
    </row>
    <row r="1126">
      <c r="A1126" s="41" t="n">
        <v>50375</v>
      </c>
      <c r="B1126" s="32">
        <f>DATE(YEAR(A1126),MONTH(A1126),1)</f>
        <v/>
      </c>
      <c r="C1126" t="inlineStr">
        <is>
          <t>Core EUR Corp Bond</t>
        </is>
      </c>
      <c r="D1126" t="inlineStr">
        <is>
          <t>PAC</t>
        </is>
      </c>
      <c r="E1126" s="44">
        <f>IFERROR(VLOOKUP(C1126,Assets!$A:$F,6,FALSE),0)</f>
        <v/>
      </c>
      <c r="F1126" t="inlineStr">
        <is>
          <t>Auto</t>
        </is>
      </c>
      <c r="G1126" s="44" t="n"/>
      <c r="H1126" s="44">
        <f>IF(F1126="No",0,IF(F1126="Edited",IF(G1126="",E1126,G1126),E1126))</f>
        <v/>
      </c>
    </row>
    <row r="1127">
      <c r="A1127" s="41" t="n">
        <v>50375</v>
      </c>
      <c r="B1127" s="32">
        <f>DATE(YEAR(A1127),MONTH(A1127),1)</f>
        <v/>
      </c>
      <c r="C1127" t="inlineStr">
        <is>
          <t>MSCI World Value</t>
        </is>
      </c>
      <c r="D1127" t="inlineStr">
        <is>
          <t>PAC</t>
        </is>
      </c>
      <c r="E1127" s="44">
        <f>IFERROR(VLOOKUP(C1127,Assets!$A:$F,6,FALSE),0)</f>
        <v/>
      </c>
      <c r="F1127" t="inlineStr">
        <is>
          <t>Auto</t>
        </is>
      </c>
      <c r="G1127" s="44" t="n"/>
      <c r="H1127" s="44">
        <f>IF(F1127="No",0,IF(F1127="Edited",IF(G1127="",E1127,G1127),E1127))</f>
        <v/>
      </c>
    </row>
    <row r="1128">
      <c r="A1128" s="41" t="n">
        <v>50375</v>
      </c>
      <c r="B1128" s="32">
        <f>DATE(YEAR(A1128),MONTH(A1128),1)</f>
        <v/>
      </c>
      <c r="C1128" t="inlineStr">
        <is>
          <t>MSCI EM</t>
        </is>
      </c>
      <c r="D1128" t="inlineStr">
        <is>
          <t>PAC</t>
        </is>
      </c>
      <c r="E1128" s="44">
        <f>IFERROR(VLOOKUP(C1128,Assets!$A:$F,6,FALSE),0)</f>
        <v/>
      </c>
      <c r="F1128" t="inlineStr">
        <is>
          <t>Auto</t>
        </is>
      </c>
      <c r="G1128" s="44" t="n"/>
      <c r="H1128" s="44">
        <f>IF(F1128="No",0,IF(F1128="Edited",IF(G1128="",E1128,G1128),E1128))</f>
        <v/>
      </c>
    </row>
    <row r="1129">
      <c r="A1129" s="41" t="n">
        <v>50375</v>
      </c>
      <c r="B1129" s="32">
        <f>DATE(YEAR(A1129),MONTH(A1129),1)</f>
        <v/>
      </c>
      <c r="C1129" t="inlineStr">
        <is>
          <t>Defence Tech</t>
        </is>
      </c>
      <c r="D1129" t="inlineStr">
        <is>
          <t>PAC</t>
        </is>
      </c>
      <c r="E1129" s="44">
        <f>IFERROR(VLOOKUP(C1129,Assets!$A:$F,6,FALSE),0)</f>
        <v/>
      </c>
      <c r="F1129" t="inlineStr">
        <is>
          <t>Auto</t>
        </is>
      </c>
      <c r="G1129" s="44" t="n"/>
      <c r="H1129" s="44">
        <f>IF(F1129="No",0,IF(F1129="Edited",IF(G1129="",E1129,G1129),E1129))</f>
        <v/>
      </c>
    </row>
    <row r="1130">
      <c r="A1130" s="41" t="n">
        <v>50406</v>
      </c>
      <c r="B1130" s="32">
        <f>DATE(YEAR(A1130),MONTH(A1130),1)</f>
        <v/>
      </c>
      <c r="C1130" t="inlineStr">
        <is>
          <t>Core MSCI World</t>
        </is>
      </c>
      <c r="D1130" t="inlineStr">
        <is>
          <t>PAC</t>
        </is>
      </c>
      <c r="E1130" s="44">
        <f>IFERROR(VLOOKUP(C1130,Assets!$A:$F,6,FALSE),0)</f>
        <v/>
      </c>
      <c r="F1130" t="inlineStr">
        <is>
          <t>Auto</t>
        </is>
      </c>
      <c r="G1130" s="44" t="n"/>
      <c r="H1130" s="44">
        <f>IF(F1130="No",0,IF(F1130="Edited",IF(G1130="",E1130,G1130),E1130))</f>
        <v/>
      </c>
    </row>
    <row r="1131">
      <c r="A1131" s="41" t="n">
        <v>50406</v>
      </c>
      <c r="B1131" s="32">
        <f>DATE(YEAR(A1131),MONTH(A1131),1)</f>
        <v/>
      </c>
      <c r="C1131" t="inlineStr">
        <is>
          <t>AI &amp; Big Data</t>
        </is>
      </c>
      <c r="D1131" t="inlineStr">
        <is>
          <t>PAC</t>
        </is>
      </c>
      <c r="E1131" s="44">
        <f>IFERROR(VLOOKUP(C1131,Assets!$A:$F,6,FALSE),0)</f>
        <v/>
      </c>
      <c r="F1131" t="inlineStr">
        <is>
          <t>Auto</t>
        </is>
      </c>
      <c r="G1131" s="44" t="n"/>
      <c r="H1131" s="44">
        <f>IF(F1131="No",0,IF(F1131="Edited",IF(G1131="",E1131,G1131),E1131))</f>
        <v/>
      </c>
    </row>
    <row r="1132">
      <c r="A1132" s="41" t="n">
        <v>50406</v>
      </c>
      <c r="B1132" s="32">
        <f>DATE(YEAR(A1132),MONTH(A1132),1)</f>
        <v/>
      </c>
      <c r="C1132" t="inlineStr">
        <is>
          <t>Physical Gold</t>
        </is>
      </c>
      <c r="D1132" t="inlineStr">
        <is>
          <t>PAC</t>
        </is>
      </c>
      <c r="E1132" s="44">
        <f>IFERROR(VLOOKUP(C1132,Assets!$A:$F,6,FALSE),0)</f>
        <v/>
      </c>
      <c r="F1132" t="inlineStr">
        <is>
          <t>Auto</t>
        </is>
      </c>
      <c r="G1132" s="44" t="n"/>
      <c r="H1132" s="44">
        <f>IF(F1132="No",0,IF(F1132="Edited",IF(G1132="",E1132,G1132),E1132))</f>
        <v/>
      </c>
    </row>
    <row r="1133">
      <c r="A1133" s="41" t="n">
        <v>50406</v>
      </c>
      <c r="B1133" s="32">
        <f>DATE(YEAR(A1133),MONTH(A1133),1)</f>
        <v/>
      </c>
      <c r="C1133" t="inlineStr">
        <is>
          <t>Global Gov Bond</t>
        </is>
      </c>
      <c r="D1133" t="inlineStr">
        <is>
          <t>PAC</t>
        </is>
      </c>
      <c r="E1133" s="44">
        <f>IFERROR(VLOOKUP(C1133,Assets!$A:$F,6,FALSE),0)</f>
        <v/>
      </c>
      <c r="F1133" t="inlineStr">
        <is>
          <t>Auto</t>
        </is>
      </c>
      <c r="G1133" s="44" t="n"/>
      <c r="H1133" s="44">
        <f>IF(F1133="No",0,IF(F1133="Edited",IF(G1133="",E1133,G1133),E1133))</f>
        <v/>
      </c>
    </row>
    <row r="1134">
      <c r="A1134" s="41" t="n">
        <v>50406</v>
      </c>
      <c r="B1134" s="32">
        <f>DATE(YEAR(A1134),MONTH(A1134),1)</f>
        <v/>
      </c>
      <c r="C1134" t="inlineStr">
        <is>
          <t>Core EUR Corp Bond</t>
        </is>
      </c>
      <c r="D1134" t="inlineStr">
        <is>
          <t>PAC</t>
        </is>
      </c>
      <c r="E1134" s="44">
        <f>IFERROR(VLOOKUP(C1134,Assets!$A:$F,6,FALSE),0)</f>
        <v/>
      </c>
      <c r="F1134" t="inlineStr">
        <is>
          <t>Auto</t>
        </is>
      </c>
      <c r="G1134" s="44" t="n"/>
      <c r="H1134" s="44">
        <f>IF(F1134="No",0,IF(F1134="Edited",IF(G1134="",E1134,G1134),E1134))</f>
        <v/>
      </c>
    </row>
    <row r="1135">
      <c r="A1135" s="41" t="n">
        <v>50406</v>
      </c>
      <c r="B1135" s="32">
        <f>DATE(YEAR(A1135),MONTH(A1135),1)</f>
        <v/>
      </c>
      <c r="C1135" t="inlineStr">
        <is>
          <t>MSCI World Value</t>
        </is>
      </c>
      <c r="D1135" t="inlineStr">
        <is>
          <t>PAC</t>
        </is>
      </c>
      <c r="E1135" s="44">
        <f>IFERROR(VLOOKUP(C1135,Assets!$A:$F,6,FALSE),0)</f>
        <v/>
      </c>
      <c r="F1135" t="inlineStr">
        <is>
          <t>Auto</t>
        </is>
      </c>
      <c r="G1135" s="44" t="n"/>
      <c r="H1135" s="44">
        <f>IF(F1135="No",0,IF(F1135="Edited",IF(G1135="",E1135,G1135),E1135))</f>
        <v/>
      </c>
    </row>
    <row r="1136">
      <c r="A1136" s="41" t="n">
        <v>50406</v>
      </c>
      <c r="B1136" s="32">
        <f>DATE(YEAR(A1136),MONTH(A1136),1)</f>
        <v/>
      </c>
      <c r="C1136" t="inlineStr">
        <is>
          <t>MSCI EM</t>
        </is>
      </c>
      <c r="D1136" t="inlineStr">
        <is>
          <t>PAC</t>
        </is>
      </c>
      <c r="E1136" s="44">
        <f>IFERROR(VLOOKUP(C1136,Assets!$A:$F,6,FALSE),0)</f>
        <v/>
      </c>
      <c r="F1136" t="inlineStr">
        <is>
          <t>Auto</t>
        </is>
      </c>
      <c r="G1136" s="44" t="n"/>
      <c r="H1136" s="44">
        <f>IF(F1136="No",0,IF(F1136="Edited",IF(G1136="",E1136,G1136),E1136))</f>
        <v/>
      </c>
    </row>
    <row r="1137">
      <c r="A1137" s="41" t="n">
        <v>50406</v>
      </c>
      <c r="B1137" s="32">
        <f>DATE(YEAR(A1137),MONTH(A1137),1)</f>
        <v/>
      </c>
      <c r="C1137" t="inlineStr">
        <is>
          <t>Defence Tech</t>
        </is>
      </c>
      <c r="D1137" t="inlineStr">
        <is>
          <t>PAC</t>
        </is>
      </c>
      <c r="E1137" s="44">
        <f>IFERROR(VLOOKUP(C1137,Assets!$A:$F,6,FALSE),0)</f>
        <v/>
      </c>
      <c r="F1137" t="inlineStr">
        <is>
          <t>Auto</t>
        </is>
      </c>
      <c r="G1137" s="44" t="n"/>
      <c r="H1137" s="44">
        <f>IF(F1137="No",0,IF(F1137="Edited",IF(G1137="",E1137,G1137),E1137))</f>
        <v/>
      </c>
    </row>
    <row r="1138">
      <c r="A1138" s="41" t="n">
        <v>50437</v>
      </c>
      <c r="B1138" s="32">
        <f>DATE(YEAR(A1138),MONTH(A1138),1)</f>
        <v/>
      </c>
      <c r="C1138" t="inlineStr">
        <is>
          <t>Core MSCI World</t>
        </is>
      </c>
      <c r="D1138" t="inlineStr">
        <is>
          <t>PAC</t>
        </is>
      </c>
      <c r="E1138" s="44">
        <f>IFERROR(VLOOKUP(C1138,Assets!$A:$F,6,FALSE),0)</f>
        <v/>
      </c>
      <c r="F1138" t="inlineStr">
        <is>
          <t>Auto</t>
        </is>
      </c>
      <c r="G1138" s="44" t="n"/>
      <c r="H1138" s="44">
        <f>IF(F1138="No",0,IF(F1138="Edited",IF(G1138="",E1138,G1138),E1138))</f>
        <v/>
      </c>
    </row>
    <row r="1139">
      <c r="A1139" s="41" t="n">
        <v>50437</v>
      </c>
      <c r="B1139" s="32">
        <f>DATE(YEAR(A1139),MONTH(A1139),1)</f>
        <v/>
      </c>
      <c r="C1139" t="inlineStr">
        <is>
          <t>AI &amp; Big Data</t>
        </is>
      </c>
      <c r="D1139" t="inlineStr">
        <is>
          <t>PAC</t>
        </is>
      </c>
      <c r="E1139" s="44">
        <f>IFERROR(VLOOKUP(C1139,Assets!$A:$F,6,FALSE),0)</f>
        <v/>
      </c>
      <c r="F1139" t="inlineStr">
        <is>
          <t>Auto</t>
        </is>
      </c>
      <c r="G1139" s="44" t="n"/>
      <c r="H1139" s="44">
        <f>IF(F1139="No",0,IF(F1139="Edited",IF(G1139="",E1139,G1139),E1139))</f>
        <v/>
      </c>
    </row>
    <row r="1140">
      <c r="A1140" s="41" t="n">
        <v>50437</v>
      </c>
      <c r="B1140" s="32">
        <f>DATE(YEAR(A1140),MONTH(A1140),1)</f>
        <v/>
      </c>
      <c r="C1140" t="inlineStr">
        <is>
          <t>Physical Gold</t>
        </is>
      </c>
      <c r="D1140" t="inlineStr">
        <is>
          <t>PAC</t>
        </is>
      </c>
      <c r="E1140" s="44">
        <f>IFERROR(VLOOKUP(C1140,Assets!$A:$F,6,FALSE),0)</f>
        <v/>
      </c>
      <c r="F1140" t="inlineStr">
        <is>
          <t>Auto</t>
        </is>
      </c>
      <c r="G1140" s="44" t="n"/>
      <c r="H1140" s="44">
        <f>IF(F1140="No",0,IF(F1140="Edited",IF(G1140="",E1140,G1140),E1140))</f>
        <v/>
      </c>
    </row>
    <row r="1141">
      <c r="A1141" s="41" t="n">
        <v>50437</v>
      </c>
      <c r="B1141" s="32">
        <f>DATE(YEAR(A1141),MONTH(A1141),1)</f>
        <v/>
      </c>
      <c r="C1141" t="inlineStr">
        <is>
          <t>Global Gov Bond</t>
        </is>
      </c>
      <c r="D1141" t="inlineStr">
        <is>
          <t>PAC</t>
        </is>
      </c>
      <c r="E1141" s="44">
        <f>IFERROR(VLOOKUP(C1141,Assets!$A:$F,6,FALSE),0)</f>
        <v/>
      </c>
      <c r="F1141" t="inlineStr">
        <is>
          <t>Auto</t>
        </is>
      </c>
      <c r="G1141" s="44" t="n"/>
      <c r="H1141" s="44">
        <f>IF(F1141="No",0,IF(F1141="Edited",IF(G1141="",E1141,G1141),E1141))</f>
        <v/>
      </c>
    </row>
    <row r="1142">
      <c r="A1142" s="41" t="n">
        <v>50437</v>
      </c>
      <c r="B1142" s="32">
        <f>DATE(YEAR(A1142),MONTH(A1142),1)</f>
        <v/>
      </c>
      <c r="C1142" t="inlineStr">
        <is>
          <t>Core EUR Corp Bond</t>
        </is>
      </c>
      <c r="D1142" t="inlineStr">
        <is>
          <t>PAC</t>
        </is>
      </c>
      <c r="E1142" s="44">
        <f>IFERROR(VLOOKUP(C1142,Assets!$A:$F,6,FALSE),0)</f>
        <v/>
      </c>
      <c r="F1142" t="inlineStr">
        <is>
          <t>Auto</t>
        </is>
      </c>
      <c r="G1142" s="44" t="n"/>
      <c r="H1142" s="44">
        <f>IF(F1142="No",0,IF(F1142="Edited",IF(G1142="",E1142,G1142),E1142))</f>
        <v/>
      </c>
    </row>
    <row r="1143">
      <c r="A1143" s="41" t="n">
        <v>50437</v>
      </c>
      <c r="B1143" s="32">
        <f>DATE(YEAR(A1143),MONTH(A1143),1)</f>
        <v/>
      </c>
      <c r="C1143" t="inlineStr">
        <is>
          <t>MSCI World Value</t>
        </is>
      </c>
      <c r="D1143" t="inlineStr">
        <is>
          <t>PAC</t>
        </is>
      </c>
      <c r="E1143" s="44">
        <f>IFERROR(VLOOKUP(C1143,Assets!$A:$F,6,FALSE),0)</f>
        <v/>
      </c>
      <c r="F1143" t="inlineStr">
        <is>
          <t>Auto</t>
        </is>
      </c>
      <c r="G1143" s="44" t="n"/>
      <c r="H1143" s="44">
        <f>IF(F1143="No",0,IF(F1143="Edited",IF(G1143="",E1143,G1143),E1143))</f>
        <v/>
      </c>
    </row>
    <row r="1144">
      <c r="A1144" s="41" t="n">
        <v>50437</v>
      </c>
      <c r="B1144" s="32">
        <f>DATE(YEAR(A1144),MONTH(A1144),1)</f>
        <v/>
      </c>
      <c r="C1144" t="inlineStr">
        <is>
          <t>MSCI EM</t>
        </is>
      </c>
      <c r="D1144" t="inlineStr">
        <is>
          <t>PAC</t>
        </is>
      </c>
      <c r="E1144" s="44">
        <f>IFERROR(VLOOKUP(C1144,Assets!$A:$F,6,FALSE),0)</f>
        <v/>
      </c>
      <c r="F1144" t="inlineStr">
        <is>
          <t>Auto</t>
        </is>
      </c>
      <c r="G1144" s="44" t="n"/>
      <c r="H1144" s="44">
        <f>IF(F1144="No",0,IF(F1144="Edited",IF(G1144="",E1144,G1144),E1144))</f>
        <v/>
      </c>
    </row>
    <row r="1145">
      <c r="A1145" s="41" t="n">
        <v>50437</v>
      </c>
      <c r="B1145" s="32">
        <f>DATE(YEAR(A1145),MONTH(A1145),1)</f>
        <v/>
      </c>
      <c r="C1145" t="inlineStr">
        <is>
          <t>Defence Tech</t>
        </is>
      </c>
      <c r="D1145" t="inlineStr">
        <is>
          <t>PAC</t>
        </is>
      </c>
      <c r="E1145" s="44">
        <f>IFERROR(VLOOKUP(C1145,Assets!$A:$F,6,FALSE),0)</f>
        <v/>
      </c>
      <c r="F1145" t="inlineStr">
        <is>
          <t>Auto</t>
        </is>
      </c>
      <c r="G1145" s="44" t="n"/>
      <c r="H1145" s="44">
        <f>IF(F1145="No",0,IF(F1145="Edited",IF(G1145="",E1145,G1145),E1145))</f>
        <v/>
      </c>
    </row>
    <row r="1146">
      <c r="A1146" s="41" t="n">
        <v>50465</v>
      </c>
      <c r="B1146" s="32">
        <f>DATE(YEAR(A1146),MONTH(A1146),1)</f>
        <v/>
      </c>
      <c r="C1146" t="inlineStr">
        <is>
          <t>Core MSCI World</t>
        </is>
      </c>
      <c r="D1146" t="inlineStr">
        <is>
          <t>PAC</t>
        </is>
      </c>
      <c r="E1146" s="44">
        <f>IFERROR(VLOOKUP(C1146,Assets!$A:$F,6,FALSE),0)</f>
        <v/>
      </c>
      <c r="F1146" t="inlineStr">
        <is>
          <t>Auto</t>
        </is>
      </c>
      <c r="G1146" s="44" t="n"/>
      <c r="H1146" s="44">
        <f>IF(F1146="No",0,IF(F1146="Edited",IF(G1146="",E1146,G1146),E1146))</f>
        <v/>
      </c>
    </row>
    <row r="1147">
      <c r="A1147" s="41" t="n">
        <v>50465</v>
      </c>
      <c r="B1147" s="32">
        <f>DATE(YEAR(A1147),MONTH(A1147),1)</f>
        <v/>
      </c>
      <c r="C1147" t="inlineStr">
        <is>
          <t>AI &amp; Big Data</t>
        </is>
      </c>
      <c r="D1147" t="inlineStr">
        <is>
          <t>PAC</t>
        </is>
      </c>
      <c r="E1147" s="44">
        <f>IFERROR(VLOOKUP(C1147,Assets!$A:$F,6,FALSE),0)</f>
        <v/>
      </c>
      <c r="F1147" t="inlineStr">
        <is>
          <t>Auto</t>
        </is>
      </c>
      <c r="G1147" s="44" t="n"/>
      <c r="H1147" s="44">
        <f>IF(F1147="No",0,IF(F1147="Edited",IF(G1147="",E1147,G1147),E1147))</f>
        <v/>
      </c>
    </row>
    <row r="1148">
      <c r="A1148" s="41" t="n">
        <v>50465</v>
      </c>
      <c r="B1148" s="32">
        <f>DATE(YEAR(A1148),MONTH(A1148),1)</f>
        <v/>
      </c>
      <c r="C1148" t="inlineStr">
        <is>
          <t>Physical Gold</t>
        </is>
      </c>
      <c r="D1148" t="inlineStr">
        <is>
          <t>PAC</t>
        </is>
      </c>
      <c r="E1148" s="44">
        <f>IFERROR(VLOOKUP(C1148,Assets!$A:$F,6,FALSE),0)</f>
        <v/>
      </c>
      <c r="F1148" t="inlineStr">
        <is>
          <t>Auto</t>
        </is>
      </c>
      <c r="G1148" s="44" t="n"/>
      <c r="H1148" s="44">
        <f>IF(F1148="No",0,IF(F1148="Edited",IF(G1148="",E1148,G1148),E1148))</f>
        <v/>
      </c>
    </row>
    <row r="1149">
      <c r="A1149" s="41" t="n">
        <v>50465</v>
      </c>
      <c r="B1149" s="32">
        <f>DATE(YEAR(A1149),MONTH(A1149),1)</f>
        <v/>
      </c>
      <c r="C1149" t="inlineStr">
        <is>
          <t>Global Gov Bond</t>
        </is>
      </c>
      <c r="D1149" t="inlineStr">
        <is>
          <t>PAC</t>
        </is>
      </c>
      <c r="E1149" s="44">
        <f>IFERROR(VLOOKUP(C1149,Assets!$A:$F,6,FALSE),0)</f>
        <v/>
      </c>
      <c r="F1149" t="inlineStr">
        <is>
          <t>Auto</t>
        </is>
      </c>
      <c r="G1149" s="44" t="n"/>
      <c r="H1149" s="44">
        <f>IF(F1149="No",0,IF(F1149="Edited",IF(G1149="",E1149,G1149),E1149))</f>
        <v/>
      </c>
    </row>
    <row r="1150">
      <c r="A1150" s="41" t="n">
        <v>50465</v>
      </c>
      <c r="B1150" s="32">
        <f>DATE(YEAR(A1150),MONTH(A1150),1)</f>
        <v/>
      </c>
      <c r="C1150" t="inlineStr">
        <is>
          <t>Core EUR Corp Bond</t>
        </is>
      </c>
      <c r="D1150" t="inlineStr">
        <is>
          <t>PAC</t>
        </is>
      </c>
      <c r="E1150" s="44">
        <f>IFERROR(VLOOKUP(C1150,Assets!$A:$F,6,FALSE),0)</f>
        <v/>
      </c>
      <c r="F1150" t="inlineStr">
        <is>
          <t>Auto</t>
        </is>
      </c>
      <c r="G1150" s="44" t="n"/>
      <c r="H1150" s="44">
        <f>IF(F1150="No",0,IF(F1150="Edited",IF(G1150="",E1150,G1150),E1150))</f>
        <v/>
      </c>
    </row>
    <row r="1151">
      <c r="A1151" s="41" t="n">
        <v>50465</v>
      </c>
      <c r="B1151" s="32">
        <f>DATE(YEAR(A1151),MONTH(A1151),1)</f>
        <v/>
      </c>
      <c r="C1151" t="inlineStr">
        <is>
          <t>MSCI World Value</t>
        </is>
      </c>
      <c r="D1151" t="inlineStr">
        <is>
          <t>PAC</t>
        </is>
      </c>
      <c r="E1151" s="44">
        <f>IFERROR(VLOOKUP(C1151,Assets!$A:$F,6,FALSE),0)</f>
        <v/>
      </c>
      <c r="F1151" t="inlineStr">
        <is>
          <t>Auto</t>
        </is>
      </c>
      <c r="G1151" s="44" t="n"/>
      <c r="H1151" s="44">
        <f>IF(F1151="No",0,IF(F1151="Edited",IF(G1151="",E1151,G1151),E1151))</f>
        <v/>
      </c>
    </row>
    <row r="1152">
      <c r="A1152" s="41" t="n">
        <v>50465</v>
      </c>
      <c r="B1152" s="32">
        <f>DATE(YEAR(A1152),MONTH(A1152),1)</f>
        <v/>
      </c>
      <c r="C1152" t="inlineStr">
        <is>
          <t>MSCI EM</t>
        </is>
      </c>
      <c r="D1152" t="inlineStr">
        <is>
          <t>PAC</t>
        </is>
      </c>
      <c r="E1152" s="44">
        <f>IFERROR(VLOOKUP(C1152,Assets!$A:$F,6,FALSE),0)</f>
        <v/>
      </c>
      <c r="F1152" t="inlineStr">
        <is>
          <t>Auto</t>
        </is>
      </c>
      <c r="G1152" s="44" t="n"/>
      <c r="H1152" s="44">
        <f>IF(F1152="No",0,IF(F1152="Edited",IF(G1152="",E1152,G1152),E1152))</f>
        <v/>
      </c>
    </row>
    <row r="1153">
      <c r="A1153" s="41" t="n">
        <v>50465</v>
      </c>
      <c r="B1153" s="32">
        <f>DATE(YEAR(A1153),MONTH(A1153),1)</f>
        <v/>
      </c>
      <c r="C1153" t="inlineStr">
        <is>
          <t>Defence Tech</t>
        </is>
      </c>
      <c r="D1153" t="inlineStr">
        <is>
          <t>PAC</t>
        </is>
      </c>
      <c r="E1153" s="44">
        <f>IFERROR(VLOOKUP(C1153,Assets!$A:$F,6,FALSE),0)</f>
        <v/>
      </c>
      <c r="F1153" t="inlineStr">
        <is>
          <t>Auto</t>
        </is>
      </c>
      <c r="G1153" s="44" t="n"/>
      <c r="H1153" s="44">
        <f>IF(F1153="No",0,IF(F1153="Edited",IF(G1153="",E1153,G1153),E1153))</f>
        <v/>
      </c>
    </row>
    <row r="1154">
      <c r="A1154" s="41" t="n">
        <v>50496</v>
      </c>
      <c r="B1154" s="32">
        <f>DATE(YEAR(A1154),MONTH(A1154),1)</f>
        <v/>
      </c>
      <c r="C1154" t="inlineStr">
        <is>
          <t>Core MSCI World</t>
        </is>
      </c>
      <c r="D1154" t="inlineStr">
        <is>
          <t>PAC</t>
        </is>
      </c>
      <c r="E1154" s="44">
        <f>IFERROR(VLOOKUP(C1154,Assets!$A:$F,6,FALSE),0)</f>
        <v/>
      </c>
      <c r="F1154" t="inlineStr">
        <is>
          <t>Auto</t>
        </is>
      </c>
      <c r="G1154" s="44" t="n"/>
      <c r="H1154" s="44">
        <f>IF(F1154="No",0,IF(F1154="Edited",IF(G1154="",E1154,G1154),E1154))</f>
        <v/>
      </c>
    </row>
    <row r="1155">
      <c r="A1155" s="41" t="n">
        <v>50496</v>
      </c>
      <c r="B1155" s="32">
        <f>DATE(YEAR(A1155),MONTH(A1155),1)</f>
        <v/>
      </c>
      <c r="C1155" t="inlineStr">
        <is>
          <t>AI &amp; Big Data</t>
        </is>
      </c>
      <c r="D1155" t="inlineStr">
        <is>
          <t>PAC</t>
        </is>
      </c>
      <c r="E1155" s="44">
        <f>IFERROR(VLOOKUP(C1155,Assets!$A:$F,6,FALSE),0)</f>
        <v/>
      </c>
      <c r="F1155" t="inlineStr">
        <is>
          <t>Auto</t>
        </is>
      </c>
      <c r="G1155" s="44" t="n"/>
      <c r="H1155" s="44">
        <f>IF(F1155="No",0,IF(F1155="Edited",IF(G1155="",E1155,G1155),E1155))</f>
        <v/>
      </c>
    </row>
    <row r="1156">
      <c r="A1156" s="41" t="n">
        <v>50496</v>
      </c>
      <c r="B1156" s="32">
        <f>DATE(YEAR(A1156),MONTH(A1156),1)</f>
        <v/>
      </c>
      <c r="C1156" t="inlineStr">
        <is>
          <t>Physical Gold</t>
        </is>
      </c>
      <c r="D1156" t="inlineStr">
        <is>
          <t>PAC</t>
        </is>
      </c>
      <c r="E1156" s="44">
        <f>IFERROR(VLOOKUP(C1156,Assets!$A:$F,6,FALSE),0)</f>
        <v/>
      </c>
      <c r="F1156" t="inlineStr">
        <is>
          <t>Auto</t>
        </is>
      </c>
      <c r="G1156" s="44" t="n"/>
      <c r="H1156" s="44">
        <f>IF(F1156="No",0,IF(F1156="Edited",IF(G1156="",E1156,G1156),E1156))</f>
        <v/>
      </c>
    </row>
    <row r="1157">
      <c r="A1157" s="41" t="n">
        <v>50496</v>
      </c>
      <c r="B1157" s="32">
        <f>DATE(YEAR(A1157),MONTH(A1157),1)</f>
        <v/>
      </c>
      <c r="C1157" t="inlineStr">
        <is>
          <t>Global Gov Bond</t>
        </is>
      </c>
      <c r="D1157" t="inlineStr">
        <is>
          <t>PAC</t>
        </is>
      </c>
      <c r="E1157" s="44">
        <f>IFERROR(VLOOKUP(C1157,Assets!$A:$F,6,FALSE),0)</f>
        <v/>
      </c>
      <c r="F1157" t="inlineStr">
        <is>
          <t>Auto</t>
        </is>
      </c>
      <c r="G1157" s="44" t="n"/>
      <c r="H1157" s="44">
        <f>IF(F1157="No",0,IF(F1157="Edited",IF(G1157="",E1157,G1157),E1157))</f>
        <v/>
      </c>
    </row>
    <row r="1158">
      <c r="A1158" s="41" t="n">
        <v>50496</v>
      </c>
      <c r="B1158" s="32">
        <f>DATE(YEAR(A1158),MONTH(A1158),1)</f>
        <v/>
      </c>
      <c r="C1158" t="inlineStr">
        <is>
          <t>Core EUR Corp Bond</t>
        </is>
      </c>
      <c r="D1158" t="inlineStr">
        <is>
          <t>PAC</t>
        </is>
      </c>
      <c r="E1158" s="44">
        <f>IFERROR(VLOOKUP(C1158,Assets!$A:$F,6,FALSE),0)</f>
        <v/>
      </c>
      <c r="F1158" t="inlineStr">
        <is>
          <t>Auto</t>
        </is>
      </c>
      <c r="G1158" s="44" t="n"/>
      <c r="H1158" s="44">
        <f>IF(F1158="No",0,IF(F1158="Edited",IF(G1158="",E1158,G1158),E1158))</f>
        <v/>
      </c>
    </row>
    <row r="1159">
      <c r="A1159" s="41" t="n">
        <v>50496</v>
      </c>
      <c r="B1159" s="32">
        <f>DATE(YEAR(A1159),MONTH(A1159),1)</f>
        <v/>
      </c>
      <c r="C1159" t="inlineStr">
        <is>
          <t>MSCI World Value</t>
        </is>
      </c>
      <c r="D1159" t="inlineStr">
        <is>
          <t>PAC</t>
        </is>
      </c>
      <c r="E1159" s="44">
        <f>IFERROR(VLOOKUP(C1159,Assets!$A:$F,6,FALSE),0)</f>
        <v/>
      </c>
      <c r="F1159" t="inlineStr">
        <is>
          <t>Auto</t>
        </is>
      </c>
      <c r="G1159" s="44" t="n"/>
      <c r="H1159" s="44">
        <f>IF(F1159="No",0,IF(F1159="Edited",IF(G1159="",E1159,G1159),E1159))</f>
        <v/>
      </c>
    </row>
    <row r="1160">
      <c r="A1160" s="41" t="n">
        <v>50496</v>
      </c>
      <c r="B1160" s="32">
        <f>DATE(YEAR(A1160),MONTH(A1160),1)</f>
        <v/>
      </c>
      <c r="C1160" t="inlineStr">
        <is>
          <t>MSCI EM</t>
        </is>
      </c>
      <c r="D1160" t="inlineStr">
        <is>
          <t>PAC</t>
        </is>
      </c>
      <c r="E1160" s="44">
        <f>IFERROR(VLOOKUP(C1160,Assets!$A:$F,6,FALSE),0)</f>
        <v/>
      </c>
      <c r="F1160" t="inlineStr">
        <is>
          <t>Auto</t>
        </is>
      </c>
      <c r="G1160" s="44" t="n"/>
      <c r="H1160" s="44">
        <f>IF(F1160="No",0,IF(F1160="Edited",IF(G1160="",E1160,G1160),E1160))</f>
        <v/>
      </c>
    </row>
    <row r="1161">
      <c r="A1161" s="41" t="n">
        <v>50496</v>
      </c>
      <c r="B1161" s="32">
        <f>DATE(YEAR(A1161),MONTH(A1161),1)</f>
        <v/>
      </c>
      <c r="C1161" t="inlineStr">
        <is>
          <t>Defence Tech</t>
        </is>
      </c>
      <c r="D1161" t="inlineStr">
        <is>
          <t>PAC</t>
        </is>
      </c>
      <c r="E1161" s="44">
        <f>IFERROR(VLOOKUP(C1161,Assets!$A:$F,6,FALSE),0)</f>
        <v/>
      </c>
      <c r="F1161" t="inlineStr">
        <is>
          <t>Auto</t>
        </is>
      </c>
      <c r="G1161" s="44" t="n"/>
      <c r="H1161" s="44">
        <f>IF(F1161="No",0,IF(F1161="Edited",IF(G1161="",E1161,G1161),E1161))</f>
        <v/>
      </c>
    </row>
    <row r="1162">
      <c r="A1162" s="41" t="n">
        <v>50526</v>
      </c>
      <c r="B1162" s="32">
        <f>DATE(YEAR(A1162),MONTH(A1162),1)</f>
        <v/>
      </c>
      <c r="C1162" t="inlineStr">
        <is>
          <t>Core MSCI World</t>
        </is>
      </c>
      <c r="D1162" t="inlineStr">
        <is>
          <t>PAC</t>
        </is>
      </c>
      <c r="E1162" s="44">
        <f>IFERROR(VLOOKUP(C1162,Assets!$A:$F,6,FALSE),0)</f>
        <v/>
      </c>
      <c r="F1162" t="inlineStr">
        <is>
          <t>Auto</t>
        </is>
      </c>
      <c r="G1162" s="44" t="n"/>
      <c r="H1162" s="44">
        <f>IF(F1162="No",0,IF(F1162="Edited",IF(G1162="",E1162,G1162),E1162))</f>
        <v/>
      </c>
    </row>
    <row r="1163">
      <c r="A1163" s="41" t="n">
        <v>50526</v>
      </c>
      <c r="B1163" s="32">
        <f>DATE(YEAR(A1163),MONTH(A1163),1)</f>
        <v/>
      </c>
      <c r="C1163" t="inlineStr">
        <is>
          <t>AI &amp; Big Data</t>
        </is>
      </c>
      <c r="D1163" t="inlineStr">
        <is>
          <t>PAC</t>
        </is>
      </c>
      <c r="E1163" s="44">
        <f>IFERROR(VLOOKUP(C1163,Assets!$A:$F,6,FALSE),0)</f>
        <v/>
      </c>
      <c r="F1163" t="inlineStr">
        <is>
          <t>Auto</t>
        </is>
      </c>
      <c r="G1163" s="44" t="n"/>
      <c r="H1163" s="44">
        <f>IF(F1163="No",0,IF(F1163="Edited",IF(G1163="",E1163,G1163),E1163))</f>
        <v/>
      </c>
    </row>
    <row r="1164">
      <c r="A1164" s="41" t="n">
        <v>50526</v>
      </c>
      <c r="B1164" s="32">
        <f>DATE(YEAR(A1164),MONTH(A1164),1)</f>
        <v/>
      </c>
      <c r="C1164" t="inlineStr">
        <is>
          <t>Physical Gold</t>
        </is>
      </c>
      <c r="D1164" t="inlineStr">
        <is>
          <t>PAC</t>
        </is>
      </c>
      <c r="E1164" s="44">
        <f>IFERROR(VLOOKUP(C1164,Assets!$A:$F,6,FALSE),0)</f>
        <v/>
      </c>
      <c r="F1164" t="inlineStr">
        <is>
          <t>Auto</t>
        </is>
      </c>
      <c r="G1164" s="44" t="n"/>
      <c r="H1164" s="44">
        <f>IF(F1164="No",0,IF(F1164="Edited",IF(G1164="",E1164,G1164),E1164))</f>
        <v/>
      </c>
    </row>
    <row r="1165">
      <c r="A1165" s="41" t="n">
        <v>50526</v>
      </c>
      <c r="B1165" s="32">
        <f>DATE(YEAR(A1165),MONTH(A1165),1)</f>
        <v/>
      </c>
      <c r="C1165" t="inlineStr">
        <is>
          <t>Global Gov Bond</t>
        </is>
      </c>
      <c r="D1165" t="inlineStr">
        <is>
          <t>PAC</t>
        </is>
      </c>
      <c r="E1165" s="44">
        <f>IFERROR(VLOOKUP(C1165,Assets!$A:$F,6,FALSE),0)</f>
        <v/>
      </c>
      <c r="F1165" t="inlineStr">
        <is>
          <t>Auto</t>
        </is>
      </c>
      <c r="G1165" s="44" t="n"/>
      <c r="H1165" s="44">
        <f>IF(F1165="No",0,IF(F1165="Edited",IF(G1165="",E1165,G1165),E1165))</f>
        <v/>
      </c>
    </row>
    <row r="1166">
      <c r="A1166" s="41" t="n">
        <v>50526</v>
      </c>
      <c r="B1166" s="32">
        <f>DATE(YEAR(A1166),MONTH(A1166),1)</f>
        <v/>
      </c>
      <c r="C1166" t="inlineStr">
        <is>
          <t>Core EUR Corp Bond</t>
        </is>
      </c>
      <c r="D1166" t="inlineStr">
        <is>
          <t>PAC</t>
        </is>
      </c>
      <c r="E1166" s="44">
        <f>IFERROR(VLOOKUP(C1166,Assets!$A:$F,6,FALSE),0)</f>
        <v/>
      </c>
      <c r="F1166" t="inlineStr">
        <is>
          <t>Auto</t>
        </is>
      </c>
      <c r="G1166" s="44" t="n"/>
      <c r="H1166" s="44">
        <f>IF(F1166="No",0,IF(F1166="Edited",IF(G1166="",E1166,G1166),E1166))</f>
        <v/>
      </c>
    </row>
    <row r="1167">
      <c r="A1167" s="41" t="n">
        <v>50526</v>
      </c>
      <c r="B1167" s="32">
        <f>DATE(YEAR(A1167),MONTH(A1167),1)</f>
        <v/>
      </c>
      <c r="C1167" t="inlineStr">
        <is>
          <t>MSCI World Value</t>
        </is>
      </c>
      <c r="D1167" t="inlineStr">
        <is>
          <t>PAC</t>
        </is>
      </c>
      <c r="E1167" s="44">
        <f>IFERROR(VLOOKUP(C1167,Assets!$A:$F,6,FALSE),0)</f>
        <v/>
      </c>
      <c r="F1167" t="inlineStr">
        <is>
          <t>Auto</t>
        </is>
      </c>
      <c r="G1167" s="44" t="n"/>
      <c r="H1167" s="44">
        <f>IF(F1167="No",0,IF(F1167="Edited",IF(G1167="",E1167,G1167),E1167))</f>
        <v/>
      </c>
    </row>
    <row r="1168">
      <c r="A1168" s="41" t="n">
        <v>50526</v>
      </c>
      <c r="B1168" s="32">
        <f>DATE(YEAR(A1168),MONTH(A1168),1)</f>
        <v/>
      </c>
      <c r="C1168" t="inlineStr">
        <is>
          <t>MSCI EM</t>
        </is>
      </c>
      <c r="D1168" t="inlineStr">
        <is>
          <t>PAC</t>
        </is>
      </c>
      <c r="E1168" s="44">
        <f>IFERROR(VLOOKUP(C1168,Assets!$A:$F,6,FALSE),0)</f>
        <v/>
      </c>
      <c r="F1168" t="inlineStr">
        <is>
          <t>Auto</t>
        </is>
      </c>
      <c r="G1168" s="44" t="n"/>
      <c r="H1168" s="44">
        <f>IF(F1168="No",0,IF(F1168="Edited",IF(G1168="",E1168,G1168),E1168))</f>
        <v/>
      </c>
    </row>
    <row r="1169">
      <c r="A1169" s="41" t="n">
        <v>50526</v>
      </c>
      <c r="B1169" s="32">
        <f>DATE(YEAR(A1169),MONTH(A1169),1)</f>
        <v/>
      </c>
      <c r="C1169" t="inlineStr">
        <is>
          <t>Defence Tech</t>
        </is>
      </c>
      <c r="D1169" t="inlineStr">
        <is>
          <t>PAC</t>
        </is>
      </c>
      <c r="E1169" s="44">
        <f>IFERROR(VLOOKUP(C1169,Assets!$A:$F,6,FALSE),0)</f>
        <v/>
      </c>
      <c r="F1169" t="inlineStr">
        <is>
          <t>Auto</t>
        </is>
      </c>
      <c r="G1169" s="44" t="n"/>
      <c r="H1169" s="44">
        <f>IF(F1169="No",0,IF(F1169="Edited",IF(G1169="",E1169,G1169),E1169))</f>
        <v/>
      </c>
    </row>
    <row r="1170">
      <c r="A1170" s="41" t="n">
        <v>50557</v>
      </c>
      <c r="B1170" s="32">
        <f>DATE(YEAR(A1170),MONTH(A1170),1)</f>
        <v/>
      </c>
      <c r="C1170" t="inlineStr">
        <is>
          <t>Core MSCI World</t>
        </is>
      </c>
      <c r="D1170" t="inlineStr">
        <is>
          <t>PAC</t>
        </is>
      </c>
      <c r="E1170" s="44">
        <f>IFERROR(VLOOKUP(C1170,Assets!$A:$F,6,FALSE),0)</f>
        <v/>
      </c>
      <c r="F1170" t="inlineStr">
        <is>
          <t>Auto</t>
        </is>
      </c>
      <c r="G1170" s="44" t="n"/>
      <c r="H1170" s="44">
        <f>IF(F1170="No",0,IF(F1170="Edited",IF(G1170="",E1170,G1170),E1170))</f>
        <v/>
      </c>
    </row>
    <row r="1171">
      <c r="A1171" s="41" t="n">
        <v>50557</v>
      </c>
      <c r="B1171" s="32">
        <f>DATE(YEAR(A1171),MONTH(A1171),1)</f>
        <v/>
      </c>
      <c r="C1171" t="inlineStr">
        <is>
          <t>AI &amp; Big Data</t>
        </is>
      </c>
      <c r="D1171" t="inlineStr">
        <is>
          <t>PAC</t>
        </is>
      </c>
      <c r="E1171" s="44">
        <f>IFERROR(VLOOKUP(C1171,Assets!$A:$F,6,FALSE),0)</f>
        <v/>
      </c>
      <c r="F1171" t="inlineStr">
        <is>
          <t>Auto</t>
        </is>
      </c>
      <c r="G1171" s="44" t="n"/>
      <c r="H1171" s="44">
        <f>IF(F1171="No",0,IF(F1171="Edited",IF(G1171="",E1171,G1171),E1171))</f>
        <v/>
      </c>
    </row>
    <row r="1172">
      <c r="A1172" s="41" t="n">
        <v>50557</v>
      </c>
      <c r="B1172" s="32">
        <f>DATE(YEAR(A1172),MONTH(A1172),1)</f>
        <v/>
      </c>
      <c r="C1172" t="inlineStr">
        <is>
          <t>Physical Gold</t>
        </is>
      </c>
      <c r="D1172" t="inlineStr">
        <is>
          <t>PAC</t>
        </is>
      </c>
      <c r="E1172" s="44">
        <f>IFERROR(VLOOKUP(C1172,Assets!$A:$F,6,FALSE),0)</f>
        <v/>
      </c>
      <c r="F1172" t="inlineStr">
        <is>
          <t>Auto</t>
        </is>
      </c>
      <c r="G1172" s="44" t="n"/>
      <c r="H1172" s="44">
        <f>IF(F1172="No",0,IF(F1172="Edited",IF(G1172="",E1172,G1172),E1172))</f>
        <v/>
      </c>
    </row>
    <row r="1173">
      <c r="A1173" s="41" t="n">
        <v>50557</v>
      </c>
      <c r="B1173" s="32">
        <f>DATE(YEAR(A1173),MONTH(A1173),1)</f>
        <v/>
      </c>
      <c r="C1173" t="inlineStr">
        <is>
          <t>Global Gov Bond</t>
        </is>
      </c>
      <c r="D1173" t="inlineStr">
        <is>
          <t>PAC</t>
        </is>
      </c>
      <c r="E1173" s="44">
        <f>IFERROR(VLOOKUP(C1173,Assets!$A:$F,6,FALSE),0)</f>
        <v/>
      </c>
      <c r="F1173" t="inlineStr">
        <is>
          <t>Auto</t>
        </is>
      </c>
      <c r="G1173" s="44" t="n"/>
      <c r="H1173" s="44">
        <f>IF(F1173="No",0,IF(F1173="Edited",IF(G1173="",E1173,G1173),E1173))</f>
        <v/>
      </c>
    </row>
    <row r="1174">
      <c r="A1174" s="41" t="n">
        <v>50557</v>
      </c>
      <c r="B1174" s="32">
        <f>DATE(YEAR(A1174),MONTH(A1174),1)</f>
        <v/>
      </c>
      <c r="C1174" t="inlineStr">
        <is>
          <t>Core EUR Corp Bond</t>
        </is>
      </c>
      <c r="D1174" t="inlineStr">
        <is>
          <t>PAC</t>
        </is>
      </c>
      <c r="E1174" s="44">
        <f>IFERROR(VLOOKUP(C1174,Assets!$A:$F,6,FALSE),0)</f>
        <v/>
      </c>
      <c r="F1174" t="inlineStr">
        <is>
          <t>Auto</t>
        </is>
      </c>
      <c r="G1174" s="44" t="n"/>
      <c r="H1174" s="44">
        <f>IF(F1174="No",0,IF(F1174="Edited",IF(G1174="",E1174,G1174),E1174))</f>
        <v/>
      </c>
    </row>
    <row r="1175">
      <c r="A1175" s="41" t="n">
        <v>50557</v>
      </c>
      <c r="B1175" s="32">
        <f>DATE(YEAR(A1175),MONTH(A1175),1)</f>
        <v/>
      </c>
      <c r="C1175" t="inlineStr">
        <is>
          <t>MSCI World Value</t>
        </is>
      </c>
      <c r="D1175" t="inlineStr">
        <is>
          <t>PAC</t>
        </is>
      </c>
      <c r="E1175" s="44">
        <f>IFERROR(VLOOKUP(C1175,Assets!$A:$F,6,FALSE),0)</f>
        <v/>
      </c>
      <c r="F1175" t="inlineStr">
        <is>
          <t>Auto</t>
        </is>
      </c>
      <c r="G1175" s="44" t="n"/>
      <c r="H1175" s="44">
        <f>IF(F1175="No",0,IF(F1175="Edited",IF(G1175="",E1175,G1175),E1175))</f>
        <v/>
      </c>
    </row>
    <row r="1176">
      <c r="A1176" s="41" t="n">
        <v>50557</v>
      </c>
      <c r="B1176" s="32">
        <f>DATE(YEAR(A1176),MONTH(A1176),1)</f>
        <v/>
      </c>
      <c r="C1176" t="inlineStr">
        <is>
          <t>MSCI EM</t>
        </is>
      </c>
      <c r="D1176" t="inlineStr">
        <is>
          <t>PAC</t>
        </is>
      </c>
      <c r="E1176" s="44">
        <f>IFERROR(VLOOKUP(C1176,Assets!$A:$F,6,FALSE),0)</f>
        <v/>
      </c>
      <c r="F1176" t="inlineStr">
        <is>
          <t>Auto</t>
        </is>
      </c>
      <c r="G1176" s="44" t="n"/>
      <c r="H1176" s="44">
        <f>IF(F1176="No",0,IF(F1176="Edited",IF(G1176="",E1176,G1176),E1176))</f>
        <v/>
      </c>
    </row>
    <row r="1177">
      <c r="A1177" s="41" t="n">
        <v>50557</v>
      </c>
      <c r="B1177" s="32">
        <f>DATE(YEAR(A1177),MONTH(A1177),1)</f>
        <v/>
      </c>
      <c r="C1177" t="inlineStr">
        <is>
          <t>Defence Tech</t>
        </is>
      </c>
      <c r="D1177" t="inlineStr">
        <is>
          <t>PAC</t>
        </is>
      </c>
      <c r="E1177" s="44">
        <f>IFERROR(VLOOKUP(C1177,Assets!$A:$F,6,FALSE),0)</f>
        <v/>
      </c>
      <c r="F1177" t="inlineStr">
        <is>
          <t>Auto</t>
        </is>
      </c>
      <c r="G1177" s="44" t="n"/>
      <c r="H1177" s="44">
        <f>IF(F1177="No",0,IF(F1177="Edited",IF(G1177="",E1177,G1177),E1177))</f>
        <v/>
      </c>
    </row>
    <row r="1178">
      <c r="A1178" s="41" t="n">
        <v>50587</v>
      </c>
      <c r="B1178" s="32">
        <f>DATE(YEAR(A1178),MONTH(A1178),1)</f>
        <v/>
      </c>
      <c r="C1178" t="inlineStr">
        <is>
          <t>Core MSCI World</t>
        </is>
      </c>
      <c r="D1178" t="inlineStr">
        <is>
          <t>PAC</t>
        </is>
      </c>
      <c r="E1178" s="44">
        <f>IFERROR(VLOOKUP(C1178,Assets!$A:$F,6,FALSE),0)</f>
        <v/>
      </c>
      <c r="F1178" t="inlineStr">
        <is>
          <t>Auto</t>
        </is>
      </c>
      <c r="G1178" s="44" t="n"/>
      <c r="H1178" s="44">
        <f>IF(F1178="No",0,IF(F1178="Edited",IF(G1178="",E1178,G1178),E1178))</f>
        <v/>
      </c>
    </row>
    <row r="1179">
      <c r="A1179" s="41" t="n">
        <v>50587</v>
      </c>
      <c r="B1179" s="32">
        <f>DATE(YEAR(A1179),MONTH(A1179),1)</f>
        <v/>
      </c>
      <c r="C1179" t="inlineStr">
        <is>
          <t>AI &amp; Big Data</t>
        </is>
      </c>
      <c r="D1179" t="inlineStr">
        <is>
          <t>PAC</t>
        </is>
      </c>
      <c r="E1179" s="44">
        <f>IFERROR(VLOOKUP(C1179,Assets!$A:$F,6,FALSE),0)</f>
        <v/>
      </c>
      <c r="F1179" t="inlineStr">
        <is>
          <t>Auto</t>
        </is>
      </c>
      <c r="G1179" s="44" t="n"/>
      <c r="H1179" s="44">
        <f>IF(F1179="No",0,IF(F1179="Edited",IF(G1179="",E1179,G1179),E1179))</f>
        <v/>
      </c>
    </row>
    <row r="1180">
      <c r="A1180" s="41" t="n">
        <v>50587</v>
      </c>
      <c r="B1180" s="32">
        <f>DATE(YEAR(A1180),MONTH(A1180),1)</f>
        <v/>
      </c>
      <c r="C1180" t="inlineStr">
        <is>
          <t>Physical Gold</t>
        </is>
      </c>
      <c r="D1180" t="inlineStr">
        <is>
          <t>PAC</t>
        </is>
      </c>
      <c r="E1180" s="44">
        <f>IFERROR(VLOOKUP(C1180,Assets!$A:$F,6,FALSE),0)</f>
        <v/>
      </c>
      <c r="F1180" t="inlineStr">
        <is>
          <t>Auto</t>
        </is>
      </c>
      <c r="G1180" s="44" t="n"/>
      <c r="H1180" s="44">
        <f>IF(F1180="No",0,IF(F1180="Edited",IF(G1180="",E1180,G1180),E1180))</f>
        <v/>
      </c>
    </row>
    <row r="1181">
      <c r="A1181" s="41" t="n">
        <v>50587</v>
      </c>
      <c r="B1181" s="32">
        <f>DATE(YEAR(A1181),MONTH(A1181),1)</f>
        <v/>
      </c>
      <c r="C1181" t="inlineStr">
        <is>
          <t>Global Gov Bond</t>
        </is>
      </c>
      <c r="D1181" t="inlineStr">
        <is>
          <t>PAC</t>
        </is>
      </c>
      <c r="E1181" s="44">
        <f>IFERROR(VLOOKUP(C1181,Assets!$A:$F,6,FALSE),0)</f>
        <v/>
      </c>
      <c r="F1181" t="inlineStr">
        <is>
          <t>Auto</t>
        </is>
      </c>
      <c r="G1181" s="44" t="n"/>
      <c r="H1181" s="44">
        <f>IF(F1181="No",0,IF(F1181="Edited",IF(G1181="",E1181,G1181),E1181))</f>
        <v/>
      </c>
    </row>
    <row r="1182">
      <c r="A1182" s="41" t="n">
        <v>50587</v>
      </c>
      <c r="B1182" s="32">
        <f>DATE(YEAR(A1182),MONTH(A1182),1)</f>
        <v/>
      </c>
      <c r="C1182" t="inlineStr">
        <is>
          <t>Core EUR Corp Bond</t>
        </is>
      </c>
      <c r="D1182" t="inlineStr">
        <is>
          <t>PAC</t>
        </is>
      </c>
      <c r="E1182" s="44">
        <f>IFERROR(VLOOKUP(C1182,Assets!$A:$F,6,FALSE),0)</f>
        <v/>
      </c>
      <c r="F1182" t="inlineStr">
        <is>
          <t>Auto</t>
        </is>
      </c>
      <c r="G1182" s="44" t="n"/>
      <c r="H1182" s="44">
        <f>IF(F1182="No",0,IF(F1182="Edited",IF(G1182="",E1182,G1182),E1182))</f>
        <v/>
      </c>
    </row>
    <row r="1183">
      <c r="A1183" s="41" t="n">
        <v>50587</v>
      </c>
      <c r="B1183" s="32">
        <f>DATE(YEAR(A1183),MONTH(A1183),1)</f>
        <v/>
      </c>
      <c r="C1183" t="inlineStr">
        <is>
          <t>MSCI World Value</t>
        </is>
      </c>
      <c r="D1183" t="inlineStr">
        <is>
          <t>PAC</t>
        </is>
      </c>
      <c r="E1183" s="44">
        <f>IFERROR(VLOOKUP(C1183,Assets!$A:$F,6,FALSE),0)</f>
        <v/>
      </c>
      <c r="F1183" t="inlineStr">
        <is>
          <t>Auto</t>
        </is>
      </c>
      <c r="G1183" s="44" t="n"/>
      <c r="H1183" s="44">
        <f>IF(F1183="No",0,IF(F1183="Edited",IF(G1183="",E1183,G1183),E1183))</f>
        <v/>
      </c>
    </row>
    <row r="1184">
      <c r="A1184" s="41" t="n">
        <v>50587</v>
      </c>
      <c r="B1184" s="32">
        <f>DATE(YEAR(A1184),MONTH(A1184),1)</f>
        <v/>
      </c>
      <c r="C1184" t="inlineStr">
        <is>
          <t>MSCI EM</t>
        </is>
      </c>
      <c r="D1184" t="inlineStr">
        <is>
          <t>PAC</t>
        </is>
      </c>
      <c r="E1184" s="44">
        <f>IFERROR(VLOOKUP(C1184,Assets!$A:$F,6,FALSE),0)</f>
        <v/>
      </c>
      <c r="F1184" t="inlineStr">
        <is>
          <t>Auto</t>
        </is>
      </c>
      <c r="G1184" s="44" t="n"/>
      <c r="H1184" s="44">
        <f>IF(F1184="No",0,IF(F1184="Edited",IF(G1184="",E1184,G1184),E1184))</f>
        <v/>
      </c>
    </row>
    <row r="1185">
      <c r="A1185" s="41" t="n">
        <v>50587</v>
      </c>
      <c r="B1185" s="32">
        <f>DATE(YEAR(A1185),MONTH(A1185),1)</f>
        <v/>
      </c>
      <c r="C1185" t="inlineStr">
        <is>
          <t>Defence Tech</t>
        </is>
      </c>
      <c r="D1185" t="inlineStr">
        <is>
          <t>PAC</t>
        </is>
      </c>
      <c r="E1185" s="44">
        <f>IFERROR(VLOOKUP(C1185,Assets!$A:$F,6,FALSE),0)</f>
        <v/>
      </c>
      <c r="F1185" t="inlineStr">
        <is>
          <t>Auto</t>
        </is>
      </c>
      <c r="G1185" s="44" t="n"/>
      <c r="H1185" s="44">
        <f>IF(F1185="No",0,IF(F1185="Edited",IF(G1185="",E1185,G1185),E1185))</f>
        <v/>
      </c>
    </row>
    <row r="1186">
      <c r="A1186" s="41" t="n">
        <v>50618</v>
      </c>
      <c r="B1186" s="32">
        <f>DATE(YEAR(A1186),MONTH(A1186),1)</f>
        <v/>
      </c>
      <c r="C1186" t="inlineStr">
        <is>
          <t>Core MSCI World</t>
        </is>
      </c>
      <c r="D1186" t="inlineStr">
        <is>
          <t>PAC</t>
        </is>
      </c>
      <c r="E1186" s="44">
        <f>IFERROR(VLOOKUP(C1186,Assets!$A:$F,6,FALSE),0)</f>
        <v/>
      </c>
      <c r="F1186" t="inlineStr">
        <is>
          <t>Auto</t>
        </is>
      </c>
      <c r="G1186" s="44" t="n"/>
      <c r="H1186" s="44">
        <f>IF(F1186="No",0,IF(F1186="Edited",IF(G1186="",E1186,G1186),E1186))</f>
        <v/>
      </c>
    </row>
    <row r="1187">
      <c r="A1187" s="41" t="n">
        <v>50618</v>
      </c>
      <c r="B1187" s="32">
        <f>DATE(YEAR(A1187),MONTH(A1187),1)</f>
        <v/>
      </c>
      <c r="C1187" t="inlineStr">
        <is>
          <t>AI &amp; Big Data</t>
        </is>
      </c>
      <c r="D1187" t="inlineStr">
        <is>
          <t>PAC</t>
        </is>
      </c>
      <c r="E1187" s="44">
        <f>IFERROR(VLOOKUP(C1187,Assets!$A:$F,6,FALSE),0)</f>
        <v/>
      </c>
      <c r="F1187" t="inlineStr">
        <is>
          <t>Auto</t>
        </is>
      </c>
      <c r="G1187" s="44" t="n"/>
      <c r="H1187" s="44">
        <f>IF(F1187="No",0,IF(F1187="Edited",IF(G1187="",E1187,G1187),E1187))</f>
        <v/>
      </c>
    </row>
    <row r="1188">
      <c r="A1188" s="41" t="n">
        <v>50618</v>
      </c>
      <c r="B1188" s="32">
        <f>DATE(YEAR(A1188),MONTH(A1188),1)</f>
        <v/>
      </c>
      <c r="C1188" t="inlineStr">
        <is>
          <t>Physical Gold</t>
        </is>
      </c>
      <c r="D1188" t="inlineStr">
        <is>
          <t>PAC</t>
        </is>
      </c>
      <c r="E1188" s="44">
        <f>IFERROR(VLOOKUP(C1188,Assets!$A:$F,6,FALSE),0)</f>
        <v/>
      </c>
      <c r="F1188" t="inlineStr">
        <is>
          <t>Auto</t>
        </is>
      </c>
      <c r="G1188" s="44" t="n"/>
      <c r="H1188" s="44">
        <f>IF(F1188="No",0,IF(F1188="Edited",IF(G1188="",E1188,G1188),E1188))</f>
        <v/>
      </c>
    </row>
    <row r="1189">
      <c r="A1189" s="41" t="n">
        <v>50618</v>
      </c>
      <c r="B1189" s="32">
        <f>DATE(YEAR(A1189),MONTH(A1189),1)</f>
        <v/>
      </c>
      <c r="C1189" t="inlineStr">
        <is>
          <t>Global Gov Bond</t>
        </is>
      </c>
      <c r="D1189" t="inlineStr">
        <is>
          <t>PAC</t>
        </is>
      </c>
      <c r="E1189" s="44">
        <f>IFERROR(VLOOKUP(C1189,Assets!$A:$F,6,FALSE),0)</f>
        <v/>
      </c>
      <c r="F1189" t="inlineStr">
        <is>
          <t>Auto</t>
        </is>
      </c>
      <c r="G1189" s="44" t="n"/>
      <c r="H1189" s="44">
        <f>IF(F1189="No",0,IF(F1189="Edited",IF(G1189="",E1189,G1189),E1189))</f>
        <v/>
      </c>
    </row>
    <row r="1190">
      <c r="A1190" s="41" t="n">
        <v>50618</v>
      </c>
      <c r="B1190" s="32">
        <f>DATE(YEAR(A1190),MONTH(A1190),1)</f>
        <v/>
      </c>
      <c r="C1190" t="inlineStr">
        <is>
          <t>Core EUR Corp Bond</t>
        </is>
      </c>
      <c r="D1190" t="inlineStr">
        <is>
          <t>PAC</t>
        </is>
      </c>
      <c r="E1190" s="44">
        <f>IFERROR(VLOOKUP(C1190,Assets!$A:$F,6,FALSE),0)</f>
        <v/>
      </c>
      <c r="F1190" t="inlineStr">
        <is>
          <t>Auto</t>
        </is>
      </c>
      <c r="G1190" s="44" t="n"/>
      <c r="H1190" s="44">
        <f>IF(F1190="No",0,IF(F1190="Edited",IF(G1190="",E1190,G1190),E1190))</f>
        <v/>
      </c>
    </row>
    <row r="1191">
      <c r="A1191" s="41" t="n">
        <v>50618</v>
      </c>
      <c r="B1191" s="32">
        <f>DATE(YEAR(A1191),MONTH(A1191),1)</f>
        <v/>
      </c>
      <c r="C1191" t="inlineStr">
        <is>
          <t>MSCI World Value</t>
        </is>
      </c>
      <c r="D1191" t="inlineStr">
        <is>
          <t>PAC</t>
        </is>
      </c>
      <c r="E1191" s="44">
        <f>IFERROR(VLOOKUP(C1191,Assets!$A:$F,6,FALSE),0)</f>
        <v/>
      </c>
      <c r="F1191" t="inlineStr">
        <is>
          <t>Auto</t>
        </is>
      </c>
      <c r="G1191" s="44" t="n"/>
      <c r="H1191" s="44">
        <f>IF(F1191="No",0,IF(F1191="Edited",IF(G1191="",E1191,G1191),E1191))</f>
        <v/>
      </c>
    </row>
    <row r="1192">
      <c r="A1192" s="41" t="n">
        <v>50618</v>
      </c>
      <c r="B1192" s="32">
        <f>DATE(YEAR(A1192),MONTH(A1192),1)</f>
        <v/>
      </c>
      <c r="C1192" t="inlineStr">
        <is>
          <t>MSCI EM</t>
        </is>
      </c>
      <c r="D1192" t="inlineStr">
        <is>
          <t>PAC</t>
        </is>
      </c>
      <c r="E1192" s="44">
        <f>IFERROR(VLOOKUP(C1192,Assets!$A:$F,6,FALSE),0)</f>
        <v/>
      </c>
      <c r="F1192" t="inlineStr">
        <is>
          <t>Auto</t>
        </is>
      </c>
      <c r="G1192" s="44" t="n"/>
      <c r="H1192" s="44">
        <f>IF(F1192="No",0,IF(F1192="Edited",IF(G1192="",E1192,G1192),E1192))</f>
        <v/>
      </c>
    </row>
    <row r="1193">
      <c r="A1193" s="41" t="n">
        <v>50618</v>
      </c>
      <c r="B1193" s="32">
        <f>DATE(YEAR(A1193),MONTH(A1193),1)</f>
        <v/>
      </c>
      <c r="C1193" t="inlineStr">
        <is>
          <t>Defence Tech</t>
        </is>
      </c>
      <c r="D1193" t="inlineStr">
        <is>
          <t>PAC</t>
        </is>
      </c>
      <c r="E1193" s="44">
        <f>IFERROR(VLOOKUP(C1193,Assets!$A:$F,6,FALSE),0)</f>
        <v/>
      </c>
      <c r="F1193" t="inlineStr">
        <is>
          <t>Auto</t>
        </is>
      </c>
      <c r="G1193" s="44" t="n"/>
      <c r="H1193" s="44">
        <f>IF(F1193="No",0,IF(F1193="Edited",IF(G1193="",E1193,G1193),E1193))</f>
        <v/>
      </c>
    </row>
    <row r="1194">
      <c r="A1194" s="41" t="n">
        <v>50649</v>
      </c>
      <c r="B1194" s="32">
        <f>DATE(YEAR(A1194),MONTH(A1194),1)</f>
        <v/>
      </c>
      <c r="C1194" t="inlineStr">
        <is>
          <t>Core MSCI World</t>
        </is>
      </c>
      <c r="D1194" t="inlineStr">
        <is>
          <t>PAC</t>
        </is>
      </c>
      <c r="E1194" s="44">
        <f>IFERROR(VLOOKUP(C1194,Assets!$A:$F,6,FALSE),0)</f>
        <v/>
      </c>
      <c r="F1194" t="inlineStr">
        <is>
          <t>Auto</t>
        </is>
      </c>
      <c r="G1194" s="44" t="n"/>
      <c r="H1194" s="44">
        <f>IF(F1194="No",0,IF(F1194="Edited",IF(G1194="",E1194,G1194),E1194))</f>
        <v/>
      </c>
    </row>
    <row r="1195">
      <c r="A1195" s="41" t="n">
        <v>50649</v>
      </c>
      <c r="B1195" s="32">
        <f>DATE(YEAR(A1195),MONTH(A1195),1)</f>
        <v/>
      </c>
      <c r="C1195" t="inlineStr">
        <is>
          <t>AI &amp; Big Data</t>
        </is>
      </c>
      <c r="D1195" t="inlineStr">
        <is>
          <t>PAC</t>
        </is>
      </c>
      <c r="E1195" s="44">
        <f>IFERROR(VLOOKUP(C1195,Assets!$A:$F,6,FALSE),0)</f>
        <v/>
      </c>
      <c r="F1195" t="inlineStr">
        <is>
          <t>Auto</t>
        </is>
      </c>
      <c r="G1195" s="44" t="n"/>
      <c r="H1195" s="44">
        <f>IF(F1195="No",0,IF(F1195="Edited",IF(G1195="",E1195,G1195),E1195))</f>
        <v/>
      </c>
    </row>
    <row r="1196">
      <c r="A1196" s="41" t="n">
        <v>50649</v>
      </c>
      <c r="B1196" s="32">
        <f>DATE(YEAR(A1196),MONTH(A1196),1)</f>
        <v/>
      </c>
      <c r="C1196" t="inlineStr">
        <is>
          <t>Physical Gold</t>
        </is>
      </c>
      <c r="D1196" t="inlineStr">
        <is>
          <t>PAC</t>
        </is>
      </c>
      <c r="E1196" s="44">
        <f>IFERROR(VLOOKUP(C1196,Assets!$A:$F,6,FALSE),0)</f>
        <v/>
      </c>
      <c r="F1196" t="inlineStr">
        <is>
          <t>Auto</t>
        </is>
      </c>
      <c r="G1196" s="44" t="n"/>
      <c r="H1196" s="44">
        <f>IF(F1196="No",0,IF(F1196="Edited",IF(G1196="",E1196,G1196),E1196))</f>
        <v/>
      </c>
    </row>
    <row r="1197">
      <c r="A1197" s="41" t="n">
        <v>50649</v>
      </c>
      <c r="B1197" s="32">
        <f>DATE(YEAR(A1197),MONTH(A1197),1)</f>
        <v/>
      </c>
      <c r="C1197" t="inlineStr">
        <is>
          <t>Global Gov Bond</t>
        </is>
      </c>
      <c r="D1197" t="inlineStr">
        <is>
          <t>PAC</t>
        </is>
      </c>
      <c r="E1197" s="44">
        <f>IFERROR(VLOOKUP(C1197,Assets!$A:$F,6,FALSE),0)</f>
        <v/>
      </c>
      <c r="F1197" t="inlineStr">
        <is>
          <t>Auto</t>
        </is>
      </c>
      <c r="G1197" s="44" t="n"/>
      <c r="H1197" s="44">
        <f>IF(F1197="No",0,IF(F1197="Edited",IF(G1197="",E1197,G1197),E1197))</f>
        <v/>
      </c>
    </row>
    <row r="1198">
      <c r="A1198" s="41" t="n">
        <v>50649</v>
      </c>
      <c r="B1198" s="32">
        <f>DATE(YEAR(A1198),MONTH(A1198),1)</f>
        <v/>
      </c>
      <c r="C1198" t="inlineStr">
        <is>
          <t>Core EUR Corp Bond</t>
        </is>
      </c>
      <c r="D1198" t="inlineStr">
        <is>
          <t>PAC</t>
        </is>
      </c>
      <c r="E1198" s="44">
        <f>IFERROR(VLOOKUP(C1198,Assets!$A:$F,6,FALSE),0)</f>
        <v/>
      </c>
      <c r="F1198" t="inlineStr">
        <is>
          <t>Auto</t>
        </is>
      </c>
      <c r="G1198" s="44" t="n"/>
      <c r="H1198" s="44">
        <f>IF(F1198="No",0,IF(F1198="Edited",IF(G1198="",E1198,G1198),E1198))</f>
        <v/>
      </c>
    </row>
    <row r="1199">
      <c r="A1199" s="41" t="n">
        <v>50649</v>
      </c>
      <c r="B1199" s="32">
        <f>DATE(YEAR(A1199),MONTH(A1199),1)</f>
        <v/>
      </c>
      <c r="C1199" t="inlineStr">
        <is>
          <t>MSCI World Value</t>
        </is>
      </c>
      <c r="D1199" t="inlineStr">
        <is>
          <t>PAC</t>
        </is>
      </c>
      <c r="E1199" s="44">
        <f>IFERROR(VLOOKUP(C1199,Assets!$A:$F,6,FALSE),0)</f>
        <v/>
      </c>
      <c r="F1199" t="inlineStr">
        <is>
          <t>Auto</t>
        </is>
      </c>
      <c r="G1199" s="44" t="n"/>
      <c r="H1199" s="44">
        <f>IF(F1199="No",0,IF(F1199="Edited",IF(G1199="",E1199,G1199),E1199))</f>
        <v/>
      </c>
    </row>
    <row r="1200">
      <c r="A1200" s="41" t="n">
        <v>50649</v>
      </c>
      <c r="B1200" s="32">
        <f>DATE(YEAR(A1200),MONTH(A1200),1)</f>
        <v/>
      </c>
      <c r="C1200" t="inlineStr">
        <is>
          <t>MSCI EM</t>
        </is>
      </c>
      <c r="D1200" t="inlineStr">
        <is>
          <t>PAC</t>
        </is>
      </c>
      <c r="E1200" s="44">
        <f>IFERROR(VLOOKUP(C1200,Assets!$A:$F,6,FALSE),0)</f>
        <v/>
      </c>
      <c r="F1200" t="inlineStr">
        <is>
          <t>Auto</t>
        </is>
      </c>
      <c r="G1200" s="44" t="n"/>
      <c r="H1200" s="44">
        <f>IF(F1200="No",0,IF(F1200="Edited",IF(G1200="",E1200,G1200),E1200))</f>
        <v/>
      </c>
    </row>
    <row r="1201">
      <c r="A1201" s="41" t="n">
        <v>50649</v>
      </c>
      <c r="B1201" s="32">
        <f>DATE(YEAR(A1201),MONTH(A1201),1)</f>
        <v/>
      </c>
      <c r="C1201" t="inlineStr">
        <is>
          <t>Defence Tech</t>
        </is>
      </c>
      <c r="D1201" t="inlineStr">
        <is>
          <t>PAC</t>
        </is>
      </c>
      <c r="E1201" s="44">
        <f>IFERROR(VLOOKUP(C1201,Assets!$A:$F,6,FALSE),0)</f>
        <v/>
      </c>
      <c r="F1201" t="inlineStr">
        <is>
          <t>Auto</t>
        </is>
      </c>
      <c r="G1201" s="44" t="n"/>
      <c r="H1201" s="44">
        <f>IF(F1201="No",0,IF(F1201="Edited",IF(G1201="",E1201,G1201),E1201))</f>
        <v/>
      </c>
    </row>
    <row r="1202">
      <c r="A1202" s="41" t="n">
        <v>50679</v>
      </c>
      <c r="B1202" s="32">
        <f>DATE(YEAR(A1202),MONTH(A1202),1)</f>
        <v/>
      </c>
      <c r="C1202" t="inlineStr">
        <is>
          <t>Core MSCI World</t>
        </is>
      </c>
      <c r="D1202" t="inlineStr">
        <is>
          <t>PAC</t>
        </is>
      </c>
      <c r="E1202" s="44">
        <f>IFERROR(VLOOKUP(C1202,Assets!$A:$F,6,FALSE),0)</f>
        <v/>
      </c>
      <c r="F1202" t="inlineStr">
        <is>
          <t>Auto</t>
        </is>
      </c>
      <c r="G1202" s="44" t="n"/>
      <c r="H1202" s="44">
        <f>IF(F1202="No",0,IF(F1202="Edited",IF(G1202="",E1202,G1202),E1202))</f>
        <v/>
      </c>
    </row>
    <row r="1203">
      <c r="A1203" s="41" t="n">
        <v>50679</v>
      </c>
      <c r="B1203" s="32">
        <f>DATE(YEAR(A1203),MONTH(A1203),1)</f>
        <v/>
      </c>
      <c r="C1203" t="inlineStr">
        <is>
          <t>AI &amp; Big Data</t>
        </is>
      </c>
      <c r="D1203" t="inlineStr">
        <is>
          <t>PAC</t>
        </is>
      </c>
      <c r="E1203" s="44">
        <f>IFERROR(VLOOKUP(C1203,Assets!$A:$F,6,FALSE),0)</f>
        <v/>
      </c>
      <c r="F1203" t="inlineStr">
        <is>
          <t>Auto</t>
        </is>
      </c>
      <c r="G1203" s="44" t="n"/>
      <c r="H1203" s="44">
        <f>IF(F1203="No",0,IF(F1203="Edited",IF(G1203="",E1203,G1203),E1203))</f>
        <v/>
      </c>
    </row>
    <row r="1204">
      <c r="A1204" s="41" t="n">
        <v>50679</v>
      </c>
      <c r="B1204" s="32">
        <f>DATE(YEAR(A1204),MONTH(A1204),1)</f>
        <v/>
      </c>
      <c r="C1204" t="inlineStr">
        <is>
          <t>Physical Gold</t>
        </is>
      </c>
      <c r="D1204" t="inlineStr">
        <is>
          <t>PAC</t>
        </is>
      </c>
      <c r="E1204" s="44">
        <f>IFERROR(VLOOKUP(C1204,Assets!$A:$F,6,FALSE),0)</f>
        <v/>
      </c>
      <c r="F1204" t="inlineStr">
        <is>
          <t>Auto</t>
        </is>
      </c>
      <c r="G1204" s="44" t="n"/>
      <c r="H1204" s="44">
        <f>IF(F1204="No",0,IF(F1204="Edited",IF(G1204="",E1204,G1204),E1204))</f>
        <v/>
      </c>
    </row>
    <row r="1205">
      <c r="A1205" s="41" t="n">
        <v>50679</v>
      </c>
      <c r="B1205" s="32">
        <f>DATE(YEAR(A1205),MONTH(A1205),1)</f>
        <v/>
      </c>
      <c r="C1205" t="inlineStr">
        <is>
          <t>Global Gov Bond</t>
        </is>
      </c>
      <c r="D1205" t="inlineStr">
        <is>
          <t>PAC</t>
        </is>
      </c>
      <c r="E1205" s="44">
        <f>IFERROR(VLOOKUP(C1205,Assets!$A:$F,6,FALSE),0)</f>
        <v/>
      </c>
      <c r="F1205" t="inlineStr">
        <is>
          <t>Auto</t>
        </is>
      </c>
      <c r="G1205" s="44" t="n"/>
      <c r="H1205" s="44">
        <f>IF(F1205="No",0,IF(F1205="Edited",IF(G1205="",E1205,G1205),E1205))</f>
        <v/>
      </c>
    </row>
    <row r="1206">
      <c r="A1206" s="41" t="n">
        <v>50679</v>
      </c>
      <c r="B1206" s="32">
        <f>DATE(YEAR(A1206),MONTH(A1206),1)</f>
        <v/>
      </c>
      <c r="C1206" t="inlineStr">
        <is>
          <t>Core EUR Corp Bond</t>
        </is>
      </c>
      <c r="D1206" t="inlineStr">
        <is>
          <t>PAC</t>
        </is>
      </c>
      <c r="E1206" s="44">
        <f>IFERROR(VLOOKUP(C1206,Assets!$A:$F,6,FALSE),0)</f>
        <v/>
      </c>
      <c r="F1206" t="inlineStr">
        <is>
          <t>Auto</t>
        </is>
      </c>
      <c r="G1206" s="44" t="n"/>
      <c r="H1206" s="44">
        <f>IF(F1206="No",0,IF(F1206="Edited",IF(G1206="",E1206,G1206),E1206))</f>
        <v/>
      </c>
    </row>
    <row r="1207">
      <c r="A1207" s="41" t="n">
        <v>50679</v>
      </c>
      <c r="B1207" s="32">
        <f>DATE(YEAR(A1207),MONTH(A1207),1)</f>
        <v/>
      </c>
      <c r="C1207" t="inlineStr">
        <is>
          <t>MSCI World Value</t>
        </is>
      </c>
      <c r="D1207" t="inlineStr">
        <is>
          <t>PAC</t>
        </is>
      </c>
      <c r="E1207" s="44">
        <f>IFERROR(VLOOKUP(C1207,Assets!$A:$F,6,FALSE),0)</f>
        <v/>
      </c>
      <c r="F1207" t="inlineStr">
        <is>
          <t>Auto</t>
        </is>
      </c>
      <c r="G1207" s="44" t="n"/>
      <c r="H1207" s="44">
        <f>IF(F1207="No",0,IF(F1207="Edited",IF(G1207="",E1207,G1207),E1207))</f>
        <v/>
      </c>
    </row>
    <row r="1208">
      <c r="A1208" s="41" t="n">
        <v>50679</v>
      </c>
      <c r="B1208" s="32">
        <f>DATE(YEAR(A1208),MONTH(A1208),1)</f>
        <v/>
      </c>
      <c r="C1208" t="inlineStr">
        <is>
          <t>MSCI EM</t>
        </is>
      </c>
      <c r="D1208" t="inlineStr">
        <is>
          <t>PAC</t>
        </is>
      </c>
      <c r="E1208" s="44">
        <f>IFERROR(VLOOKUP(C1208,Assets!$A:$F,6,FALSE),0)</f>
        <v/>
      </c>
      <c r="F1208" t="inlineStr">
        <is>
          <t>Auto</t>
        </is>
      </c>
      <c r="G1208" s="44" t="n"/>
      <c r="H1208" s="44">
        <f>IF(F1208="No",0,IF(F1208="Edited",IF(G1208="",E1208,G1208),E1208))</f>
        <v/>
      </c>
    </row>
    <row r="1209">
      <c r="A1209" s="41" t="n">
        <v>50679</v>
      </c>
      <c r="B1209" s="32">
        <f>DATE(YEAR(A1209),MONTH(A1209),1)</f>
        <v/>
      </c>
      <c r="C1209" t="inlineStr">
        <is>
          <t>Defence Tech</t>
        </is>
      </c>
      <c r="D1209" t="inlineStr">
        <is>
          <t>PAC</t>
        </is>
      </c>
      <c r="E1209" s="44">
        <f>IFERROR(VLOOKUP(C1209,Assets!$A:$F,6,FALSE),0)</f>
        <v/>
      </c>
      <c r="F1209" t="inlineStr">
        <is>
          <t>Auto</t>
        </is>
      </c>
      <c r="G1209" s="44" t="n"/>
      <c r="H1209" s="44">
        <f>IF(F1209="No",0,IF(F1209="Edited",IF(G1209="",E1209,G1209),E1209))</f>
        <v/>
      </c>
    </row>
    <row r="1210">
      <c r="A1210" s="41" t="n">
        <v>50710</v>
      </c>
      <c r="B1210" s="32">
        <f>DATE(YEAR(A1210),MONTH(A1210),1)</f>
        <v/>
      </c>
      <c r="C1210" t="inlineStr">
        <is>
          <t>Core MSCI World</t>
        </is>
      </c>
      <c r="D1210" t="inlineStr">
        <is>
          <t>PAC</t>
        </is>
      </c>
      <c r="E1210" s="44">
        <f>IFERROR(VLOOKUP(C1210,Assets!$A:$F,6,FALSE),0)</f>
        <v/>
      </c>
      <c r="F1210" t="inlineStr">
        <is>
          <t>Auto</t>
        </is>
      </c>
      <c r="G1210" s="44" t="n"/>
      <c r="H1210" s="44">
        <f>IF(F1210="No",0,IF(F1210="Edited",IF(G1210="",E1210,G1210),E1210))</f>
        <v/>
      </c>
    </row>
    <row r="1211">
      <c r="A1211" s="41" t="n">
        <v>50710</v>
      </c>
      <c r="B1211" s="32">
        <f>DATE(YEAR(A1211),MONTH(A1211),1)</f>
        <v/>
      </c>
      <c r="C1211" t="inlineStr">
        <is>
          <t>AI &amp; Big Data</t>
        </is>
      </c>
      <c r="D1211" t="inlineStr">
        <is>
          <t>PAC</t>
        </is>
      </c>
      <c r="E1211" s="44">
        <f>IFERROR(VLOOKUP(C1211,Assets!$A:$F,6,FALSE),0)</f>
        <v/>
      </c>
      <c r="F1211" t="inlineStr">
        <is>
          <t>Auto</t>
        </is>
      </c>
      <c r="G1211" s="44" t="n"/>
      <c r="H1211" s="44">
        <f>IF(F1211="No",0,IF(F1211="Edited",IF(G1211="",E1211,G1211),E1211))</f>
        <v/>
      </c>
    </row>
    <row r="1212">
      <c r="A1212" s="41" t="n">
        <v>50710</v>
      </c>
      <c r="B1212" s="32">
        <f>DATE(YEAR(A1212),MONTH(A1212),1)</f>
        <v/>
      </c>
      <c r="C1212" t="inlineStr">
        <is>
          <t>Physical Gold</t>
        </is>
      </c>
      <c r="D1212" t="inlineStr">
        <is>
          <t>PAC</t>
        </is>
      </c>
      <c r="E1212" s="44">
        <f>IFERROR(VLOOKUP(C1212,Assets!$A:$F,6,FALSE),0)</f>
        <v/>
      </c>
      <c r="F1212" t="inlineStr">
        <is>
          <t>Auto</t>
        </is>
      </c>
      <c r="G1212" s="44" t="n"/>
      <c r="H1212" s="44">
        <f>IF(F1212="No",0,IF(F1212="Edited",IF(G1212="",E1212,G1212),E1212))</f>
        <v/>
      </c>
    </row>
    <row r="1213">
      <c r="A1213" s="41" t="n">
        <v>50710</v>
      </c>
      <c r="B1213" s="32">
        <f>DATE(YEAR(A1213),MONTH(A1213),1)</f>
        <v/>
      </c>
      <c r="C1213" t="inlineStr">
        <is>
          <t>Global Gov Bond</t>
        </is>
      </c>
      <c r="D1213" t="inlineStr">
        <is>
          <t>PAC</t>
        </is>
      </c>
      <c r="E1213" s="44">
        <f>IFERROR(VLOOKUP(C1213,Assets!$A:$F,6,FALSE),0)</f>
        <v/>
      </c>
      <c r="F1213" t="inlineStr">
        <is>
          <t>Auto</t>
        </is>
      </c>
      <c r="G1213" s="44" t="n"/>
      <c r="H1213" s="44">
        <f>IF(F1213="No",0,IF(F1213="Edited",IF(G1213="",E1213,G1213),E1213))</f>
        <v/>
      </c>
    </row>
    <row r="1214">
      <c r="A1214" s="41" t="n">
        <v>50710</v>
      </c>
      <c r="B1214" s="32">
        <f>DATE(YEAR(A1214),MONTH(A1214),1)</f>
        <v/>
      </c>
      <c r="C1214" t="inlineStr">
        <is>
          <t>Core EUR Corp Bond</t>
        </is>
      </c>
      <c r="D1214" t="inlineStr">
        <is>
          <t>PAC</t>
        </is>
      </c>
      <c r="E1214" s="44">
        <f>IFERROR(VLOOKUP(C1214,Assets!$A:$F,6,FALSE),0)</f>
        <v/>
      </c>
      <c r="F1214" t="inlineStr">
        <is>
          <t>Auto</t>
        </is>
      </c>
      <c r="G1214" s="44" t="n"/>
      <c r="H1214" s="44">
        <f>IF(F1214="No",0,IF(F1214="Edited",IF(G1214="",E1214,G1214),E1214))</f>
        <v/>
      </c>
    </row>
    <row r="1215">
      <c r="A1215" s="41" t="n">
        <v>50710</v>
      </c>
      <c r="B1215" s="32">
        <f>DATE(YEAR(A1215),MONTH(A1215),1)</f>
        <v/>
      </c>
      <c r="C1215" t="inlineStr">
        <is>
          <t>MSCI World Value</t>
        </is>
      </c>
      <c r="D1215" t="inlineStr">
        <is>
          <t>PAC</t>
        </is>
      </c>
      <c r="E1215" s="44">
        <f>IFERROR(VLOOKUP(C1215,Assets!$A:$F,6,FALSE),0)</f>
        <v/>
      </c>
      <c r="F1215" t="inlineStr">
        <is>
          <t>Auto</t>
        </is>
      </c>
      <c r="G1215" s="44" t="n"/>
      <c r="H1215" s="44">
        <f>IF(F1215="No",0,IF(F1215="Edited",IF(G1215="",E1215,G1215),E1215))</f>
        <v/>
      </c>
    </row>
    <row r="1216">
      <c r="A1216" s="41" t="n">
        <v>50710</v>
      </c>
      <c r="B1216" s="32">
        <f>DATE(YEAR(A1216),MONTH(A1216),1)</f>
        <v/>
      </c>
      <c r="C1216" t="inlineStr">
        <is>
          <t>MSCI EM</t>
        </is>
      </c>
      <c r="D1216" t="inlineStr">
        <is>
          <t>PAC</t>
        </is>
      </c>
      <c r="E1216" s="44">
        <f>IFERROR(VLOOKUP(C1216,Assets!$A:$F,6,FALSE),0)</f>
        <v/>
      </c>
      <c r="F1216" t="inlineStr">
        <is>
          <t>Auto</t>
        </is>
      </c>
      <c r="G1216" s="44" t="n"/>
      <c r="H1216" s="44">
        <f>IF(F1216="No",0,IF(F1216="Edited",IF(G1216="",E1216,G1216),E1216))</f>
        <v/>
      </c>
    </row>
    <row r="1217">
      <c r="A1217" s="41" t="n">
        <v>50710</v>
      </c>
      <c r="B1217" s="32">
        <f>DATE(YEAR(A1217),MONTH(A1217),1)</f>
        <v/>
      </c>
      <c r="C1217" t="inlineStr">
        <is>
          <t>Defence Tech</t>
        </is>
      </c>
      <c r="D1217" t="inlineStr">
        <is>
          <t>PAC</t>
        </is>
      </c>
      <c r="E1217" s="44">
        <f>IFERROR(VLOOKUP(C1217,Assets!$A:$F,6,FALSE),0)</f>
        <v/>
      </c>
      <c r="F1217" t="inlineStr">
        <is>
          <t>Auto</t>
        </is>
      </c>
      <c r="G1217" s="44" t="n"/>
      <c r="H1217" s="44">
        <f>IF(F1217="No",0,IF(F1217="Edited",IF(G1217="",E1217,G1217),E1217))</f>
        <v/>
      </c>
    </row>
    <row r="1218">
      <c r="A1218" s="41" t="n">
        <v>50740</v>
      </c>
      <c r="B1218" s="32">
        <f>DATE(YEAR(A1218),MONTH(A1218),1)</f>
        <v/>
      </c>
      <c r="C1218" t="inlineStr">
        <is>
          <t>Core MSCI World</t>
        </is>
      </c>
      <c r="D1218" t="inlineStr">
        <is>
          <t>PAC</t>
        </is>
      </c>
      <c r="E1218" s="44">
        <f>IFERROR(VLOOKUP(C1218,Assets!$A:$F,6,FALSE),0)</f>
        <v/>
      </c>
      <c r="F1218" t="inlineStr">
        <is>
          <t>Auto</t>
        </is>
      </c>
      <c r="G1218" s="44" t="n"/>
      <c r="H1218" s="44">
        <f>IF(F1218="No",0,IF(F1218="Edited",IF(G1218="",E1218,G1218),E1218))</f>
        <v/>
      </c>
    </row>
    <row r="1219">
      <c r="A1219" s="41" t="n">
        <v>50740</v>
      </c>
      <c r="B1219" s="32">
        <f>DATE(YEAR(A1219),MONTH(A1219),1)</f>
        <v/>
      </c>
      <c r="C1219" t="inlineStr">
        <is>
          <t>AI &amp; Big Data</t>
        </is>
      </c>
      <c r="D1219" t="inlineStr">
        <is>
          <t>PAC</t>
        </is>
      </c>
      <c r="E1219" s="44">
        <f>IFERROR(VLOOKUP(C1219,Assets!$A:$F,6,FALSE),0)</f>
        <v/>
      </c>
      <c r="F1219" t="inlineStr">
        <is>
          <t>Auto</t>
        </is>
      </c>
      <c r="G1219" s="44" t="n"/>
      <c r="H1219" s="44">
        <f>IF(F1219="No",0,IF(F1219="Edited",IF(G1219="",E1219,G1219),E1219))</f>
        <v/>
      </c>
    </row>
    <row r="1220">
      <c r="A1220" s="41" t="n">
        <v>50740</v>
      </c>
      <c r="B1220" s="32">
        <f>DATE(YEAR(A1220),MONTH(A1220),1)</f>
        <v/>
      </c>
      <c r="C1220" t="inlineStr">
        <is>
          <t>Physical Gold</t>
        </is>
      </c>
      <c r="D1220" t="inlineStr">
        <is>
          <t>PAC</t>
        </is>
      </c>
      <c r="E1220" s="44">
        <f>IFERROR(VLOOKUP(C1220,Assets!$A:$F,6,FALSE),0)</f>
        <v/>
      </c>
      <c r="F1220" t="inlineStr">
        <is>
          <t>Auto</t>
        </is>
      </c>
      <c r="G1220" s="44" t="n"/>
      <c r="H1220" s="44">
        <f>IF(F1220="No",0,IF(F1220="Edited",IF(G1220="",E1220,G1220),E1220))</f>
        <v/>
      </c>
    </row>
    <row r="1221">
      <c r="A1221" s="41" t="n">
        <v>50740</v>
      </c>
      <c r="B1221" s="32">
        <f>DATE(YEAR(A1221),MONTH(A1221),1)</f>
        <v/>
      </c>
      <c r="C1221" t="inlineStr">
        <is>
          <t>Global Gov Bond</t>
        </is>
      </c>
      <c r="D1221" t="inlineStr">
        <is>
          <t>PAC</t>
        </is>
      </c>
      <c r="E1221" s="44">
        <f>IFERROR(VLOOKUP(C1221,Assets!$A:$F,6,FALSE),0)</f>
        <v/>
      </c>
      <c r="F1221" t="inlineStr">
        <is>
          <t>Auto</t>
        </is>
      </c>
      <c r="G1221" s="44" t="n"/>
      <c r="H1221" s="44">
        <f>IF(F1221="No",0,IF(F1221="Edited",IF(G1221="",E1221,G1221),E1221))</f>
        <v/>
      </c>
    </row>
    <row r="1222">
      <c r="A1222" s="41" t="n">
        <v>50740</v>
      </c>
      <c r="B1222" s="32">
        <f>DATE(YEAR(A1222),MONTH(A1222),1)</f>
        <v/>
      </c>
      <c r="C1222" t="inlineStr">
        <is>
          <t>Core EUR Corp Bond</t>
        </is>
      </c>
      <c r="D1222" t="inlineStr">
        <is>
          <t>PAC</t>
        </is>
      </c>
      <c r="E1222" s="44">
        <f>IFERROR(VLOOKUP(C1222,Assets!$A:$F,6,FALSE),0)</f>
        <v/>
      </c>
      <c r="F1222" t="inlineStr">
        <is>
          <t>Auto</t>
        </is>
      </c>
      <c r="G1222" s="44" t="n"/>
      <c r="H1222" s="44">
        <f>IF(F1222="No",0,IF(F1222="Edited",IF(G1222="",E1222,G1222),E1222))</f>
        <v/>
      </c>
    </row>
    <row r="1223">
      <c r="A1223" s="41" t="n">
        <v>50740</v>
      </c>
      <c r="B1223" s="32">
        <f>DATE(YEAR(A1223),MONTH(A1223),1)</f>
        <v/>
      </c>
      <c r="C1223" t="inlineStr">
        <is>
          <t>MSCI World Value</t>
        </is>
      </c>
      <c r="D1223" t="inlineStr">
        <is>
          <t>PAC</t>
        </is>
      </c>
      <c r="E1223" s="44">
        <f>IFERROR(VLOOKUP(C1223,Assets!$A:$F,6,FALSE),0)</f>
        <v/>
      </c>
      <c r="F1223" t="inlineStr">
        <is>
          <t>Auto</t>
        </is>
      </c>
      <c r="G1223" s="44" t="n"/>
      <c r="H1223" s="44">
        <f>IF(F1223="No",0,IF(F1223="Edited",IF(G1223="",E1223,G1223),E1223))</f>
        <v/>
      </c>
    </row>
    <row r="1224">
      <c r="A1224" s="41" t="n">
        <v>50740</v>
      </c>
      <c r="B1224" s="32">
        <f>DATE(YEAR(A1224),MONTH(A1224),1)</f>
        <v/>
      </c>
      <c r="C1224" t="inlineStr">
        <is>
          <t>MSCI EM</t>
        </is>
      </c>
      <c r="D1224" t="inlineStr">
        <is>
          <t>PAC</t>
        </is>
      </c>
      <c r="E1224" s="44">
        <f>IFERROR(VLOOKUP(C1224,Assets!$A:$F,6,FALSE),0)</f>
        <v/>
      </c>
      <c r="F1224" t="inlineStr">
        <is>
          <t>Auto</t>
        </is>
      </c>
      <c r="G1224" s="44" t="n"/>
      <c r="H1224" s="44">
        <f>IF(F1224="No",0,IF(F1224="Edited",IF(G1224="",E1224,G1224),E1224))</f>
        <v/>
      </c>
    </row>
    <row r="1225">
      <c r="A1225" s="41" t="n">
        <v>50740</v>
      </c>
      <c r="B1225" s="32">
        <f>DATE(YEAR(A1225),MONTH(A1225),1)</f>
        <v/>
      </c>
      <c r="C1225" t="inlineStr">
        <is>
          <t>Defence Tech</t>
        </is>
      </c>
      <c r="D1225" t="inlineStr">
        <is>
          <t>PAC</t>
        </is>
      </c>
      <c r="E1225" s="44">
        <f>IFERROR(VLOOKUP(C1225,Assets!$A:$F,6,FALSE),0)</f>
        <v/>
      </c>
      <c r="F1225" t="inlineStr">
        <is>
          <t>Auto</t>
        </is>
      </c>
      <c r="G1225" s="44" t="n"/>
      <c r="H1225" s="44">
        <f>IF(F1225="No",0,IF(F1225="Edited",IF(G1225="",E1225,G1225),E1225))</f>
        <v/>
      </c>
    </row>
  </sheetData>
  <dataValidations count="2">
    <dataValidation sqref="F2:F1153" showDropDown="0" showInputMessage="0" showErrorMessage="0" allowBlank="0" type="list">
      <formula1>"Auto,No,Edited"</formula1>
    </dataValidation>
    <dataValidation sqref="F2:F1257" showDropDown="0" showInputMessage="0" showErrorMessage="0" allowBlank="1" type="list">
      <formula1>"Auto,No,Edited"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14" customWidth="1" min="4" max="4"/>
    <col width="14" customWidth="1" min="5" max="5"/>
    <col width="30" customWidth="1" min="6" max="6"/>
  </cols>
  <sheetData>
    <row r="1">
      <c r="A1" s="8" t="inlineStr">
        <is>
          <t>Tx_Date</t>
        </is>
      </c>
      <c r="B1" s="8" t="inlineStr">
        <is>
          <t>Month</t>
        </is>
      </c>
      <c r="C1" s="8" t="inlineStr">
        <is>
          <t>Asset</t>
        </is>
      </c>
      <c r="D1" s="8" t="inlineStr">
        <is>
          <t>Tx_Type</t>
        </is>
      </c>
      <c r="E1" s="8" t="inlineStr">
        <is>
          <t>Amount</t>
        </is>
      </c>
      <c r="F1" s="8" t="inlineStr">
        <is>
          <t>Notes</t>
        </is>
      </c>
    </row>
    <row r="2">
      <c r="A2" s="38" t="n">
        <v>45931</v>
      </c>
      <c r="B2" s="39">
        <f>IF(A2="","",DATE(YEAR(A2),MONTH(A2),1))</f>
        <v/>
      </c>
      <c r="C2" s="14" t="inlineStr">
        <is>
          <t>Core MSCI World</t>
        </is>
      </c>
      <c r="D2" s="14" t="inlineStr">
        <is>
          <t>Historical Flow</t>
        </is>
      </c>
      <c r="E2" s="6" t="n">
        <v>690.4</v>
      </c>
      <c r="F2" s="2" t="inlineStr">
        <is>
          <t>Imported from your old tracker</t>
        </is>
      </c>
    </row>
    <row r="3">
      <c r="A3" s="38" t="n">
        <v>45931</v>
      </c>
      <c r="B3" s="39">
        <f>IF(A3="","",DATE(YEAR(A3),MONTH(A3),1))</f>
        <v/>
      </c>
      <c r="C3" s="14" t="inlineStr">
        <is>
          <t>AI &amp; Big Data</t>
        </is>
      </c>
      <c r="D3" s="14" t="inlineStr">
        <is>
          <t>Historical Flow</t>
        </is>
      </c>
      <c r="E3" s="6" t="n">
        <v>101</v>
      </c>
      <c r="F3" s="2" t="inlineStr">
        <is>
          <t>Imported from your old tracker</t>
        </is>
      </c>
    </row>
    <row r="4">
      <c r="A4" s="38" t="n">
        <v>45931</v>
      </c>
      <c r="B4" s="39">
        <f>IF(A4="","",DATE(YEAR(A4),MONTH(A4),1))</f>
        <v/>
      </c>
      <c r="C4" s="14" t="inlineStr">
        <is>
          <t>Physical Gold</t>
        </is>
      </c>
      <c r="D4" s="14" t="inlineStr">
        <is>
          <t>Historical Flow</t>
        </is>
      </c>
      <c r="E4" s="6" t="n">
        <v>70</v>
      </c>
      <c r="F4" s="2" t="inlineStr">
        <is>
          <t>Imported from your old tracker</t>
        </is>
      </c>
    </row>
    <row r="5">
      <c r="A5" s="38" t="n">
        <v>45931</v>
      </c>
      <c r="B5" s="39">
        <f>IF(A5="","",DATE(YEAR(A5),MONTH(A5),1))</f>
        <v/>
      </c>
      <c r="C5" s="14" t="inlineStr">
        <is>
          <t>Global Gov Bond</t>
        </is>
      </c>
      <c r="D5" s="14" t="inlineStr">
        <is>
          <t>Historical Flow</t>
        </is>
      </c>
      <c r="E5" s="6" t="n">
        <v>52</v>
      </c>
      <c r="F5" s="2" t="inlineStr">
        <is>
          <t>Imported from your old tracker</t>
        </is>
      </c>
    </row>
    <row r="6">
      <c r="A6" s="38" t="n">
        <v>45931</v>
      </c>
      <c r="B6" s="39">
        <f>IF(A6="","",DATE(YEAR(A6),MONTH(A6),1))</f>
        <v/>
      </c>
      <c r="C6" s="14" t="inlineStr">
        <is>
          <t>Core EUR Corp Bond</t>
        </is>
      </c>
      <c r="D6" s="14" t="inlineStr">
        <is>
          <t>Historical Flow</t>
        </is>
      </c>
      <c r="E6" s="6" t="n">
        <v>54</v>
      </c>
      <c r="F6" s="2" t="inlineStr">
        <is>
          <t>Imported from your old tracker</t>
        </is>
      </c>
    </row>
    <row r="7">
      <c r="A7" s="38" t="n">
        <v>45931</v>
      </c>
      <c r="B7" s="39">
        <f>IF(A7="","",DATE(YEAR(A7),MONTH(A7),1))</f>
        <v/>
      </c>
      <c r="C7" s="14" t="inlineStr">
        <is>
          <t>MSCI World Value</t>
        </is>
      </c>
      <c r="D7" s="14" t="inlineStr">
        <is>
          <t>Historical Flow</t>
        </is>
      </c>
      <c r="E7" s="6" t="n">
        <v>196.99</v>
      </c>
      <c r="F7" s="2" t="inlineStr">
        <is>
          <t>Imported from your old tracker</t>
        </is>
      </c>
    </row>
    <row r="8">
      <c r="A8" s="38" t="n">
        <v>45931</v>
      </c>
      <c r="B8" s="39">
        <f>IF(A8="","",DATE(YEAR(A8),MONTH(A8),1))</f>
        <v/>
      </c>
      <c r="C8" s="14" t="inlineStr">
        <is>
          <t>MSCI EM</t>
        </is>
      </c>
      <c r="D8" s="14" t="inlineStr">
        <is>
          <t>Historical Flow</t>
        </is>
      </c>
      <c r="E8" s="6" t="n">
        <v>44</v>
      </c>
      <c r="F8" s="2" t="inlineStr">
        <is>
          <t>Imported from your old tracker</t>
        </is>
      </c>
    </row>
    <row r="9">
      <c r="A9" s="38" t="n">
        <v>45931</v>
      </c>
      <c r="B9" s="39">
        <f>IF(A9="","",DATE(YEAR(A9),MONTH(A9),1))</f>
        <v/>
      </c>
      <c r="C9" s="14" t="inlineStr">
        <is>
          <t>Defence Tech</t>
        </is>
      </c>
      <c r="D9" s="14" t="inlineStr">
        <is>
          <t>Historical Flow</t>
        </is>
      </c>
      <c r="E9" s="6" t="n">
        <v>0</v>
      </c>
      <c r="F9" s="2" t="inlineStr">
        <is>
          <t>Imported from your old tracker</t>
        </is>
      </c>
    </row>
    <row r="10">
      <c r="A10" s="38" t="n">
        <v>45962</v>
      </c>
      <c r="B10" s="39">
        <f>IF(A10="","",DATE(YEAR(A10),MONTH(A10),1))</f>
        <v/>
      </c>
      <c r="C10" s="14" t="inlineStr">
        <is>
          <t>Core MSCI World</t>
        </is>
      </c>
      <c r="D10" s="14" t="inlineStr">
        <is>
          <t>Historical Flow</t>
        </is>
      </c>
      <c r="E10" s="6" t="n">
        <v>486</v>
      </c>
      <c r="F10" s="2" t="inlineStr">
        <is>
          <t>Imported from your old tracker</t>
        </is>
      </c>
    </row>
    <row r="11">
      <c r="A11" s="38" t="n">
        <v>45962</v>
      </c>
      <c r="B11" s="39">
        <f>IF(A11="","",DATE(YEAR(A11),MONTH(A11),1))</f>
        <v/>
      </c>
      <c r="C11" s="14" t="inlineStr">
        <is>
          <t>AI &amp; Big Data</t>
        </is>
      </c>
      <c r="D11" s="14" t="inlineStr">
        <is>
          <t>Historical Flow</t>
        </is>
      </c>
      <c r="E11" s="6" t="n">
        <v>0</v>
      </c>
      <c r="F11" s="2" t="inlineStr">
        <is>
          <t>Imported from your old tracker</t>
        </is>
      </c>
    </row>
    <row r="12">
      <c r="A12" s="38" t="n">
        <v>45962</v>
      </c>
      <c r="B12" s="39">
        <f>IF(A12="","",DATE(YEAR(A12),MONTH(A12),1))</f>
        <v/>
      </c>
      <c r="C12" s="14" t="inlineStr">
        <is>
          <t>Physical Gold</t>
        </is>
      </c>
      <c r="D12" s="14" t="inlineStr">
        <is>
          <t>Historical Flow</t>
        </is>
      </c>
      <c r="E12" s="6" t="n">
        <v>70</v>
      </c>
      <c r="F12" s="2" t="inlineStr">
        <is>
          <t>Imported from your old tracker</t>
        </is>
      </c>
    </row>
    <row r="13">
      <c r="A13" s="38" t="n">
        <v>45962</v>
      </c>
      <c r="B13" s="39">
        <f>IF(A13="","",DATE(YEAR(A13),MONTH(A13),1))</f>
        <v/>
      </c>
      <c r="C13" s="14" t="inlineStr">
        <is>
          <t>Global Gov Bond</t>
        </is>
      </c>
      <c r="D13" s="14" t="inlineStr">
        <is>
          <t>Historical Flow</t>
        </is>
      </c>
      <c r="E13" s="6" t="n">
        <v>52</v>
      </c>
      <c r="F13" s="2" t="inlineStr">
        <is>
          <t>Imported from your old tracker</t>
        </is>
      </c>
    </row>
    <row r="14">
      <c r="A14" s="38" t="n">
        <v>45962</v>
      </c>
      <c r="B14" s="39">
        <f>IF(A14="","",DATE(YEAR(A14),MONTH(A14),1))</f>
        <v/>
      </c>
      <c r="C14" s="14" t="inlineStr">
        <is>
          <t>Core EUR Corp Bond</t>
        </is>
      </c>
      <c r="D14" s="14" t="inlineStr">
        <is>
          <t>Historical Flow</t>
        </is>
      </c>
      <c r="E14" s="6" t="n">
        <v>54</v>
      </c>
      <c r="F14" s="2" t="inlineStr">
        <is>
          <t>Imported from your old tracker</t>
        </is>
      </c>
    </row>
    <row r="15">
      <c r="A15" s="38" t="n">
        <v>45962</v>
      </c>
      <c r="B15" s="39">
        <f>IF(A15="","",DATE(YEAR(A15),MONTH(A15),1))</f>
        <v/>
      </c>
      <c r="C15" s="14" t="inlineStr">
        <is>
          <t>MSCI World Value</t>
        </is>
      </c>
      <c r="D15" s="14" t="inlineStr">
        <is>
          <t>Historical Flow</t>
        </is>
      </c>
      <c r="E15" s="6" t="n">
        <v>96</v>
      </c>
      <c r="F15" s="2" t="inlineStr">
        <is>
          <t>Imported from your old tracker</t>
        </is>
      </c>
    </row>
    <row r="16">
      <c r="A16" s="38" t="n">
        <v>45962</v>
      </c>
      <c r="B16" s="39">
        <f>IF(A16="","",DATE(YEAR(A16),MONTH(A16),1))</f>
        <v/>
      </c>
      <c r="C16" s="14" t="inlineStr">
        <is>
          <t>MSCI EM</t>
        </is>
      </c>
      <c r="D16" s="14" t="inlineStr">
        <is>
          <t>Historical Flow</t>
        </is>
      </c>
      <c r="E16" s="6" t="n">
        <v>44</v>
      </c>
      <c r="F16" s="2" t="inlineStr">
        <is>
          <t>Imported from your old tracker</t>
        </is>
      </c>
    </row>
    <row r="17">
      <c r="A17" s="38" t="n">
        <v>45962</v>
      </c>
      <c r="B17" s="39">
        <f>IF(A17="","",DATE(YEAR(A17),MONTH(A17),1))</f>
        <v/>
      </c>
      <c r="C17" s="14" t="inlineStr">
        <is>
          <t>Defence Tech</t>
        </is>
      </c>
      <c r="D17" s="14" t="inlineStr">
        <is>
          <t>Historical Flow</t>
        </is>
      </c>
      <c r="E17" s="6" t="n">
        <v>0</v>
      </c>
      <c r="F17" s="2" t="inlineStr">
        <is>
          <t>Imported from your old tracker</t>
        </is>
      </c>
    </row>
    <row r="18">
      <c r="A18" s="38" t="n">
        <v>45992</v>
      </c>
      <c r="B18" s="39">
        <f>IF(A18="","",DATE(YEAR(A18),MONTH(A18),1))</f>
        <v/>
      </c>
      <c r="C18" s="14" t="inlineStr">
        <is>
          <t>Core MSCI World</t>
        </is>
      </c>
      <c r="D18" s="14" t="inlineStr">
        <is>
          <t>Historical Flow</t>
        </is>
      </c>
      <c r="E18" s="6" t="n">
        <v>486</v>
      </c>
      <c r="F18" s="2" t="inlineStr">
        <is>
          <t>Imported from your old tracker</t>
        </is>
      </c>
    </row>
    <row r="19">
      <c r="A19" s="38" t="n">
        <v>45992</v>
      </c>
      <c r="B19" s="39">
        <f>IF(A19="","",DATE(YEAR(A19),MONTH(A19),1))</f>
        <v/>
      </c>
      <c r="C19" s="14" t="inlineStr">
        <is>
          <t>AI &amp; Big Data</t>
        </is>
      </c>
      <c r="D19" s="14" t="inlineStr">
        <is>
          <t>Historical Flow</t>
        </is>
      </c>
      <c r="E19" s="6" t="n">
        <v>0</v>
      </c>
      <c r="F19" s="2" t="inlineStr">
        <is>
          <t>Imported from your old tracker</t>
        </is>
      </c>
    </row>
    <row r="20">
      <c r="A20" s="38" t="n">
        <v>45992</v>
      </c>
      <c r="B20" s="39">
        <f>IF(A20="","",DATE(YEAR(A20),MONTH(A20),1))</f>
        <v/>
      </c>
      <c r="C20" s="14" t="inlineStr">
        <is>
          <t>Physical Gold</t>
        </is>
      </c>
      <c r="D20" s="14" t="inlineStr">
        <is>
          <t>Historical Flow</t>
        </is>
      </c>
      <c r="E20" s="6" t="n">
        <v>70</v>
      </c>
      <c r="F20" s="2" t="inlineStr">
        <is>
          <t>Imported from your old tracker</t>
        </is>
      </c>
    </row>
    <row r="21">
      <c r="A21" s="38" t="n">
        <v>45992</v>
      </c>
      <c r="B21" s="39">
        <f>IF(A21="","",DATE(YEAR(A21),MONTH(A21),1))</f>
        <v/>
      </c>
      <c r="C21" s="14" t="inlineStr">
        <is>
          <t>Global Gov Bond</t>
        </is>
      </c>
      <c r="D21" s="14" t="inlineStr">
        <is>
          <t>Historical Flow</t>
        </is>
      </c>
      <c r="E21" s="6" t="n">
        <v>52</v>
      </c>
      <c r="F21" s="2" t="inlineStr">
        <is>
          <t>Imported from your old tracker</t>
        </is>
      </c>
    </row>
    <row r="22">
      <c r="A22" s="38" t="n">
        <v>45992</v>
      </c>
      <c r="B22" s="39">
        <f>IF(A22="","",DATE(YEAR(A22),MONTH(A22),1))</f>
        <v/>
      </c>
      <c r="C22" s="14" t="inlineStr">
        <is>
          <t>Core EUR Corp Bond</t>
        </is>
      </c>
      <c r="D22" s="14" t="inlineStr">
        <is>
          <t>Historical Flow</t>
        </is>
      </c>
      <c r="E22" s="6" t="n">
        <v>54</v>
      </c>
      <c r="F22" s="2" t="inlineStr">
        <is>
          <t>Imported from your old tracker</t>
        </is>
      </c>
    </row>
    <row r="23">
      <c r="A23" s="38" t="n">
        <v>45992</v>
      </c>
      <c r="B23" s="39">
        <f>IF(A23="","",DATE(YEAR(A23),MONTH(A23),1))</f>
        <v/>
      </c>
      <c r="C23" s="14" t="inlineStr">
        <is>
          <t>MSCI World Value</t>
        </is>
      </c>
      <c r="D23" s="14" t="inlineStr">
        <is>
          <t>Historical Flow</t>
        </is>
      </c>
      <c r="E23" s="6" t="n">
        <v>96</v>
      </c>
      <c r="F23" s="2" t="inlineStr">
        <is>
          <t>Imported from your old tracker</t>
        </is>
      </c>
    </row>
    <row r="24">
      <c r="A24" s="38" t="n">
        <v>45992</v>
      </c>
      <c r="B24" s="39">
        <f>IF(A24="","",DATE(YEAR(A24),MONTH(A24),1))</f>
        <v/>
      </c>
      <c r="C24" s="14" t="inlineStr">
        <is>
          <t>MSCI EM</t>
        </is>
      </c>
      <c r="D24" s="14" t="inlineStr">
        <is>
          <t>Historical Flow</t>
        </is>
      </c>
      <c r="E24" s="6" t="n">
        <v>44</v>
      </c>
      <c r="F24" s="2" t="inlineStr">
        <is>
          <t>Imported from your old tracker</t>
        </is>
      </c>
    </row>
    <row r="25">
      <c r="A25" s="38" t="n">
        <v>45992</v>
      </c>
      <c r="B25" s="39">
        <f>IF(A25="","",DATE(YEAR(A25),MONTH(A25),1))</f>
        <v/>
      </c>
      <c r="C25" s="14" t="inlineStr">
        <is>
          <t>Defence Tech</t>
        </is>
      </c>
      <c r="D25" s="14" t="inlineStr">
        <is>
          <t>Historical Flow</t>
        </is>
      </c>
      <c r="E25" s="6" t="n">
        <v>0</v>
      </c>
      <c r="F25" s="2" t="inlineStr">
        <is>
          <t>Imported from your old tracker</t>
        </is>
      </c>
    </row>
    <row r="26">
      <c r="A26" s="38" t="n">
        <v>46023</v>
      </c>
      <c r="B26" s="39">
        <f>IF(A26="","",DATE(YEAR(A26),MONTH(A26),1))</f>
        <v/>
      </c>
      <c r="C26" s="14" t="inlineStr">
        <is>
          <t>Core MSCI World</t>
        </is>
      </c>
      <c r="D26" s="14" t="inlineStr">
        <is>
          <t>Historical Flow</t>
        </is>
      </c>
      <c r="E26" s="6" t="n">
        <v>486</v>
      </c>
      <c r="F26" s="2" t="inlineStr">
        <is>
          <t>Imported from your old tracker</t>
        </is>
      </c>
    </row>
    <row r="27">
      <c r="A27" s="38" t="n">
        <v>46023</v>
      </c>
      <c r="B27" s="39">
        <f>IF(A27="","",DATE(YEAR(A27),MONTH(A27),1))</f>
        <v/>
      </c>
      <c r="C27" s="14" t="inlineStr">
        <is>
          <t>AI &amp; Big Data</t>
        </is>
      </c>
      <c r="D27" s="14" t="inlineStr">
        <is>
          <t>Historical Flow</t>
        </is>
      </c>
      <c r="E27" s="6" t="n">
        <v>0</v>
      </c>
      <c r="F27" s="2" t="inlineStr">
        <is>
          <t>Imported from your old tracker</t>
        </is>
      </c>
    </row>
    <row r="28">
      <c r="A28" s="38" t="n">
        <v>46023</v>
      </c>
      <c r="B28" s="39">
        <f>IF(A28="","",DATE(YEAR(A28),MONTH(A28),1))</f>
        <v/>
      </c>
      <c r="C28" s="14" t="inlineStr">
        <is>
          <t>Physical Gold</t>
        </is>
      </c>
      <c r="D28" s="14" t="inlineStr">
        <is>
          <t>Historical Flow</t>
        </is>
      </c>
      <c r="E28" s="6" t="n">
        <v>70</v>
      </c>
      <c r="F28" s="2" t="inlineStr">
        <is>
          <t>Imported from your old tracker</t>
        </is>
      </c>
    </row>
    <row r="29">
      <c r="A29" s="38" t="n">
        <v>46023</v>
      </c>
      <c r="B29" s="39">
        <f>IF(A29="","",DATE(YEAR(A29),MONTH(A29),1))</f>
        <v/>
      </c>
      <c r="C29" s="14" t="inlineStr">
        <is>
          <t>Global Gov Bond</t>
        </is>
      </c>
      <c r="D29" s="14" t="inlineStr">
        <is>
          <t>Historical Flow</t>
        </is>
      </c>
      <c r="E29" s="6" t="n">
        <v>52</v>
      </c>
      <c r="F29" s="2" t="inlineStr">
        <is>
          <t>Imported from your old tracker</t>
        </is>
      </c>
    </row>
    <row r="30">
      <c r="A30" s="38" t="n">
        <v>46023</v>
      </c>
      <c r="B30" s="39">
        <f>IF(A30="","",DATE(YEAR(A30),MONTH(A30),1))</f>
        <v/>
      </c>
      <c r="C30" s="14" t="inlineStr">
        <is>
          <t>Core EUR Corp Bond</t>
        </is>
      </c>
      <c r="D30" s="14" t="inlineStr">
        <is>
          <t>Historical Flow</t>
        </is>
      </c>
      <c r="E30" s="6" t="n">
        <v>54</v>
      </c>
      <c r="F30" s="2" t="inlineStr">
        <is>
          <t>Imported from your old tracker</t>
        </is>
      </c>
    </row>
    <row r="31">
      <c r="A31" s="38" t="n">
        <v>46023</v>
      </c>
      <c r="B31" s="39">
        <f>IF(A31="","",DATE(YEAR(A31),MONTH(A31),1))</f>
        <v/>
      </c>
      <c r="C31" s="14" t="inlineStr">
        <is>
          <t>MSCI World Value</t>
        </is>
      </c>
      <c r="D31" s="14" t="inlineStr">
        <is>
          <t>Historical Flow</t>
        </is>
      </c>
      <c r="E31" s="6" t="n">
        <v>96</v>
      </c>
      <c r="F31" s="2" t="inlineStr">
        <is>
          <t>Imported from your old tracker</t>
        </is>
      </c>
    </row>
    <row r="32">
      <c r="A32" s="38" t="n">
        <v>46023</v>
      </c>
      <c r="B32" s="39">
        <f>IF(A32="","",DATE(YEAR(A32),MONTH(A32),1))</f>
        <v/>
      </c>
      <c r="C32" s="14" t="inlineStr">
        <is>
          <t>MSCI EM</t>
        </is>
      </c>
      <c r="D32" s="14" t="inlineStr">
        <is>
          <t>Historical Flow</t>
        </is>
      </c>
      <c r="E32" s="6" t="n">
        <v>44</v>
      </c>
      <c r="F32" s="2" t="inlineStr">
        <is>
          <t>Imported from your old tracker</t>
        </is>
      </c>
    </row>
    <row r="33">
      <c r="A33" s="38" t="n">
        <v>46023</v>
      </c>
      <c r="B33" s="39">
        <f>IF(A33="","",DATE(YEAR(A33),MONTH(A33),1))</f>
        <v/>
      </c>
      <c r="C33" s="14" t="inlineStr">
        <is>
          <t>Defence Tech</t>
        </is>
      </c>
      <c r="D33" s="14" t="inlineStr">
        <is>
          <t>Historical Flow</t>
        </is>
      </c>
      <c r="E33" s="6" t="n">
        <v>0</v>
      </c>
      <c r="F33" s="2" t="inlineStr">
        <is>
          <t>Imported from your old tracker</t>
        </is>
      </c>
    </row>
    <row r="34">
      <c r="A34" s="38" t="n">
        <v>46054</v>
      </c>
      <c r="B34" s="39">
        <f>IF(A34="","",DATE(YEAR(A34),MONTH(A34),1))</f>
        <v/>
      </c>
      <c r="C34" s="14" t="inlineStr">
        <is>
          <t>Core MSCI World</t>
        </is>
      </c>
      <c r="D34" s="14" t="inlineStr">
        <is>
          <t>Historical Flow</t>
        </is>
      </c>
      <c r="E34" s="6" t="n">
        <v>486</v>
      </c>
      <c r="F34" s="2" t="inlineStr">
        <is>
          <t>Imported from your old tracker</t>
        </is>
      </c>
    </row>
    <row r="35">
      <c r="A35" s="38" t="n">
        <v>46054</v>
      </c>
      <c r="B35" s="39">
        <f>IF(A35="","",DATE(YEAR(A35),MONTH(A35),1))</f>
        <v/>
      </c>
      <c r="C35" s="14" t="inlineStr">
        <is>
          <t>AI &amp; Big Data</t>
        </is>
      </c>
      <c r="D35" s="14" t="inlineStr">
        <is>
          <t>Historical Flow</t>
        </is>
      </c>
      <c r="E35" s="6" t="n">
        <v>0</v>
      </c>
      <c r="F35" s="2" t="inlineStr">
        <is>
          <t>Imported from your old tracker</t>
        </is>
      </c>
    </row>
    <row r="36">
      <c r="A36" s="38" t="n">
        <v>46054</v>
      </c>
      <c r="B36" s="39">
        <f>IF(A36="","",DATE(YEAR(A36),MONTH(A36),1))</f>
        <v/>
      </c>
      <c r="C36" s="14" t="inlineStr">
        <is>
          <t>Physical Gold</t>
        </is>
      </c>
      <c r="D36" s="14" t="inlineStr">
        <is>
          <t>Historical Flow</t>
        </is>
      </c>
      <c r="E36" s="6" t="n">
        <v>70</v>
      </c>
      <c r="F36" s="2" t="inlineStr">
        <is>
          <t>Imported from your old tracker</t>
        </is>
      </c>
    </row>
    <row r="37">
      <c r="A37" s="38" t="n">
        <v>46054</v>
      </c>
      <c r="B37" s="39">
        <f>IF(A37="","",DATE(YEAR(A37),MONTH(A37),1))</f>
        <v/>
      </c>
      <c r="C37" s="14" t="inlineStr">
        <is>
          <t>Global Gov Bond</t>
        </is>
      </c>
      <c r="D37" s="14" t="inlineStr">
        <is>
          <t>Historical Flow</t>
        </is>
      </c>
      <c r="E37" s="6" t="n">
        <v>52</v>
      </c>
      <c r="F37" s="2" t="inlineStr">
        <is>
          <t>Imported from your old tracker</t>
        </is>
      </c>
    </row>
    <row r="38">
      <c r="A38" s="38" t="n">
        <v>46054</v>
      </c>
      <c r="B38" s="39">
        <f>IF(A38="","",DATE(YEAR(A38),MONTH(A38),1))</f>
        <v/>
      </c>
      <c r="C38" s="14" t="inlineStr">
        <is>
          <t>Core EUR Corp Bond</t>
        </is>
      </c>
      <c r="D38" s="14" t="inlineStr">
        <is>
          <t>Historical Flow</t>
        </is>
      </c>
      <c r="E38" s="6" t="n">
        <v>54</v>
      </c>
      <c r="F38" s="2" t="inlineStr">
        <is>
          <t>Imported from your old tracker</t>
        </is>
      </c>
    </row>
    <row r="39">
      <c r="A39" s="38" t="n">
        <v>46054</v>
      </c>
      <c r="B39" s="39">
        <f>IF(A39="","",DATE(YEAR(A39),MONTH(A39),1))</f>
        <v/>
      </c>
      <c r="C39" s="14" t="inlineStr">
        <is>
          <t>MSCI World Value</t>
        </is>
      </c>
      <c r="D39" s="14" t="inlineStr">
        <is>
          <t>Historical Flow</t>
        </is>
      </c>
      <c r="E39" s="6" t="n">
        <v>96</v>
      </c>
      <c r="F39" s="2" t="inlineStr">
        <is>
          <t>Imported from your old tracker</t>
        </is>
      </c>
    </row>
    <row r="40">
      <c r="A40" s="38" t="n">
        <v>46054</v>
      </c>
      <c r="B40" s="39">
        <f>IF(A40="","",DATE(YEAR(A40),MONTH(A40),1))</f>
        <v/>
      </c>
      <c r="C40" s="14" t="inlineStr">
        <is>
          <t>MSCI EM</t>
        </is>
      </c>
      <c r="D40" s="14" t="inlineStr">
        <is>
          <t>Historical Flow</t>
        </is>
      </c>
      <c r="E40" s="6" t="n">
        <v>44</v>
      </c>
      <c r="F40" s="2" t="inlineStr">
        <is>
          <t>Imported from your old tracker</t>
        </is>
      </c>
    </row>
    <row r="41">
      <c r="A41" s="38" t="n">
        <v>46054</v>
      </c>
      <c r="B41" s="39">
        <f>IF(A41="","",DATE(YEAR(A41),MONTH(A41),1))</f>
        <v/>
      </c>
      <c r="C41" s="14" t="inlineStr">
        <is>
          <t>Defence Tech</t>
        </is>
      </c>
      <c r="D41" s="14" t="inlineStr">
        <is>
          <t>Historical Flow</t>
        </is>
      </c>
      <c r="E41" s="6" t="n">
        <v>0</v>
      </c>
      <c r="F41" s="2" t="inlineStr">
        <is>
          <t>Imported from your old tracker</t>
        </is>
      </c>
    </row>
    <row r="42">
      <c r="A42" s="38" t="n">
        <v>46082</v>
      </c>
      <c r="B42" s="39">
        <f>IF(A42="","",DATE(YEAR(A42),MONTH(A42),1))</f>
        <v/>
      </c>
      <c r="C42" s="14" t="inlineStr">
        <is>
          <t>Core MSCI World</t>
        </is>
      </c>
      <c r="D42" s="14" t="inlineStr">
        <is>
          <t>Historical Flow</t>
        </is>
      </c>
      <c r="E42" s="6" t="n">
        <v>1539.76</v>
      </c>
      <c r="F42" s="2" t="inlineStr">
        <is>
          <t>Imported from your old tracker</t>
        </is>
      </c>
    </row>
    <row r="43">
      <c r="A43" s="38" t="n">
        <v>46082</v>
      </c>
      <c r="B43" s="39">
        <f>IF(A43="","",DATE(YEAR(A43),MONTH(A43),1))</f>
        <v/>
      </c>
      <c r="C43" s="14" t="inlineStr">
        <is>
          <t>AI &amp; Big Data</t>
        </is>
      </c>
      <c r="D43" s="14" t="inlineStr">
        <is>
          <t>Historical Flow</t>
        </is>
      </c>
      <c r="E43" s="6" t="n">
        <v>0</v>
      </c>
      <c r="F43" s="2" t="inlineStr">
        <is>
          <t>Imported from your old tracker</t>
        </is>
      </c>
    </row>
    <row r="44">
      <c r="A44" s="38" t="n">
        <v>46082</v>
      </c>
      <c r="B44" s="39">
        <f>IF(A44="","",DATE(YEAR(A44),MONTH(A44),1))</f>
        <v/>
      </c>
      <c r="C44" s="14" t="inlineStr">
        <is>
          <t>Physical Gold</t>
        </is>
      </c>
      <c r="D44" s="14" t="inlineStr">
        <is>
          <t>Historical Flow</t>
        </is>
      </c>
      <c r="E44" s="6" t="n">
        <v>220.99</v>
      </c>
      <c r="F44" s="2" t="inlineStr">
        <is>
          <t>Imported from your old tracker</t>
        </is>
      </c>
    </row>
    <row r="45">
      <c r="A45" s="38" t="n">
        <v>46082</v>
      </c>
      <c r="B45" s="39">
        <f>IF(A45="","",DATE(YEAR(A45),MONTH(A45),1))</f>
        <v/>
      </c>
      <c r="C45" s="14" t="inlineStr">
        <is>
          <t>Global Gov Bond</t>
        </is>
      </c>
      <c r="D45" s="14" t="inlineStr">
        <is>
          <t>Historical Flow</t>
        </is>
      </c>
      <c r="E45" s="6" t="n">
        <v>52</v>
      </c>
      <c r="F45" s="2" t="inlineStr">
        <is>
          <t>Imported from your old tracker</t>
        </is>
      </c>
    </row>
    <row r="46">
      <c r="A46" s="38" t="n">
        <v>46082</v>
      </c>
      <c r="B46" s="39">
        <f>IF(A46="","",DATE(YEAR(A46),MONTH(A46),1))</f>
        <v/>
      </c>
      <c r="C46" s="14" t="inlineStr">
        <is>
          <t>Core EUR Corp Bond</t>
        </is>
      </c>
      <c r="D46" s="14" t="inlineStr">
        <is>
          <t>Historical Flow</t>
        </is>
      </c>
      <c r="E46" s="6" t="n">
        <v>54</v>
      </c>
      <c r="F46" s="2" t="inlineStr">
        <is>
          <t>Imported from your old tracker</t>
        </is>
      </c>
    </row>
    <row r="47">
      <c r="A47" s="38" t="n">
        <v>46082</v>
      </c>
      <c r="B47" s="39">
        <f>IF(A47="","",DATE(YEAR(A47),MONTH(A47),1))</f>
        <v/>
      </c>
      <c r="C47" s="14" t="inlineStr">
        <is>
          <t>MSCI World Value</t>
        </is>
      </c>
      <c r="D47" s="14" t="inlineStr">
        <is>
          <t>Historical Flow</t>
        </is>
      </c>
      <c r="E47" s="6" t="n">
        <v>497</v>
      </c>
      <c r="F47" s="2" t="inlineStr">
        <is>
          <t>Imported from your old tracker</t>
        </is>
      </c>
    </row>
    <row r="48">
      <c r="A48" s="38" t="n">
        <v>46082</v>
      </c>
      <c r="B48" s="39">
        <f>IF(A48="","",DATE(YEAR(A48),MONTH(A48),1))</f>
        <v/>
      </c>
      <c r="C48" s="14" t="inlineStr">
        <is>
          <t>MSCI EM</t>
        </is>
      </c>
      <c r="D48" s="14" t="inlineStr">
        <is>
          <t>Historical Flow</t>
        </is>
      </c>
      <c r="E48" s="6" t="n">
        <v>645.99</v>
      </c>
      <c r="F48" s="2" t="inlineStr">
        <is>
          <t>Imported from your old tracker</t>
        </is>
      </c>
    </row>
    <row r="49">
      <c r="A49" s="38" t="n">
        <v>46082</v>
      </c>
      <c r="B49" s="39">
        <f>IF(A49="","",DATE(YEAR(A49),MONTH(A49),1))</f>
        <v/>
      </c>
      <c r="C49" s="14" t="inlineStr">
        <is>
          <t>Defence Tech</t>
        </is>
      </c>
      <c r="D49" s="14" t="inlineStr">
        <is>
          <t>Historical Flow</t>
        </is>
      </c>
      <c r="E49" s="6" t="n">
        <v>0</v>
      </c>
      <c r="F49" s="2" t="inlineStr">
        <is>
          <t>Imported from your old tracker</t>
        </is>
      </c>
    </row>
    <row r="50">
      <c r="A50" s="12" t="n"/>
      <c r="B50" s="30" t="n"/>
      <c r="C50" s="14" t="n"/>
      <c r="D50" s="14" t="inlineStr">
        <is>
          <t>Extra Buy</t>
        </is>
      </c>
      <c r="E50" s="6" t="n"/>
      <c r="F50" s="2" t="n"/>
    </row>
    <row r="51">
      <c r="A51" s="12" t="n"/>
      <c r="B51" s="30" t="n"/>
      <c r="C51" s="14" t="n"/>
      <c r="D51" s="14" t="inlineStr">
        <is>
          <t>Extra Buy</t>
        </is>
      </c>
      <c r="E51" s="6" t="n"/>
      <c r="F51" s="2" t="n"/>
    </row>
    <row r="52">
      <c r="A52" s="12" t="n"/>
      <c r="B52" s="30" t="n"/>
      <c r="C52" s="14" t="n"/>
      <c r="D52" s="14" t="inlineStr">
        <is>
          <t>Extra Buy</t>
        </is>
      </c>
      <c r="E52" s="6" t="n"/>
      <c r="F52" s="2" t="n"/>
    </row>
    <row r="53">
      <c r="A53" s="12" t="n"/>
      <c r="B53" s="30" t="n"/>
      <c r="C53" s="14" t="n"/>
      <c r="D53" s="14" t="inlineStr">
        <is>
          <t>Extra Buy</t>
        </is>
      </c>
      <c r="E53" s="6" t="n"/>
      <c r="F53" s="2" t="n"/>
    </row>
    <row r="54">
      <c r="A54" s="12" t="n"/>
      <c r="B54" s="30" t="n"/>
      <c r="C54" s="14" t="n"/>
      <c r="D54" s="14" t="inlineStr">
        <is>
          <t>Extra Buy</t>
        </is>
      </c>
      <c r="E54" s="6" t="n"/>
      <c r="F54" s="2" t="n"/>
    </row>
    <row r="55">
      <c r="A55" s="12" t="n"/>
      <c r="B55" s="30" t="n"/>
      <c r="C55" s="14" t="n"/>
      <c r="D55" s="14" t="inlineStr">
        <is>
          <t>Extra Buy</t>
        </is>
      </c>
      <c r="E55" s="6" t="n"/>
      <c r="F55" s="2" t="n"/>
    </row>
    <row r="56">
      <c r="A56" s="12" t="n"/>
      <c r="B56" s="30" t="n"/>
      <c r="C56" s="14" t="n"/>
      <c r="D56" s="14" t="inlineStr">
        <is>
          <t>Extra Buy</t>
        </is>
      </c>
      <c r="E56" s="6" t="n"/>
      <c r="F56" s="2" t="n"/>
    </row>
    <row r="57">
      <c r="A57" s="12" t="n"/>
      <c r="B57" s="30" t="n"/>
      <c r="C57" s="14" t="n"/>
      <c r="D57" s="14" t="inlineStr">
        <is>
          <t>Extra Buy</t>
        </is>
      </c>
      <c r="E57" s="6" t="n"/>
      <c r="F57" s="2" t="n"/>
    </row>
    <row r="58">
      <c r="A58" s="12" t="n"/>
      <c r="B58" s="30" t="n"/>
      <c r="C58" s="14" t="n"/>
      <c r="D58" s="14" t="inlineStr">
        <is>
          <t>Extra Buy</t>
        </is>
      </c>
      <c r="E58" s="6" t="n"/>
      <c r="F58" s="2" t="n"/>
    </row>
    <row r="59">
      <c r="A59" s="12" t="n"/>
      <c r="B59" s="30" t="n"/>
      <c r="C59" s="14" t="n"/>
      <c r="D59" s="14" t="inlineStr">
        <is>
          <t>Extra Buy</t>
        </is>
      </c>
      <c r="E59" s="6" t="n"/>
      <c r="F59" s="2" t="n"/>
    </row>
    <row r="60">
      <c r="A60" s="12" t="n"/>
      <c r="B60" s="30" t="n"/>
      <c r="C60" s="14" t="n"/>
      <c r="D60" s="14" t="inlineStr">
        <is>
          <t>Extra Buy</t>
        </is>
      </c>
      <c r="E60" s="6" t="n"/>
      <c r="F60" s="2" t="n"/>
    </row>
    <row r="61">
      <c r="A61" s="12" t="n"/>
      <c r="B61" s="30" t="n"/>
      <c r="C61" s="14" t="n"/>
      <c r="D61" s="14" t="inlineStr">
        <is>
          <t>Extra Buy</t>
        </is>
      </c>
      <c r="E61" s="6" t="n"/>
      <c r="F61" s="2" t="n"/>
    </row>
    <row r="62">
      <c r="A62" s="12" t="n"/>
      <c r="B62" s="30" t="n"/>
      <c r="C62" s="14" t="n"/>
      <c r="D62" s="14" t="inlineStr">
        <is>
          <t>Extra Buy</t>
        </is>
      </c>
      <c r="E62" s="6" t="n"/>
      <c r="F62" s="2" t="n"/>
    </row>
    <row r="63">
      <c r="A63" s="12" t="n"/>
      <c r="B63" s="30" t="n"/>
      <c r="C63" s="14" t="n"/>
      <c r="D63" s="14" t="inlineStr">
        <is>
          <t>Extra Buy</t>
        </is>
      </c>
      <c r="E63" s="6" t="n"/>
      <c r="F63" s="2" t="n"/>
    </row>
    <row r="64">
      <c r="A64" s="12" t="n"/>
      <c r="B64" s="30" t="n"/>
      <c r="C64" s="14" t="n"/>
      <c r="D64" s="14" t="inlineStr">
        <is>
          <t>Extra Buy</t>
        </is>
      </c>
      <c r="E64" s="6" t="n"/>
      <c r="F64" s="2" t="n"/>
    </row>
    <row r="65">
      <c r="A65" s="12" t="n"/>
      <c r="B65" s="30" t="n"/>
      <c r="C65" s="14" t="n"/>
      <c r="D65" s="14" t="inlineStr">
        <is>
          <t>Extra Buy</t>
        </is>
      </c>
      <c r="E65" s="6" t="n"/>
      <c r="F65" s="2" t="n"/>
    </row>
    <row r="66">
      <c r="A66" s="12" t="n"/>
      <c r="B66" s="30" t="n"/>
      <c r="C66" s="14" t="n"/>
      <c r="D66" s="14" t="inlineStr">
        <is>
          <t>Extra Buy</t>
        </is>
      </c>
      <c r="E66" s="6" t="n"/>
      <c r="F66" s="2" t="n"/>
    </row>
    <row r="67">
      <c r="A67" s="12" t="n"/>
      <c r="B67" s="30" t="n"/>
      <c r="C67" s="14" t="n"/>
      <c r="D67" s="14" t="inlineStr">
        <is>
          <t>Extra Buy</t>
        </is>
      </c>
      <c r="E67" s="6" t="n"/>
      <c r="F67" s="2" t="n"/>
    </row>
    <row r="68">
      <c r="A68" s="12" t="n"/>
      <c r="B68" s="30" t="n"/>
      <c r="C68" s="14" t="n"/>
      <c r="D68" s="14" t="inlineStr">
        <is>
          <t>Extra Buy</t>
        </is>
      </c>
      <c r="E68" s="6" t="n"/>
      <c r="F68" s="2" t="n"/>
    </row>
    <row r="69">
      <c r="A69" s="12" t="n"/>
      <c r="B69" s="30" t="n"/>
      <c r="C69" s="14" t="n"/>
      <c r="D69" s="14" t="inlineStr">
        <is>
          <t>Extra Buy</t>
        </is>
      </c>
      <c r="E69" s="6" t="n"/>
      <c r="F69" s="2" t="n"/>
    </row>
    <row r="70">
      <c r="A70" s="12" t="n"/>
      <c r="B70" s="30" t="n"/>
      <c r="C70" s="14" t="n"/>
      <c r="D70" s="14" t="inlineStr">
        <is>
          <t>Extra Buy</t>
        </is>
      </c>
      <c r="E70" s="6" t="n"/>
      <c r="F70" s="2" t="n"/>
    </row>
    <row r="71">
      <c r="A71" s="12" t="n"/>
      <c r="B71" s="30" t="n"/>
      <c r="C71" s="14" t="n"/>
      <c r="D71" s="14" t="inlineStr">
        <is>
          <t>Extra Buy</t>
        </is>
      </c>
      <c r="E71" s="6" t="n"/>
      <c r="F71" s="2" t="n"/>
    </row>
    <row r="72">
      <c r="A72" s="12" t="n"/>
      <c r="B72" s="30" t="n"/>
      <c r="C72" s="14" t="n"/>
      <c r="D72" s="14" t="inlineStr">
        <is>
          <t>Extra Buy</t>
        </is>
      </c>
      <c r="E72" s="6" t="n"/>
      <c r="F72" s="2" t="n"/>
    </row>
    <row r="73">
      <c r="A73" s="12" t="n"/>
      <c r="B73" s="30" t="n"/>
      <c r="C73" s="14" t="n"/>
      <c r="D73" s="14" t="inlineStr">
        <is>
          <t>Extra Buy</t>
        </is>
      </c>
      <c r="E73" s="6" t="n"/>
      <c r="F73" s="2" t="n"/>
    </row>
    <row r="74">
      <c r="A74" s="12" t="n"/>
      <c r="B74" s="30" t="n"/>
      <c r="C74" s="14" t="n"/>
      <c r="D74" s="14" t="inlineStr">
        <is>
          <t>Extra Buy</t>
        </is>
      </c>
      <c r="E74" s="6" t="n"/>
      <c r="F74" s="2" t="n"/>
    </row>
    <row r="75">
      <c r="A75" s="12" t="n"/>
      <c r="B75" s="30" t="n"/>
      <c r="C75" s="14" t="n"/>
      <c r="D75" s="14" t="inlineStr">
        <is>
          <t>Extra Buy</t>
        </is>
      </c>
      <c r="E75" s="6" t="n"/>
      <c r="F75" s="2" t="n"/>
    </row>
    <row r="76">
      <c r="A76" s="12" t="n"/>
      <c r="B76" s="30" t="n"/>
      <c r="C76" s="14" t="n"/>
      <c r="D76" s="14" t="inlineStr">
        <is>
          <t>Extra Buy</t>
        </is>
      </c>
      <c r="E76" s="6" t="n"/>
      <c r="F76" s="2" t="n"/>
    </row>
    <row r="77">
      <c r="A77" s="12" t="n"/>
      <c r="B77" s="30" t="n"/>
      <c r="C77" s="14" t="n"/>
      <c r="D77" s="14" t="inlineStr">
        <is>
          <t>Extra Buy</t>
        </is>
      </c>
      <c r="E77" s="6" t="n"/>
      <c r="F77" s="2" t="n"/>
    </row>
    <row r="78">
      <c r="A78" s="12" t="n"/>
      <c r="B78" s="30" t="n"/>
      <c r="C78" s="14" t="n"/>
      <c r="D78" s="14" t="inlineStr">
        <is>
          <t>Extra Buy</t>
        </is>
      </c>
      <c r="E78" s="6" t="n"/>
      <c r="F78" s="2" t="n"/>
    </row>
    <row r="79">
      <c r="A79" s="12" t="n"/>
      <c r="B79" s="30" t="n"/>
      <c r="C79" s="14" t="n"/>
      <c r="D79" s="14" t="inlineStr">
        <is>
          <t>Extra Buy</t>
        </is>
      </c>
      <c r="E79" s="6" t="n"/>
      <c r="F79" s="2" t="n"/>
    </row>
    <row r="80">
      <c r="A80" s="12" t="n"/>
      <c r="B80" s="30" t="n"/>
      <c r="C80" s="14" t="n"/>
      <c r="D80" s="14" t="inlineStr">
        <is>
          <t>Extra Buy</t>
        </is>
      </c>
      <c r="E80" s="6" t="n"/>
      <c r="F80" s="2" t="n"/>
    </row>
    <row r="81">
      <c r="A81" s="12" t="n"/>
      <c r="B81" s="30" t="n"/>
      <c r="C81" s="14" t="n"/>
      <c r="D81" s="14" t="inlineStr">
        <is>
          <t>Extra Buy</t>
        </is>
      </c>
      <c r="E81" s="6" t="n"/>
      <c r="F81" s="2" t="n"/>
    </row>
    <row r="82">
      <c r="A82" s="12" t="n"/>
      <c r="B82" s="30" t="n"/>
      <c r="C82" s="14" t="n"/>
      <c r="D82" s="14" t="inlineStr">
        <is>
          <t>Extra Buy</t>
        </is>
      </c>
      <c r="E82" s="6" t="n"/>
      <c r="F82" s="2" t="n"/>
    </row>
    <row r="83">
      <c r="A83" s="12" t="n"/>
      <c r="B83" s="30" t="n"/>
      <c r="C83" s="14" t="n"/>
      <c r="D83" s="14" t="inlineStr">
        <is>
          <t>Extra Buy</t>
        </is>
      </c>
      <c r="E83" s="6" t="n"/>
      <c r="F83" s="2" t="n"/>
    </row>
    <row r="84">
      <c r="A84" s="12" t="n"/>
      <c r="B84" s="30" t="n"/>
      <c r="C84" s="14" t="n"/>
      <c r="D84" s="14" t="inlineStr">
        <is>
          <t>Extra Buy</t>
        </is>
      </c>
      <c r="E84" s="6" t="n"/>
      <c r="F84" s="2" t="n"/>
    </row>
    <row r="85">
      <c r="A85" s="12" t="n"/>
      <c r="B85" s="30" t="n"/>
      <c r="C85" s="14" t="n"/>
      <c r="D85" s="14" t="inlineStr">
        <is>
          <t>Extra Buy</t>
        </is>
      </c>
      <c r="E85" s="6" t="n"/>
      <c r="F85" s="2" t="n"/>
    </row>
    <row r="86">
      <c r="A86" s="12" t="n"/>
      <c r="B86" s="30" t="n"/>
      <c r="C86" s="14" t="n"/>
      <c r="D86" s="14" t="inlineStr">
        <is>
          <t>Extra Buy</t>
        </is>
      </c>
      <c r="E86" s="6" t="n"/>
      <c r="F86" s="2" t="n"/>
    </row>
    <row r="87">
      <c r="A87" s="12" t="n"/>
      <c r="B87" s="30" t="n"/>
      <c r="C87" s="14" t="n"/>
      <c r="D87" s="14" t="inlineStr">
        <is>
          <t>Extra Buy</t>
        </is>
      </c>
      <c r="E87" s="6" t="n"/>
      <c r="F87" s="2" t="n"/>
    </row>
    <row r="88">
      <c r="A88" s="12" t="n"/>
      <c r="B88" s="30" t="n"/>
      <c r="C88" s="14" t="n"/>
      <c r="D88" s="14" t="inlineStr">
        <is>
          <t>Extra Buy</t>
        </is>
      </c>
      <c r="E88" s="6" t="n"/>
      <c r="F88" s="2" t="n"/>
    </row>
    <row r="89">
      <c r="A89" s="12" t="n"/>
      <c r="B89" s="30" t="n"/>
      <c r="C89" s="14" t="n"/>
      <c r="D89" s="14" t="inlineStr">
        <is>
          <t>Extra Buy</t>
        </is>
      </c>
      <c r="E89" s="6" t="n"/>
      <c r="F89" s="2" t="n"/>
    </row>
    <row r="90">
      <c r="A90" s="12" t="n"/>
      <c r="B90" s="30" t="n"/>
      <c r="C90" s="14" t="n"/>
      <c r="D90" s="14" t="inlineStr">
        <is>
          <t>Extra Buy</t>
        </is>
      </c>
      <c r="E90" s="6" t="n"/>
      <c r="F90" s="2" t="n"/>
    </row>
    <row r="91">
      <c r="A91" s="12" t="n"/>
      <c r="B91" s="30" t="n"/>
      <c r="C91" s="14" t="n"/>
      <c r="D91" s="14" t="inlineStr">
        <is>
          <t>Extra Buy</t>
        </is>
      </c>
      <c r="E91" s="6" t="n"/>
      <c r="F91" s="2" t="n"/>
    </row>
    <row r="92">
      <c r="A92" s="12" t="n"/>
      <c r="B92" s="30" t="n"/>
      <c r="C92" s="14" t="n"/>
      <c r="D92" s="14" t="inlineStr">
        <is>
          <t>Extra Buy</t>
        </is>
      </c>
      <c r="E92" s="6" t="n"/>
      <c r="F92" s="2" t="n"/>
    </row>
    <row r="93">
      <c r="A93" s="12" t="n"/>
      <c r="B93" s="30" t="n"/>
      <c r="C93" s="14" t="n"/>
      <c r="D93" s="14" t="inlineStr">
        <is>
          <t>Extra Buy</t>
        </is>
      </c>
      <c r="E93" s="6" t="n"/>
      <c r="F93" s="2" t="n"/>
    </row>
    <row r="94">
      <c r="A94" s="12" t="n"/>
      <c r="B94" s="30" t="n"/>
      <c r="C94" s="14" t="n"/>
      <c r="D94" s="14" t="inlineStr">
        <is>
          <t>Extra Buy</t>
        </is>
      </c>
      <c r="E94" s="6" t="n"/>
      <c r="F94" s="2" t="n"/>
    </row>
    <row r="95">
      <c r="A95" s="12" t="n"/>
      <c r="B95" s="30" t="n"/>
      <c r="C95" s="14" t="n"/>
      <c r="D95" s="14" t="inlineStr">
        <is>
          <t>Extra Buy</t>
        </is>
      </c>
      <c r="E95" s="6" t="n"/>
      <c r="F95" s="2" t="n"/>
    </row>
    <row r="96">
      <c r="A96" s="12" t="n"/>
      <c r="B96" s="30" t="n"/>
      <c r="C96" s="14" t="n"/>
      <c r="D96" s="14" t="inlineStr">
        <is>
          <t>Extra Buy</t>
        </is>
      </c>
      <c r="E96" s="6" t="n"/>
      <c r="F96" s="2" t="n"/>
    </row>
    <row r="97">
      <c r="A97" s="12" t="n"/>
      <c r="B97" s="30" t="n"/>
      <c r="C97" s="14" t="n"/>
      <c r="D97" s="14" t="inlineStr">
        <is>
          <t>Extra Buy</t>
        </is>
      </c>
      <c r="E97" s="6" t="n"/>
      <c r="F97" s="2" t="n"/>
    </row>
    <row r="98">
      <c r="A98" s="12" t="n"/>
      <c r="B98" s="30" t="n"/>
      <c r="C98" s="14" t="n"/>
      <c r="D98" s="14" t="inlineStr">
        <is>
          <t>Extra Buy</t>
        </is>
      </c>
      <c r="E98" s="6" t="n"/>
      <c r="F98" s="2" t="n"/>
    </row>
    <row r="99">
      <c r="A99" s="12" t="n"/>
      <c r="B99" s="30" t="n"/>
      <c r="C99" s="14" t="n"/>
      <c r="D99" s="14" t="inlineStr">
        <is>
          <t>Extra Buy</t>
        </is>
      </c>
      <c r="E99" s="6" t="n"/>
      <c r="F99" s="2" t="n"/>
    </row>
    <row r="100">
      <c r="A100" s="12" t="n"/>
      <c r="B100" s="30" t="n"/>
      <c r="C100" s="14" t="n"/>
      <c r="D100" s="14" t="inlineStr">
        <is>
          <t>Extra Buy</t>
        </is>
      </c>
      <c r="E100" s="6" t="n"/>
      <c r="F100" s="2" t="n"/>
    </row>
    <row r="101">
      <c r="A101" s="12" t="n"/>
      <c r="B101" s="30" t="n"/>
      <c r="C101" s="14" t="n"/>
      <c r="D101" s="14" t="inlineStr">
        <is>
          <t>Extra Buy</t>
        </is>
      </c>
      <c r="E101" s="6" t="n"/>
      <c r="F101" s="2" t="n"/>
    </row>
    <row r="102">
      <c r="A102" s="12" t="n"/>
      <c r="B102" s="30" t="n"/>
      <c r="C102" s="14" t="n"/>
      <c r="D102" s="14" t="inlineStr">
        <is>
          <t>Extra Buy</t>
        </is>
      </c>
      <c r="E102" s="6" t="n"/>
      <c r="F102" s="2" t="n"/>
    </row>
    <row r="103">
      <c r="A103" s="12" t="n"/>
      <c r="B103" s="30" t="n"/>
      <c r="C103" s="14" t="n"/>
      <c r="D103" s="14" t="inlineStr">
        <is>
          <t>Extra Buy</t>
        </is>
      </c>
      <c r="E103" s="6" t="n"/>
      <c r="F103" s="2" t="n"/>
    </row>
    <row r="104">
      <c r="A104" s="12" t="n"/>
      <c r="B104" s="30" t="n"/>
      <c r="C104" s="14" t="n"/>
      <c r="D104" s="14" t="inlineStr">
        <is>
          <t>Extra Buy</t>
        </is>
      </c>
      <c r="E104" s="6" t="n"/>
      <c r="F104" s="2" t="n"/>
    </row>
    <row r="105">
      <c r="A105" s="12" t="n"/>
      <c r="B105" s="30" t="n"/>
      <c r="C105" s="14" t="n"/>
      <c r="D105" s="14" t="inlineStr">
        <is>
          <t>Extra Buy</t>
        </is>
      </c>
      <c r="E105" s="6" t="n"/>
      <c r="F105" s="2" t="n"/>
    </row>
    <row r="106">
      <c r="A106" s="12" t="n"/>
      <c r="B106" s="30" t="n"/>
      <c r="C106" s="14" t="n"/>
      <c r="D106" s="14" t="inlineStr">
        <is>
          <t>Extra Buy</t>
        </is>
      </c>
      <c r="E106" s="6" t="n"/>
      <c r="F106" s="2" t="n"/>
    </row>
    <row r="107">
      <c r="A107" s="12" t="n"/>
      <c r="B107" s="30" t="n"/>
      <c r="C107" s="14" t="n"/>
      <c r="D107" s="14" t="inlineStr">
        <is>
          <t>Extra Buy</t>
        </is>
      </c>
      <c r="E107" s="6" t="n"/>
      <c r="F107" s="2" t="n"/>
    </row>
    <row r="108">
      <c r="A108" s="12" t="n"/>
      <c r="B108" s="30" t="n"/>
      <c r="C108" s="14" t="n"/>
      <c r="D108" s="14" t="inlineStr">
        <is>
          <t>Extra Buy</t>
        </is>
      </c>
      <c r="E108" s="6" t="n"/>
      <c r="F108" s="2" t="n"/>
    </row>
    <row r="109">
      <c r="A109" s="12" t="n"/>
      <c r="B109" s="30" t="n"/>
      <c r="C109" s="14" t="n"/>
      <c r="D109" s="14" t="inlineStr">
        <is>
          <t>Extra Buy</t>
        </is>
      </c>
      <c r="E109" s="6" t="n"/>
      <c r="F109" s="2" t="n"/>
    </row>
    <row r="110">
      <c r="A110" s="12" t="n"/>
      <c r="B110" s="30" t="n"/>
      <c r="C110" s="14" t="n"/>
      <c r="D110" s="14" t="inlineStr">
        <is>
          <t>Extra Buy</t>
        </is>
      </c>
      <c r="E110" s="6" t="n"/>
      <c r="F110" s="2" t="n"/>
    </row>
    <row r="111">
      <c r="A111" s="12" t="n"/>
      <c r="B111" s="30" t="n"/>
      <c r="C111" s="14" t="n"/>
      <c r="D111" s="14" t="inlineStr">
        <is>
          <t>Extra Buy</t>
        </is>
      </c>
      <c r="E111" s="6" t="n"/>
      <c r="F111" s="2" t="n"/>
    </row>
    <row r="112">
      <c r="A112" s="12" t="n"/>
      <c r="B112" s="30" t="n"/>
      <c r="C112" s="14" t="n"/>
      <c r="D112" s="14" t="inlineStr">
        <is>
          <t>Extra Buy</t>
        </is>
      </c>
      <c r="E112" s="6" t="n"/>
      <c r="F112" s="2" t="n"/>
    </row>
    <row r="113">
      <c r="A113" s="12" t="n"/>
      <c r="B113" s="30" t="n"/>
      <c r="C113" s="14" t="n"/>
      <c r="D113" s="14" t="inlineStr">
        <is>
          <t>Extra Buy</t>
        </is>
      </c>
      <c r="E113" s="6" t="n"/>
      <c r="F113" s="2" t="n"/>
    </row>
    <row r="114">
      <c r="A114" s="12" t="n"/>
      <c r="B114" s="30" t="n"/>
      <c r="C114" s="14" t="n"/>
      <c r="D114" s="14" t="inlineStr">
        <is>
          <t>Extra Buy</t>
        </is>
      </c>
      <c r="E114" s="6" t="n"/>
      <c r="F114" s="2" t="n"/>
    </row>
    <row r="115">
      <c r="A115" s="12" t="n"/>
      <c r="B115" s="30" t="n"/>
      <c r="C115" s="14" t="n"/>
      <c r="D115" s="14" t="inlineStr">
        <is>
          <t>Extra Buy</t>
        </is>
      </c>
      <c r="E115" s="6" t="n"/>
      <c r="F115" s="2" t="n"/>
    </row>
    <row r="116">
      <c r="A116" s="12" t="n"/>
      <c r="B116" s="30" t="n"/>
      <c r="C116" s="14" t="n"/>
      <c r="D116" s="14" t="inlineStr">
        <is>
          <t>Extra Buy</t>
        </is>
      </c>
      <c r="E116" s="6" t="n"/>
      <c r="F116" s="2" t="n"/>
    </row>
    <row r="117">
      <c r="A117" s="12" t="n"/>
      <c r="B117" s="30" t="n"/>
      <c r="C117" s="14" t="n"/>
      <c r="D117" s="14" t="inlineStr">
        <is>
          <t>Extra Buy</t>
        </is>
      </c>
      <c r="E117" s="6" t="n"/>
      <c r="F117" s="2" t="n"/>
    </row>
    <row r="118">
      <c r="A118" s="12" t="n"/>
      <c r="B118" s="30" t="n"/>
      <c r="C118" s="14" t="n"/>
      <c r="D118" s="14" t="inlineStr">
        <is>
          <t>Extra Buy</t>
        </is>
      </c>
      <c r="E118" s="6" t="n"/>
      <c r="F118" s="2" t="n"/>
    </row>
    <row r="119">
      <c r="A119" s="12" t="n"/>
      <c r="B119" s="30" t="n"/>
      <c r="C119" s="14" t="n"/>
      <c r="D119" s="14" t="inlineStr">
        <is>
          <t>Extra Buy</t>
        </is>
      </c>
      <c r="E119" s="6" t="n"/>
      <c r="F119" s="2" t="n"/>
    </row>
    <row r="120">
      <c r="A120" s="12" t="n"/>
      <c r="B120" s="30" t="n"/>
      <c r="C120" s="14" t="n"/>
      <c r="D120" s="14" t="inlineStr">
        <is>
          <t>Extra Buy</t>
        </is>
      </c>
      <c r="E120" s="6" t="n"/>
      <c r="F120" s="2" t="n"/>
    </row>
    <row r="121">
      <c r="A121" s="12" t="n"/>
      <c r="B121" s="30" t="n"/>
      <c r="C121" s="14" t="n"/>
      <c r="D121" s="14" t="inlineStr">
        <is>
          <t>Extra Buy</t>
        </is>
      </c>
      <c r="E121" s="6" t="n"/>
      <c r="F121" s="2" t="n"/>
    </row>
    <row r="122">
      <c r="A122" s="12" t="n"/>
      <c r="B122" s="30" t="n"/>
      <c r="C122" s="14" t="n"/>
      <c r="D122" s="14" t="inlineStr">
        <is>
          <t>Extra Buy</t>
        </is>
      </c>
      <c r="E122" s="6" t="n"/>
      <c r="F122" s="2" t="n"/>
    </row>
    <row r="123">
      <c r="A123" s="12" t="n"/>
      <c r="B123" s="30" t="n"/>
      <c r="C123" s="14" t="n"/>
      <c r="D123" s="14" t="inlineStr">
        <is>
          <t>Extra Buy</t>
        </is>
      </c>
      <c r="E123" s="6" t="n"/>
      <c r="F123" s="2" t="n"/>
    </row>
    <row r="124">
      <c r="A124" s="12" t="n"/>
      <c r="B124" s="30" t="n"/>
      <c r="C124" s="14" t="n"/>
      <c r="D124" s="14" t="inlineStr">
        <is>
          <t>Extra Buy</t>
        </is>
      </c>
      <c r="E124" s="6" t="n"/>
      <c r="F124" s="2" t="n"/>
    </row>
    <row r="125">
      <c r="A125" s="12" t="n"/>
      <c r="B125" s="30" t="n"/>
      <c r="C125" s="14" t="n"/>
      <c r="D125" s="14" t="inlineStr">
        <is>
          <t>Extra Buy</t>
        </is>
      </c>
      <c r="E125" s="6" t="n"/>
      <c r="F125" s="2" t="n"/>
    </row>
    <row r="126">
      <c r="A126" s="12" t="n"/>
      <c r="B126" s="30" t="n"/>
      <c r="C126" s="14" t="n"/>
      <c r="D126" s="14" t="inlineStr">
        <is>
          <t>Extra Buy</t>
        </is>
      </c>
      <c r="E126" s="6" t="n"/>
      <c r="F126" s="2" t="n"/>
    </row>
    <row r="127">
      <c r="A127" s="12" t="n"/>
      <c r="B127" s="30" t="n"/>
      <c r="C127" s="14" t="n"/>
      <c r="D127" s="14" t="inlineStr">
        <is>
          <t>Extra Buy</t>
        </is>
      </c>
      <c r="E127" s="6" t="n"/>
      <c r="F127" s="2" t="n"/>
    </row>
    <row r="128">
      <c r="A128" s="12" t="n"/>
      <c r="B128" s="30" t="n"/>
      <c r="C128" s="14" t="n"/>
      <c r="D128" s="14" t="inlineStr">
        <is>
          <t>Extra Buy</t>
        </is>
      </c>
      <c r="E128" s="6" t="n"/>
      <c r="F128" s="2" t="n"/>
    </row>
    <row r="129">
      <c r="A129" s="12" t="n"/>
      <c r="B129" s="30" t="n"/>
      <c r="C129" s="14" t="n"/>
      <c r="D129" s="14" t="inlineStr">
        <is>
          <t>Extra Buy</t>
        </is>
      </c>
      <c r="E129" s="6" t="n"/>
      <c r="F129" s="2" t="n"/>
    </row>
    <row r="130">
      <c r="A130" s="12" t="n"/>
      <c r="B130" s="30" t="n"/>
      <c r="C130" s="14" t="n"/>
      <c r="D130" s="14" t="inlineStr">
        <is>
          <t>Extra Buy</t>
        </is>
      </c>
      <c r="E130" s="6" t="n"/>
      <c r="F130" s="2" t="n"/>
    </row>
    <row r="131">
      <c r="A131" s="12" t="n"/>
      <c r="B131" s="30" t="n"/>
      <c r="C131" s="14" t="n"/>
      <c r="D131" s="14" t="inlineStr">
        <is>
          <t>Extra Buy</t>
        </is>
      </c>
      <c r="E131" s="6" t="n"/>
      <c r="F131" s="2" t="n"/>
    </row>
    <row r="132">
      <c r="A132" s="12" t="n"/>
      <c r="B132" s="30" t="n"/>
      <c r="C132" s="14" t="n"/>
      <c r="D132" s="14" t="inlineStr">
        <is>
          <t>Extra Buy</t>
        </is>
      </c>
      <c r="E132" s="6" t="n"/>
      <c r="F132" s="2" t="n"/>
    </row>
    <row r="133">
      <c r="A133" s="12" t="n"/>
      <c r="B133" s="30" t="n"/>
      <c r="C133" s="14" t="n"/>
      <c r="D133" s="14" t="inlineStr">
        <is>
          <t>Extra Buy</t>
        </is>
      </c>
      <c r="E133" s="6" t="n"/>
      <c r="F133" s="2" t="n"/>
    </row>
    <row r="134">
      <c r="A134" s="12" t="n"/>
      <c r="B134" s="30" t="n"/>
      <c r="C134" s="14" t="n"/>
      <c r="D134" s="14" t="inlineStr">
        <is>
          <t>Extra Buy</t>
        </is>
      </c>
      <c r="E134" s="6" t="n"/>
      <c r="F134" s="2" t="n"/>
    </row>
    <row r="135">
      <c r="A135" s="12" t="n"/>
      <c r="B135" s="30" t="n"/>
      <c r="C135" s="14" t="n"/>
      <c r="D135" s="14" t="inlineStr">
        <is>
          <t>Extra Buy</t>
        </is>
      </c>
      <c r="E135" s="6" t="n"/>
      <c r="F135" s="2" t="n"/>
    </row>
    <row r="136">
      <c r="A136" s="12" t="n"/>
      <c r="B136" s="30" t="n"/>
      <c r="C136" s="14" t="n"/>
      <c r="D136" s="14" t="inlineStr">
        <is>
          <t>Extra Buy</t>
        </is>
      </c>
      <c r="E136" s="6" t="n"/>
      <c r="F136" s="2" t="n"/>
    </row>
    <row r="137">
      <c r="A137" s="12" t="n"/>
      <c r="B137" s="30" t="n"/>
      <c r="C137" s="14" t="n"/>
      <c r="D137" s="14" t="inlineStr">
        <is>
          <t>Extra Buy</t>
        </is>
      </c>
      <c r="E137" s="6" t="n"/>
      <c r="F137" s="2" t="n"/>
    </row>
    <row r="138">
      <c r="A138" s="12" t="n"/>
      <c r="B138" s="30" t="n"/>
      <c r="C138" s="14" t="n"/>
      <c r="D138" s="14" t="inlineStr">
        <is>
          <t>Extra Buy</t>
        </is>
      </c>
      <c r="E138" s="6" t="n"/>
      <c r="F138" s="2" t="n"/>
    </row>
    <row r="139">
      <c r="A139" s="12" t="n"/>
      <c r="B139" s="30" t="n"/>
      <c r="C139" s="14" t="n"/>
      <c r="D139" s="14" t="inlineStr">
        <is>
          <t>Extra Buy</t>
        </is>
      </c>
      <c r="E139" s="6" t="n"/>
      <c r="F139" s="2" t="n"/>
    </row>
    <row r="140">
      <c r="A140" s="12" t="n"/>
      <c r="B140" s="30" t="n"/>
      <c r="C140" s="14" t="n"/>
      <c r="D140" s="14" t="inlineStr">
        <is>
          <t>Extra Buy</t>
        </is>
      </c>
      <c r="E140" s="6" t="n"/>
      <c r="F140" s="2" t="n"/>
    </row>
    <row r="141">
      <c r="A141" s="12" t="n"/>
      <c r="B141" s="30" t="n"/>
      <c r="C141" s="14" t="n"/>
      <c r="D141" s="14" t="inlineStr">
        <is>
          <t>Extra Buy</t>
        </is>
      </c>
      <c r="E141" s="6" t="n"/>
      <c r="F141" s="2" t="n"/>
    </row>
    <row r="142">
      <c r="A142" s="12" t="n"/>
      <c r="B142" s="30" t="n"/>
      <c r="C142" s="14" t="n"/>
      <c r="D142" s="14" t="inlineStr">
        <is>
          <t>Extra Buy</t>
        </is>
      </c>
      <c r="E142" s="6" t="n"/>
      <c r="F142" s="2" t="n"/>
    </row>
    <row r="143">
      <c r="A143" s="12" t="n"/>
      <c r="B143" s="30" t="n"/>
      <c r="C143" s="14" t="n"/>
      <c r="D143" s="14" t="inlineStr">
        <is>
          <t>Extra Buy</t>
        </is>
      </c>
      <c r="E143" s="6" t="n"/>
      <c r="F143" s="2" t="n"/>
    </row>
    <row r="144">
      <c r="A144" s="12" t="n"/>
      <c r="B144" s="30" t="n"/>
      <c r="C144" s="14" t="n"/>
      <c r="D144" s="14" t="inlineStr">
        <is>
          <t>Extra Buy</t>
        </is>
      </c>
      <c r="E144" s="6" t="n"/>
      <c r="F144" s="2" t="n"/>
    </row>
    <row r="145">
      <c r="A145" s="12" t="n"/>
      <c r="B145" s="30" t="n"/>
      <c r="C145" s="14" t="n"/>
      <c r="D145" s="14" t="inlineStr">
        <is>
          <t>Extra Buy</t>
        </is>
      </c>
      <c r="E145" s="6" t="n"/>
      <c r="F145" s="2" t="n"/>
    </row>
    <row r="146">
      <c r="A146" s="12" t="n"/>
      <c r="B146" s="30" t="n"/>
      <c r="C146" s="14" t="n"/>
      <c r="D146" s="14" t="inlineStr">
        <is>
          <t>Extra Buy</t>
        </is>
      </c>
      <c r="E146" s="6" t="n"/>
      <c r="F146" s="2" t="n"/>
    </row>
    <row r="147">
      <c r="A147" s="12" t="n"/>
      <c r="B147" s="30" t="n"/>
      <c r="C147" s="14" t="n"/>
      <c r="D147" s="14" t="inlineStr">
        <is>
          <t>Extra Buy</t>
        </is>
      </c>
      <c r="E147" s="6" t="n"/>
      <c r="F147" s="2" t="n"/>
    </row>
    <row r="148">
      <c r="A148" s="12" t="n"/>
      <c r="B148" s="30" t="n"/>
      <c r="C148" s="14" t="n"/>
      <c r="D148" s="14" t="inlineStr">
        <is>
          <t>Extra Buy</t>
        </is>
      </c>
      <c r="E148" s="6" t="n"/>
      <c r="F148" s="2" t="n"/>
    </row>
    <row r="149">
      <c r="A149" s="12" t="n"/>
      <c r="B149" s="30" t="n"/>
      <c r="C149" s="14" t="n"/>
      <c r="D149" s="14" t="inlineStr">
        <is>
          <t>Extra Buy</t>
        </is>
      </c>
      <c r="E149" s="6" t="n"/>
      <c r="F149" s="2" t="n"/>
    </row>
    <row r="150">
      <c r="A150" s="12" t="n"/>
      <c r="B150" s="30" t="n"/>
      <c r="C150" s="14" t="n"/>
      <c r="D150" s="14" t="inlineStr">
        <is>
          <t>Extra Buy</t>
        </is>
      </c>
      <c r="E150" s="6" t="n"/>
      <c r="F150" s="2" t="n"/>
    </row>
    <row r="151">
      <c r="A151" s="12" t="n"/>
      <c r="B151" s="30" t="n"/>
      <c r="C151" s="14" t="n"/>
      <c r="D151" s="14" t="inlineStr">
        <is>
          <t>Extra Buy</t>
        </is>
      </c>
      <c r="E151" s="6" t="n"/>
      <c r="F151" s="2" t="n"/>
    </row>
    <row r="152">
      <c r="A152" s="12" t="n"/>
      <c r="B152" s="30" t="n"/>
      <c r="C152" s="14" t="n"/>
      <c r="D152" s="14" t="inlineStr">
        <is>
          <t>Extra Buy</t>
        </is>
      </c>
      <c r="E152" s="6" t="n"/>
      <c r="F152" s="2" t="n"/>
    </row>
    <row r="153">
      <c r="A153" s="12" t="n"/>
      <c r="B153" s="30" t="n"/>
      <c r="C153" s="14" t="n"/>
      <c r="D153" s="14" t="inlineStr">
        <is>
          <t>Extra Buy</t>
        </is>
      </c>
      <c r="E153" s="6" t="n"/>
      <c r="F153" s="2" t="n"/>
    </row>
    <row r="154">
      <c r="A154" s="12" t="n"/>
      <c r="B154" s="30" t="n"/>
      <c r="C154" s="14" t="n"/>
      <c r="D154" s="14" t="inlineStr">
        <is>
          <t>Extra Buy</t>
        </is>
      </c>
      <c r="E154" s="6" t="n"/>
      <c r="F154" s="2" t="n"/>
    </row>
    <row r="155">
      <c r="A155" s="12" t="n"/>
      <c r="B155" s="30" t="n"/>
      <c r="C155" s="14" t="n"/>
      <c r="D155" s="14" t="inlineStr">
        <is>
          <t>Extra Buy</t>
        </is>
      </c>
      <c r="E155" s="6" t="n"/>
      <c r="F155" s="2" t="n"/>
    </row>
    <row r="156">
      <c r="A156" s="12" t="n"/>
      <c r="B156" s="30" t="n"/>
      <c r="C156" s="14" t="n"/>
      <c r="D156" s="14" t="inlineStr">
        <is>
          <t>Extra Buy</t>
        </is>
      </c>
      <c r="E156" s="6" t="n"/>
      <c r="F156" s="2" t="n"/>
    </row>
    <row r="157">
      <c r="A157" s="12" t="n"/>
      <c r="B157" s="30" t="n"/>
      <c r="C157" s="14" t="n"/>
      <c r="D157" s="14" t="inlineStr">
        <is>
          <t>Extra Buy</t>
        </is>
      </c>
      <c r="E157" s="6" t="n"/>
      <c r="F157" s="2" t="n"/>
    </row>
    <row r="158">
      <c r="A158" s="12" t="n"/>
      <c r="B158" s="30" t="n"/>
      <c r="C158" s="14" t="n"/>
      <c r="D158" s="14" t="inlineStr">
        <is>
          <t>Extra Buy</t>
        </is>
      </c>
      <c r="E158" s="6" t="n"/>
      <c r="F158" s="2" t="n"/>
    </row>
    <row r="159">
      <c r="A159" s="12" t="n"/>
      <c r="B159" s="30" t="n"/>
      <c r="C159" s="14" t="n"/>
      <c r="D159" s="14" t="inlineStr">
        <is>
          <t>Extra Buy</t>
        </is>
      </c>
      <c r="E159" s="6" t="n"/>
      <c r="F159" s="2" t="n"/>
    </row>
    <row r="160">
      <c r="A160" s="12" t="n"/>
      <c r="B160" s="30" t="n"/>
      <c r="C160" s="14" t="n"/>
      <c r="D160" s="14" t="inlineStr">
        <is>
          <t>Extra Buy</t>
        </is>
      </c>
      <c r="E160" s="6" t="n"/>
      <c r="F160" s="2" t="n"/>
    </row>
    <row r="161">
      <c r="A161" s="12" t="n"/>
      <c r="B161" s="30" t="n"/>
      <c r="C161" s="14" t="n"/>
      <c r="D161" s="14" t="inlineStr">
        <is>
          <t>Extra Buy</t>
        </is>
      </c>
      <c r="E161" s="6" t="n"/>
      <c r="F161" s="2" t="n"/>
    </row>
    <row r="162">
      <c r="A162" s="12" t="n"/>
      <c r="B162" s="30" t="n"/>
      <c r="C162" s="14" t="n"/>
      <c r="D162" s="14" t="inlineStr">
        <is>
          <t>Extra Buy</t>
        </is>
      </c>
      <c r="E162" s="6" t="n"/>
      <c r="F162" s="2" t="n"/>
    </row>
    <row r="163">
      <c r="A163" s="12" t="n"/>
      <c r="B163" s="30" t="n"/>
      <c r="C163" s="14" t="n"/>
      <c r="D163" s="14" t="inlineStr">
        <is>
          <t>Extra Buy</t>
        </is>
      </c>
      <c r="E163" s="6" t="n"/>
      <c r="F163" s="2" t="n"/>
    </row>
    <row r="164">
      <c r="A164" s="12" t="n"/>
      <c r="B164" s="30" t="n"/>
      <c r="C164" s="14" t="n"/>
      <c r="D164" s="14" t="inlineStr">
        <is>
          <t>Extra Buy</t>
        </is>
      </c>
      <c r="E164" s="6" t="n"/>
      <c r="F164" s="2" t="n"/>
    </row>
    <row r="165">
      <c r="A165" s="12" t="n"/>
      <c r="B165" s="30" t="n"/>
      <c r="C165" s="14" t="n"/>
      <c r="D165" s="14" t="inlineStr">
        <is>
          <t>Extra Buy</t>
        </is>
      </c>
      <c r="E165" s="6" t="n"/>
      <c r="F165" s="2" t="n"/>
    </row>
    <row r="166">
      <c r="A166" s="12" t="n"/>
      <c r="B166" s="30" t="n"/>
      <c r="C166" s="14" t="n"/>
      <c r="D166" s="14" t="inlineStr">
        <is>
          <t>Extra Buy</t>
        </is>
      </c>
      <c r="E166" s="6" t="n"/>
      <c r="F166" s="2" t="n"/>
    </row>
    <row r="167">
      <c r="A167" s="12" t="n"/>
      <c r="B167" s="30" t="n"/>
      <c r="C167" s="14" t="n"/>
      <c r="D167" s="14" t="inlineStr">
        <is>
          <t>Extra Buy</t>
        </is>
      </c>
      <c r="E167" s="6" t="n"/>
      <c r="F167" s="2" t="n"/>
    </row>
    <row r="168">
      <c r="A168" s="12" t="n"/>
      <c r="B168" s="30" t="n"/>
      <c r="C168" s="14" t="n"/>
      <c r="D168" s="14" t="inlineStr">
        <is>
          <t>Extra Buy</t>
        </is>
      </c>
      <c r="E168" s="6" t="n"/>
      <c r="F168" s="2" t="n"/>
    </row>
    <row r="169">
      <c r="A169" s="12" t="n"/>
      <c r="B169" s="30" t="n"/>
      <c r="C169" s="14" t="n"/>
      <c r="D169" s="14" t="inlineStr">
        <is>
          <t>Extra Buy</t>
        </is>
      </c>
      <c r="E169" s="6" t="n"/>
      <c r="F169" s="2" t="n"/>
    </row>
    <row r="170">
      <c r="A170" s="12" t="n"/>
      <c r="B170" s="30" t="n"/>
      <c r="C170" s="14" t="n"/>
      <c r="D170" s="14" t="inlineStr">
        <is>
          <t>Extra Buy</t>
        </is>
      </c>
      <c r="E170" s="6" t="n"/>
      <c r="F170" s="2" t="n"/>
    </row>
    <row r="171">
      <c r="A171" s="12" t="n"/>
      <c r="B171" s="30" t="n"/>
      <c r="C171" s="14" t="n"/>
      <c r="D171" s="14" t="inlineStr">
        <is>
          <t>Extra Buy</t>
        </is>
      </c>
      <c r="E171" s="6" t="n"/>
      <c r="F171" s="2" t="n"/>
    </row>
    <row r="172">
      <c r="A172" s="12" t="n"/>
      <c r="B172" s="30" t="n"/>
      <c r="C172" s="14" t="n"/>
      <c r="D172" s="14" t="inlineStr">
        <is>
          <t>Extra Buy</t>
        </is>
      </c>
      <c r="E172" s="6" t="n"/>
      <c r="F172" s="2" t="n"/>
    </row>
    <row r="173">
      <c r="A173" s="12" t="n"/>
      <c r="B173" s="30" t="n"/>
      <c r="C173" s="14" t="n"/>
      <c r="D173" s="14" t="inlineStr">
        <is>
          <t>Extra Buy</t>
        </is>
      </c>
      <c r="E173" s="6" t="n"/>
      <c r="F173" s="2" t="n"/>
    </row>
    <row r="174">
      <c r="A174" s="12" t="n"/>
      <c r="B174" s="30" t="n"/>
      <c r="C174" s="14" t="n"/>
      <c r="D174" s="14" t="inlineStr">
        <is>
          <t>Extra Buy</t>
        </is>
      </c>
      <c r="E174" s="6" t="n"/>
      <c r="F174" s="2" t="n"/>
    </row>
    <row r="175">
      <c r="A175" s="12" t="n"/>
      <c r="B175" s="30" t="n"/>
      <c r="C175" s="14" t="n"/>
      <c r="D175" s="14" t="inlineStr">
        <is>
          <t>Extra Buy</t>
        </is>
      </c>
      <c r="E175" s="6" t="n"/>
      <c r="F175" s="2" t="n"/>
    </row>
    <row r="176">
      <c r="A176" s="12" t="n"/>
      <c r="B176" s="30" t="n"/>
      <c r="C176" s="14" t="n"/>
      <c r="D176" s="14" t="inlineStr">
        <is>
          <t>Extra Buy</t>
        </is>
      </c>
      <c r="E176" s="6" t="n"/>
      <c r="F176" s="2" t="n"/>
    </row>
    <row r="177">
      <c r="A177" s="12" t="n"/>
      <c r="B177" s="30" t="n"/>
      <c r="C177" s="14" t="n"/>
      <c r="D177" s="14" t="inlineStr">
        <is>
          <t>Extra Buy</t>
        </is>
      </c>
      <c r="E177" s="6" t="n"/>
      <c r="F177" s="2" t="n"/>
    </row>
    <row r="178">
      <c r="A178" s="12" t="n"/>
      <c r="B178" s="30" t="n"/>
      <c r="C178" s="14" t="n"/>
      <c r="D178" s="14" t="inlineStr">
        <is>
          <t>Extra Buy</t>
        </is>
      </c>
      <c r="E178" s="6" t="n"/>
      <c r="F178" s="2" t="n"/>
    </row>
    <row r="179">
      <c r="A179" s="12" t="n"/>
      <c r="B179" s="30" t="n"/>
      <c r="C179" s="14" t="n"/>
      <c r="D179" s="14" t="inlineStr">
        <is>
          <t>Extra Buy</t>
        </is>
      </c>
      <c r="E179" s="6" t="n"/>
      <c r="F179" s="2" t="n"/>
    </row>
    <row r="180">
      <c r="A180" s="12" t="n"/>
      <c r="B180" s="30" t="n"/>
      <c r="C180" s="14" t="n"/>
      <c r="D180" s="14" t="inlineStr">
        <is>
          <t>Extra Buy</t>
        </is>
      </c>
      <c r="E180" s="6" t="n"/>
      <c r="F180" s="2" t="n"/>
    </row>
    <row r="181">
      <c r="A181" s="12" t="n"/>
      <c r="B181" s="30" t="n"/>
      <c r="C181" s="14" t="n"/>
      <c r="D181" s="14" t="inlineStr">
        <is>
          <t>Extra Buy</t>
        </is>
      </c>
      <c r="E181" s="6" t="n"/>
      <c r="F181" s="2" t="n"/>
    </row>
    <row r="182">
      <c r="A182" s="12" t="n"/>
      <c r="B182" s="30" t="n"/>
      <c r="C182" s="14" t="n"/>
      <c r="D182" s="14" t="inlineStr">
        <is>
          <t>Extra Buy</t>
        </is>
      </c>
      <c r="E182" s="6" t="n"/>
      <c r="F182" s="2" t="n"/>
    </row>
    <row r="183">
      <c r="A183" s="12" t="n"/>
      <c r="B183" s="30" t="n"/>
      <c r="C183" s="14" t="n"/>
      <c r="D183" s="14" t="inlineStr">
        <is>
          <t>Extra Buy</t>
        </is>
      </c>
      <c r="E183" s="6" t="n"/>
      <c r="F183" s="2" t="n"/>
    </row>
    <row r="184">
      <c r="A184" s="12" t="n"/>
      <c r="B184" s="30" t="n"/>
      <c r="C184" s="14" t="n"/>
      <c r="D184" s="14" t="inlineStr">
        <is>
          <t>Extra Buy</t>
        </is>
      </c>
      <c r="E184" s="6" t="n"/>
      <c r="F184" s="2" t="n"/>
    </row>
    <row r="185">
      <c r="A185" s="12" t="n"/>
      <c r="B185" s="30" t="n"/>
      <c r="C185" s="14" t="n"/>
      <c r="D185" s="14" t="inlineStr">
        <is>
          <t>Extra Buy</t>
        </is>
      </c>
      <c r="E185" s="6" t="n"/>
      <c r="F185" s="2" t="n"/>
    </row>
    <row r="186">
      <c r="A186" s="12" t="n"/>
      <c r="B186" s="30" t="n"/>
      <c r="C186" s="14" t="n"/>
      <c r="D186" s="14" t="inlineStr">
        <is>
          <t>Extra Buy</t>
        </is>
      </c>
      <c r="E186" s="6" t="n"/>
      <c r="F186" s="2" t="n"/>
    </row>
    <row r="187">
      <c r="A187" s="12" t="n"/>
      <c r="B187" s="30" t="n"/>
      <c r="C187" s="14" t="n"/>
      <c r="D187" s="14" t="inlineStr">
        <is>
          <t>Extra Buy</t>
        </is>
      </c>
      <c r="E187" s="6" t="n"/>
      <c r="F187" s="2" t="n"/>
    </row>
    <row r="188">
      <c r="A188" s="12" t="n"/>
      <c r="B188" s="30" t="n"/>
      <c r="C188" s="14" t="n"/>
      <c r="D188" s="14" t="inlineStr">
        <is>
          <t>Extra Buy</t>
        </is>
      </c>
      <c r="E188" s="6" t="n"/>
      <c r="F188" s="2" t="n"/>
    </row>
    <row r="189">
      <c r="A189" s="12" t="n"/>
      <c r="B189" s="30" t="n"/>
      <c r="C189" s="14" t="n"/>
      <c r="D189" s="14" t="inlineStr">
        <is>
          <t>Extra Buy</t>
        </is>
      </c>
      <c r="E189" s="6" t="n"/>
      <c r="F189" s="2" t="n"/>
    </row>
    <row r="190">
      <c r="A190" s="12" t="n"/>
      <c r="B190" s="30" t="n"/>
      <c r="C190" s="14" t="n"/>
      <c r="D190" s="14" t="inlineStr">
        <is>
          <t>Extra Buy</t>
        </is>
      </c>
      <c r="E190" s="6" t="n"/>
      <c r="F190" s="2" t="n"/>
    </row>
    <row r="191">
      <c r="A191" s="12" t="n"/>
      <c r="B191" s="30" t="n"/>
      <c r="C191" s="14" t="n"/>
      <c r="D191" s="14" t="inlineStr">
        <is>
          <t>Extra Buy</t>
        </is>
      </c>
      <c r="E191" s="6" t="n"/>
      <c r="F191" s="2" t="n"/>
    </row>
    <row r="192">
      <c r="A192" s="12" t="n"/>
      <c r="B192" s="30" t="n"/>
      <c r="C192" s="14" t="n"/>
      <c r="D192" s="14" t="inlineStr">
        <is>
          <t>Extra Buy</t>
        </is>
      </c>
      <c r="E192" s="6" t="n"/>
      <c r="F192" s="2" t="n"/>
    </row>
    <row r="193">
      <c r="A193" s="12" t="n"/>
      <c r="B193" s="30" t="n"/>
      <c r="C193" s="14" t="n"/>
      <c r="D193" s="14" t="inlineStr">
        <is>
          <t>Extra Buy</t>
        </is>
      </c>
      <c r="E193" s="6" t="n"/>
      <c r="F193" s="2" t="n"/>
    </row>
    <row r="194">
      <c r="A194" s="12" t="n"/>
      <c r="B194" s="30" t="n"/>
      <c r="C194" s="14" t="n"/>
      <c r="D194" s="14" t="inlineStr">
        <is>
          <t>Extra Buy</t>
        </is>
      </c>
      <c r="E194" s="6" t="n"/>
      <c r="F194" s="2" t="n"/>
    </row>
    <row r="195">
      <c r="A195" s="12" t="n"/>
      <c r="B195" s="30" t="n"/>
      <c r="C195" s="14" t="n"/>
      <c r="D195" s="14" t="inlineStr">
        <is>
          <t>Extra Buy</t>
        </is>
      </c>
      <c r="E195" s="6" t="n"/>
      <c r="F195" s="2" t="n"/>
    </row>
    <row r="196">
      <c r="A196" s="12" t="n"/>
      <c r="B196" s="30" t="n"/>
      <c r="C196" s="14" t="n"/>
      <c r="D196" s="14" t="inlineStr">
        <is>
          <t>Extra Buy</t>
        </is>
      </c>
      <c r="E196" s="6" t="n"/>
      <c r="F196" s="2" t="n"/>
    </row>
    <row r="197">
      <c r="A197" s="12" t="n"/>
      <c r="B197" s="30" t="n"/>
      <c r="C197" s="14" t="n"/>
      <c r="D197" s="14" t="inlineStr">
        <is>
          <t>Extra Buy</t>
        </is>
      </c>
      <c r="E197" s="6" t="n"/>
      <c r="F197" s="2" t="n"/>
    </row>
    <row r="198">
      <c r="A198" s="12" t="n"/>
      <c r="B198" s="30" t="n"/>
      <c r="C198" s="14" t="n"/>
      <c r="D198" s="14" t="inlineStr">
        <is>
          <t>Extra Buy</t>
        </is>
      </c>
      <c r="E198" s="6" t="n"/>
      <c r="F198" s="2" t="n"/>
    </row>
    <row r="199">
      <c r="A199" s="12" t="n"/>
      <c r="B199" s="30" t="n"/>
      <c r="C199" s="14" t="n"/>
      <c r="D199" s="14" t="inlineStr">
        <is>
          <t>Extra Buy</t>
        </is>
      </c>
      <c r="E199" s="6" t="n"/>
      <c r="F199" s="2" t="n"/>
    </row>
    <row r="200">
      <c r="A200" s="12" t="n"/>
      <c r="B200" s="30" t="n"/>
      <c r="C200" s="14" t="n"/>
      <c r="D200" s="14" t="inlineStr">
        <is>
          <t>Extra Buy</t>
        </is>
      </c>
      <c r="E200" s="6" t="n"/>
      <c r="F200" s="2" t="n"/>
    </row>
    <row r="201">
      <c r="A201" s="12" t="n"/>
      <c r="B201" s="30" t="n"/>
      <c r="C201" s="14" t="n"/>
      <c r="D201" s="14" t="inlineStr">
        <is>
          <t>Extra Buy</t>
        </is>
      </c>
      <c r="E201" s="6" t="n"/>
      <c r="F201" s="2" t="n"/>
    </row>
    <row r="202">
      <c r="A202" s="12" t="n"/>
      <c r="B202" s="30" t="n"/>
      <c r="C202" s="14" t="n"/>
      <c r="D202" s="14" t="inlineStr">
        <is>
          <t>Extra Buy</t>
        </is>
      </c>
      <c r="E202" s="6" t="n"/>
      <c r="F202" s="2" t="n"/>
    </row>
    <row r="203">
      <c r="A203" s="12" t="n"/>
      <c r="B203" s="30" t="n"/>
      <c r="C203" s="14" t="n"/>
      <c r="D203" s="14" t="inlineStr">
        <is>
          <t>Extra Buy</t>
        </is>
      </c>
      <c r="E203" s="6" t="n"/>
      <c r="F203" s="2" t="n"/>
    </row>
    <row r="204">
      <c r="A204" s="12" t="n"/>
      <c r="B204" s="30" t="n"/>
      <c r="C204" s="14" t="n"/>
      <c r="D204" s="14" t="inlineStr">
        <is>
          <t>Extra Buy</t>
        </is>
      </c>
      <c r="E204" s="6" t="n"/>
      <c r="F204" s="2" t="n"/>
    </row>
    <row r="205">
      <c r="A205" s="12" t="n"/>
      <c r="B205" s="30" t="n"/>
      <c r="C205" s="14" t="n"/>
      <c r="D205" s="14" t="inlineStr">
        <is>
          <t>Extra Buy</t>
        </is>
      </c>
      <c r="E205" s="6" t="n"/>
      <c r="F205" s="2" t="n"/>
    </row>
    <row r="206">
      <c r="A206" s="12" t="n"/>
      <c r="B206" s="30" t="n"/>
      <c r="C206" s="14" t="n"/>
      <c r="D206" s="14" t="inlineStr">
        <is>
          <t>Extra Buy</t>
        </is>
      </c>
      <c r="E206" s="6" t="n"/>
      <c r="F206" s="2" t="n"/>
    </row>
    <row r="207">
      <c r="A207" s="12" t="n"/>
      <c r="B207" s="30" t="n"/>
      <c r="C207" s="14" t="n"/>
      <c r="D207" s="14" t="inlineStr">
        <is>
          <t>Extra Buy</t>
        </is>
      </c>
      <c r="E207" s="6" t="n"/>
      <c r="F207" s="2" t="n"/>
    </row>
    <row r="208">
      <c r="A208" s="12" t="n"/>
      <c r="B208" s="30" t="n"/>
      <c r="C208" s="14" t="n"/>
      <c r="D208" s="14" t="inlineStr">
        <is>
          <t>Extra Buy</t>
        </is>
      </c>
      <c r="E208" s="6" t="n"/>
      <c r="F208" s="2" t="n"/>
    </row>
    <row r="209">
      <c r="A209" s="12" t="n"/>
      <c r="B209" s="30" t="n"/>
      <c r="C209" s="14" t="n"/>
      <c r="D209" s="14" t="inlineStr">
        <is>
          <t>Extra Buy</t>
        </is>
      </c>
      <c r="E209" s="6" t="n"/>
      <c r="F209" s="2" t="n"/>
    </row>
    <row r="210">
      <c r="A210" s="12" t="n"/>
      <c r="B210" s="30" t="n"/>
      <c r="C210" s="14" t="n"/>
      <c r="D210" s="14" t="inlineStr">
        <is>
          <t>Extra Buy</t>
        </is>
      </c>
      <c r="E210" s="6" t="n"/>
      <c r="F210" s="2" t="n"/>
    </row>
    <row r="211">
      <c r="A211" s="12" t="n"/>
      <c r="B211" s="30" t="n"/>
      <c r="C211" s="14" t="n"/>
      <c r="D211" s="14" t="inlineStr">
        <is>
          <t>Extra Buy</t>
        </is>
      </c>
      <c r="E211" s="6" t="n"/>
      <c r="F211" s="2" t="n"/>
    </row>
    <row r="212">
      <c r="A212" s="12" t="n"/>
      <c r="B212" s="30" t="n"/>
      <c r="C212" s="14" t="n"/>
      <c r="D212" s="14" t="inlineStr">
        <is>
          <t>Extra Buy</t>
        </is>
      </c>
      <c r="E212" s="6" t="n"/>
      <c r="F212" s="2" t="n"/>
    </row>
    <row r="213">
      <c r="A213" s="12" t="n"/>
      <c r="B213" s="30" t="n"/>
      <c r="C213" s="14" t="n"/>
      <c r="D213" s="14" t="inlineStr">
        <is>
          <t>Extra Buy</t>
        </is>
      </c>
      <c r="E213" s="6" t="n"/>
      <c r="F213" s="2" t="n"/>
    </row>
    <row r="214">
      <c r="A214" s="12" t="n"/>
      <c r="B214" s="30" t="n"/>
      <c r="C214" s="14" t="n"/>
      <c r="D214" s="14" t="inlineStr">
        <is>
          <t>Extra Buy</t>
        </is>
      </c>
      <c r="E214" s="6" t="n"/>
      <c r="F214" s="2" t="n"/>
    </row>
    <row r="215">
      <c r="A215" s="12" t="n"/>
      <c r="B215" s="30" t="n"/>
      <c r="C215" s="14" t="n"/>
      <c r="D215" s="14" t="inlineStr">
        <is>
          <t>Extra Buy</t>
        </is>
      </c>
      <c r="E215" s="6" t="n"/>
      <c r="F215" s="2" t="n"/>
    </row>
    <row r="216">
      <c r="A216" s="12" t="n"/>
      <c r="B216" s="30" t="n"/>
      <c r="C216" s="14" t="n"/>
      <c r="D216" s="14" t="inlineStr">
        <is>
          <t>Extra Buy</t>
        </is>
      </c>
      <c r="E216" s="6" t="n"/>
      <c r="F216" s="2" t="n"/>
    </row>
    <row r="217">
      <c r="A217" s="12" t="n"/>
      <c r="B217" s="30" t="n"/>
      <c r="C217" s="14" t="n"/>
      <c r="D217" s="14" t="inlineStr">
        <is>
          <t>Extra Buy</t>
        </is>
      </c>
      <c r="E217" s="6" t="n"/>
      <c r="F217" s="2" t="n"/>
    </row>
    <row r="218">
      <c r="A218" s="12" t="n"/>
      <c r="B218" s="30" t="n"/>
      <c r="C218" s="14" t="n"/>
      <c r="D218" s="14" t="inlineStr">
        <is>
          <t>Extra Buy</t>
        </is>
      </c>
      <c r="E218" s="6" t="n"/>
      <c r="F218" s="2" t="n"/>
    </row>
    <row r="219">
      <c r="A219" s="12" t="n"/>
      <c r="B219" s="30" t="n"/>
      <c r="C219" s="14" t="n"/>
      <c r="D219" s="14" t="inlineStr">
        <is>
          <t>Extra Buy</t>
        </is>
      </c>
      <c r="E219" s="6" t="n"/>
      <c r="F219" s="2" t="n"/>
    </row>
    <row r="220">
      <c r="A220" s="12" t="n"/>
      <c r="B220" s="30" t="n"/>
      <c r="C220" s="14" t="n"/>
      <c r="D220" s="14" t="inlineStr">
        <is>
          <t>Extra Buy</t>
        </is>
      </c>
      <c r="E220" s="6" t="n"/>
      <c r="F220" s="2" t="n"/>
    </row>
    <row r="221">
      <c r="A221" s="12" t="n"/>
      <c r="B221" s="30" t="n"/>
      <c r="C221" s="14" t="n"/>
      <c r="D221" s="14" t="inlineStr">
        <is>
          <t>Extra Buy</t>
        </is>
      </c>
      <c r="E221" s="6" t="n"/>
      <c r="F221" s="2" t="n"/>
    </row>
    <row r="222">
      <c r="A222" s="12" t="n"/>
      <c r="B222" s="30" t="n"/>
      <c r="C222" s="14" t="n"/>
      <c r="D222" s="14" t="inlineStr">
        <is>
          <t>Extra Buy</t>
        </is>
      </c>
      <c r="E222" s="6" t="n"/>
      <c r="F222" s="2" t="n"/>
    </row>
    <row r="223">
      <c r="A223" s="12" t="n"/>
      <c r="B223" s="30" t="n"/>
      <c r="C223" s="14" t="n"/>
      <c r="D223" s="14" t="inlineStr">
        <is>
          <t>Extra Buy</t>
        </is>
      </c>
      <c r="E223" s="6" t="n"/>
      <c r="F223" s="2" t="n"/>
    </row>
    <row r="224">
      <c r="A224" s="12" t="n"/>
      <c r="B224" s="30" t="n"/>
      <c r="C224" s="14" t="n"/>
      <c r="D224" s="14" t="inlineStr">
        <is>
          <t>Extra Buy</t>
        </is>
      </c>
      <c r="E224" s="6" t="n"/>
      <c r="F224" s="2" t="n"/>
    </row>
    <row r="225">
      <c r="A225" s="12" t="n"/>
      <c r="B225" s="30" t="n"/>
      <c r="C225" s="14" t="n"/>
      <c r="D225" s="14" t="inlineStr">
        <is>
          <t>Extra Buy</t>
        </is>
      </c>
      <c r="E225" s="6" t="n"/>
      <c r="F225" s="2" t="n"/>
    </row>
    <row r="226">
      <c r="A226" s="12" t="n"/>
      <c r="B226" s="30" t="n"/>
      <c r="C226" s="14" t="n"/>
      <c r="D226" s="14" t="inlineStr">
        <is>
          <t>Extra Buy</t>
        </is>
      </c>
      <c r="E226" s="6" t="n"/>
      <c r="F226" s="2" t="n"/>
    </row>
    <row r="227">
      <c r="A227" s="12" t="n"/>
      <c r="B227" s="30" t="n"/>
      <c r="C227" s="14" t="n"/>
      <c r="D227" s="14" t="inlineStr">
        <is>
          <t>Extra Buy</t>
        </is>
      </c>
      <c r="E227" s="6" t="n"/>
      <c r="F227" s="2" t="n"/>
    </row>
    <row r="228">
      <c r="A228" s="12" t="n"/>
      <c r="B228" s="30" t="n"/>
      <c r="C228" s="14" t="n"/>
      <c r="D228" s="14" t="inlineStr">
        <is>
          <t>Extra Buy</t>
        </is>
      </c>
      <c r="E228" s="6" t="n"/>
      <c r="F228" s="2" t="n"/>
    </row>
    <row r="229">
      <c r="A229" s="12" t="n"/>
      <c r="B229" s="30" t="n"/>
      <c r="C229" s="14" t="n"/>
      <c r="D229" s="14" t="inlineStr">
        <is>
          <t>Extra Buy</t>
        </is>
      </c>
      <c r="E229" s="6" t="n"/>
      <c r="F229" s="2" t="n"/>
    </row>
    <row r="230">
      <c r="A230" s="12" t="n"/>
      <c r="B230" s="30" t="n"/>
      <c r="C230" s="14" t="n"/>
      <c r="D230" s="14" t="inlineStr">
        <is>
          <t>Extra Buy</t>
        </is>
      </c>
      <c r="E230" s="6" t="n"/>
      <c r="F230" s="2" t="n"/>
    </row>
    <row r="231">
      <c r="A231" s="12" t="n"/>
      <c r="B231" s="30" t="n"/>
      <c r="C231" s="14" t="n"/>
      <c r="D231" s="14" t="inlineStr">
        <is>
          <t>Extra Buy</t>
        </is>
      </c>
      <c r="E231" s="6" t="n"/>
      <c r="F231" s="2" t="n"/>
    </row>
    <row r="232">
      <c r="A232" s="12" t="n"/>
      <c r="B232" s="30" t="n"/>
      <c r="C232" s="14" t="n"/>
      <c r="D232" s="14" t="inlineStr">
        <is>
          <t>Extra Buy</t>
        </is>
      </c>
      <c r="E232" s="6" t="n"/>
      <c r="F232" s="2" t="n"/>
    </row>
    <row r="233">
      <c r="A233" s="12" t="n"/>
      <c r="B233" s="30" t="n"/>
      <c r="C233" s="14" t="n"/>
      <c r="D233" s="14" t="inlineStr">
        <is>
          <t>Extra Buy</t>
        </is>
      </c>
      <c r="E233" s="6" t="n"/>
      <c r="F233" s="2" t="n"/>
    </row>
    <row r="234">
      <c r="A234" s="12" t="n"/>
      <c r="B234" s="30" t="n"/>
      <c r="C234" s="14" t="n"/>
      <c r="D234" s="14" t="inlineStr">
        <is>
          <t>Extra Buy</t>
        </is>
      </c>
      <c r="E234" s="6" t="n"/>
      <c r="F234" s="2" t="n"/>
    </row>
    <row r="235">
      <c r="A235" s="12" t="n"/>
      <c r="B235" s="30" t="n"/>
      <c r="C235" s="14" t="n"/>
      <c r="D235" s="14" t="inlineStr">
        <is>
          <t>Extra Buy</t>
        </is>
      </c>
      <c r="E235" s="6" t="n"/>
      <c r="F235" s="2" t="n"/>
    </row>
    <row r="236">
      <c r="A236" s="12" t="n"/>
      <c r="B236" s="30" t="n"/>
      <c r="C236" s="14" t="n"/>
      <c r="D236" s="14" t="inlineStr">
        <is>
          <t>Extra Buy</t>
        </is>
      </c>
      <c r="E236" s="6" t="n"/>
      <c r="F236" s="2" t="n"/>
    </row>
    <row r="237">
      <c r="A237" s="12" t="n"/>
      <c r="B237" s="30" t="n"/>
      <c r="C237" s="14" t="n"/>
      <c r="D237" s="14" t="inlineStr">
        <is>
          <t>Extra Buy</t>
        </is>
      </c>
      <c r="E237" s="6" t="n"/>
      <c r="F237" s="2" t="n"/>
    </row>
    <row r="238">
      <c r="A238" s="12" t="n"/>
      <c r="B238" s="30" t="n"/>
      <c r="C238" s="14" t="n"/>
      <c r="D238" s="14" t="inlineStr">
        <is>
          <t>Extra Buy</t>
        </is>
      </c>
      <c r="E238" s="6" t="n"/>
      <c r="F238" s="2" t="n"/>
    </row>
    <row r="239">
      <c r="A239" s="12" t="n"/>
      <c r="B239" s="30" t="n"/>
      <c r="C239" s="14" t="n"/>
      <c r="D239" s="14" t="inlineStr">
        <is>
          <t>Extra Buy</t>
        </is>
      </c>
      <c r="E239" s="6" t="n"/>
      <c r="F239" s="2" t="n"/>
    </row>
    <row r="240">
      <c r="A240" s="12" t="n"/>
      <c r="B240" s="30" t="n"/>
      <c r="C240" s="14" t="n"/>
      <c r="D240" s="14" t="inlineStr">
        <is>
          <t>Extra Buy</t>
        </is>
      </c>
      <c r="E240" s="6" t="n"/>
      <c r="F240" s="2" t="n"/>
    </row>
    <row r="241">
      <c r="A241" s="12" t="n"/>
      <c r="B241" s="30" t="n"/>
      <c r="C241" s="14" t="n"/>
      <c r="D241" s="14" t="inlineStr">
        <is>
          <t>Extra Buy</t>
        </is>
      </c>
      <c r="E241" s="6" t="n"/>
      <c r="F241" s="2" t="n"/>
    </row>
    <row r="242">
      <c r="A242" s="12" t="n"/>
      <c r="B242" s="30" t="n"/>
      <c r="C242" s="14" t="n"/>
      <c r="D242" s="14" t="inlineStr">
        <is>
          <t>Extra Buy</t>
        </is>
      </c>
      <c r="E242" s="6" t="n"/>
      <c r="F242" s="2" t="n"/>
    </row>
    <row r="243">
      <c r="A243" s="12" t="n"/>
      <c r="B243" s="30" t="n"/>
      <c r="C243" s="14" t="n"/>
      <c r="D243" s="14" t="inlineStr">
        <is>
          <t>Extra Buy</t>
        </is>
      </c>
      <c r="E243" s="6" t="n"/>
      <c r="F243" s="2" t="n"/>
    </row>
    <row r="244">
      <c r="A244" s="12" t="n"/>
      <c r="B244" s="30" t="n"/>
      <c r="C244" s="14" t="n"/>
      <c r="D244" s="14" t="inlineStr">
        <is>
          <t>Extra Buy</t>
        </is>
      </c>
      <c r="E244" s="6" t="n"/>
      <c r="F244" s="2" t="n"/>
    </row>
    <row r="245">
      <c r="A245" s="12" t="n"/>
      <c r="B245" s="30" t="n"/>
      <c r="C245" s="14" t="n"/>
      <c r="D245" s="14" t="inlineStr">
        <is>
          <t>Extra Buy</t>
        </is>
      </c>
      <c r="E245" s="6" t="n"/>
      <c r="F245" s="2" t="n"/>
    </row>
    <row r="246">
      <c r="A246" s="12" t="n"/>
      <c r="B246" s="30" t="n"/>
      <c r="C246" s="14" t="n"/>
      <c r="D246" s="14" t="inlineStr">
        <is>
          <t>Extra Buy</t>
        </is>
      </c>
      <c r="E246" s="6" t="n"/>
      <c r="F246" s="2" t="n"/>
    </row>
    <row r="247">
      <c r="A247" s="12" t="n"/>
      <c r="B247" s="30" t="n"/>
      <c r="C247" s="14" t="n"/>
      <c r="D247" s="14" t="inlineStr">
        <is>
          <t>Extra Buy</t>
        </is>
      </c>
      <c r="E247" s="6" t="n"/>
      <c r="F247" s="2" t="n"/>
    </row>
    <row r="248">
      <c r="A248" s="12" t="n"/>
      <c r="B248" s="30" t="n"/>
      <c r="C248" s="14" t="n"/>
      <c r="D248" s="14" t="inlineStr">
        <is>
          <t>Extra Buy</t>
        </is>
      </c>
      <c r="E248" s="6" t="n"/>
      <c r="F248" s="2" t="n"/>
    </row>
    <row r="249">
      <c r="A249" s="12" t="n"/>
      <c r="B249" s="30" t="n"/>
      <c r="C249" s="14" t="n"/>
      <c r="D249" s="14" t="inlineStr">
        <is>
          <t>Extra Buy</t>
        </is>
      </c>
      <c r="E249" s="6" t="n"/>
      <c r="F249" s="2" t="n"/>
    </row>
    <row r="250">
      <c r="A250" s="12" t="n"/>
      <c r="B250" s="30" t="n"/>
      <c r="C250" s="14" t="n"/>
      <c r="D250" s="14" t="inlineStr">
        <is>
          <t>Extra Buy</t>
        </is>
      </c>
      <c r="E250" s="6" t="n"/>
      <c r="F250" s="2" t="n"/>
    </row>
    <row r="251">
      <c r="A251" s="12" t="n"/>
      <c r="B251" s="30" t="n"/>
      <c r="C251" s="14" t="n"/>
      <c r="D251" s="14" t="inlineStr">
        <is>
          <t>Extra Buy</t>
        </is>
      </c>
      <c r="E251" s="6" t="n"/>
      <c r="F251" s="2" t="n"/>
    </row>
    <row r="252">
      <c r="A252" s="12" t="n"/>
      <c r="B252" s="30" t="n"/>
      <c r="C252" s="14" t="n"/>
      <c r="D252" s="14" t="inlineStr">
        <is>
          <t>Extra Buy</t>
        </is>
      </c>
      <c r="E252" s="6" t="n"/>
      <c r="F252" s="2" t="n"/>
    </row>
    <row r="253">
      <c r="A253" s="12" t="n"/>
      <c r="B253" s="30" t="n"/>
      <c r="C253" s="14" t="n"/>
      <c r="D253" s="14" t="inlineStr">
        <is>
          <t>Extra Buy</t>
        </is>
      </c>
      <c r="E253" s="6" t="n"/>
      <c r="F253" s="2" t="n"/>
    </row>
    <row r="254">
      <c r="A254" s="12" t="n"/>
      <c r="B254" s="30" t="n"/>
      <c r="C254" s="14" t="n"/>
      <c r="D254" s="14" t="inlineStr">
        <is>
          <t>Extra Buy</t>
        </is>
      </c>
      <c r="E254" s="6" t="n"/>
      <c r="F254" s="2" t="n"/>
    </row>
    <row r="255">
      <c r="A255" s="12" t="n"/>
      <c r="B255" s="30" t="n"/>
      <c r="C255" s="14" t="n"/>
      <c r="D255" s="14" t="inlineStr">
        <is>
          <t>Extra Buy</t>
        </is>
      </c>
      <c r="E255" s="6" t="n"/>
      <c r="F255" s="2" t="n"/>
    </row>
    <row r="256">
      <c r="A256" s="12" t="n"/>
      <c r="B256" s="30" t="n"/>
      <c r="C256" s="14" t="n"/>
      <c r="D256" s="14" t="inlineStr">
        <is>
          <t>Extra Buy</t>
        </is>
      </c>
      <c r="E256" s="6" t="n"/>
      <c r="F256" s="2" t="n"/>
    </row>
    <row r="257">
      <c r="A257" s="12" t="n"/>
      <c r="B257" s="30" t="n"/>
      <c r="C257" s="14" t="n"/>
      <c r="D257" s="14" t="inlineStr">
        <is>
          <t>Extra Buy</t>
        </is>
      </c>
      <c r="E257" s="6" t="n"/>
      <c r="F257" s="2" t="n"/>
    </row>
    <row r="258">
      <c r="A258" s="12" t="n"/>
      <c r="B258" s="30" t="n"/>
      <c r="C258" s="14" t="n"/>
      <c r="D258" s="14" t="inlineStr">
        <is>
          <t>Extra Buy</t>
        </is>
      </c>
      <c r="E258" s="6" t="n"/>
      <c r="F258" s="2" t="n"/>
    </row>
    <row r="259">
      <c r="A259" s="12" t="n"/>
      <c r="B259" s="30" t="n"/>
      <c r="C259" s="14" t="n"/>
      <c r="D259" s="14" t="inlineStr">
        <is>
          <t>Extra Buy</t>
        </is>
      </c>
      <c r="E259" s="6" t="n"/>
      <c r="F259" s="2" t="n"/>
    </row>
    <row r="260">
      <c r="A260" s="12" t="n"/>
      <c r="B260" s="30" t="n"/>
      <c r="C260" s="14" t="n"/>
      <c r="D260" s="14" t="inlineStr">
        <is>
          <t>Extra Buy</t>
        </is>
      </c>
      <c r="E260" s="6" t="n"/>
      <c r="F260" s="2" t="n"/>
    </row>
    <row r="261">
      <c r="A261" s="12" t="n"/>
      <c r="B261" s="30" t="n"/>
      <c r="C261" s="14" t="n"/>
      <c r="D261" s="14" t="inlineStr">
        <is>
          <t>Extra Buy</t>
        </is>
      </c>
      <c r="E261" s="6" t="n"/>
      <c r="F261" s="2" t="n"/>
    </row>
    <row r="262">
      <c r="A262" s="12" t="n"/>
      <c r="B262" s="30" t="n"/>
      <c r="C262" s="14" t="n"/>
      <c r="D262" s="14" t="inlineStr">
        <is>
          <t>Extra Buy</t>
        </is>
      </c>
      <c r="E262" s="6" t="n"/>
      <c r="F262" s="2" t="n"/>
    </row>
    <row r="263">
      <c r="A263" s="12" t="n"/>
      <c r="B263" s="30" t="n"/>
      <c r="C263" s="14" t="n"/>
      <c r="D263" s="14" t="inlineStr">
        <is>
          <t>Extra Buy</t>
        </is>
      </c>
      <c r="E263" s="6" t="n"/>
      <c r="F263" s="2" t="n"/>
    </row>
    <row r="264">
      <c r="A264" s="12" t="n"/>
      <c r="B264" s="30" t="n"/>
      <c r="C264" s="14" t="n"/>
      <c r="D264" s="14" t="inlineStr">
        <is>
          <t>Extra Buy</t>
        </is>
      </c>
      <c r="E264" s="6" t="n"/>
      <c r="F264" s="2" t="n"/>
    </row>
    <row r="265">
      <c r="A265" s="12" t="n"/>
      <c r="B265" s="30" t="n"/>
      <c r="C265" s="14" t="n"/>
      <c r="D265" s="14" t="inlineStr">
        <is>
          <t>Extra Buy</t>
        </is>
      </c>
      <c r="E265" s="6" t="n"/>
      <c r="F265" s="2" t="n"/>
    </row>
    <row r="266">
      <c r="A266" s="12" t="n"/>
      <c r="B266" s="30" t="n"/>
      <c r="C266" s="14" t="n"/>
      <c r="D266" s="14" t="inlineStr">
        <is>
          <t>Extra Buy</t>
        </is>
      </c>
      <c r="E266" s="6" t="n"/>
      <c r="F266" s="2" t="n"/>
    </row>
    <row r="267">
      <c r="A267" s="12" t="n"/>
      <c r="B267" s="30" t="n"/>
      <c r="C267" s="14" t="n"/>
      <c r="D267" s="14" t="inlineStr">
        <is>
          <t>Extra Buy</t>
        </is>
      </c>
      <c r="E267" s="6" t="n"/>
      <c r="F267" s="2" t="n"/>
    </row>
    <row r="268">
      <c r="A268" s="12" t="n"/>
      <c r="B268" s="30" t="n"/>
      <c r="C268" s="14" t="n"/>
      <c r="D268" s="14" t="inlineStr">
        <is>
          <t>Extra Buy</t>
        </is>
      </c>
      <c r="E268" s="6" t="n"/>
      <c r="F268" s="2" t="n"/>
    </row>
    <row r="269">
      <c r="A269" s="12" t="n"/>
      <c r="B269" s="30" t="n"/>
      <c r="C269" s="14" t="n"/>
      <c r="D269" s="14" t="inlineStr">
        <is>
          <t>Extra Buy</t>
        </is>
      </c>
      <c r="E269" s="6" t="n"/>
      <c r="F269" s="2" t="n"/>
    </row>
    <row r="270">
      <c r="A270" s="12" t="n"/>
      <c r="B270" s="30" t="n"/>
      <c r="C270" s="14" t="n"/>
      <c r="D270" s="14" t="inlineStr">
        <is>
          <t>Extra Buy</t>
        </is>
      </c>
      <c r="E270" s="6" t="n"/>
      <c r="F270" s="2" t="n"/>
    </row>
    <row r="271">
      <c r="A271" s="12" t="n"/>
      <c r="B271" s="30" t="n"/>
      <c r="C271" s="14" t="n"/>
      <c r="D271" s="14" t="inlineStr">
        <is>
          <t>Extra Buy</t>
        </is>
      </c>
      <c r="E271" s="6" t="n"/>
      <c r="F271" s="2" t="n"/>
    </row>
    <row r="272">
      <c r="A272" s="12" t="n"/>
      <c r="B272" s="30" t="n"/>
      <c r="C272" s="14" t="n"/>
      <c r="D272" s="14" t="inlineStr">
        <is>
          <t>Extra Buy</t>
        </is>
      </c>
      <c r="E272" s="6" t="n"/>
      <c r="F272" s="2" t="n"/>
    </row>
    <row r="273">
      <c r="A273" s="12" t="n"/>
      <c r="B273" s="30" t="n"/>
      <c r="C273" s="14" t="n"/>
      <c r="D273" s="14" t="inlineStr">
        <is>
          <t>Extra Buy</t>
        </is>
      </c>
      <c r="E273" s="6" t="n"/>
      <c r="F273" s="2" t="n"/>
    </row>
    <row r="274">
      <c r="A274" s="12" t="n"/>
      <c r="B274" s="30" t="n"/>
      <c r="C274" s="14" t="n"/>
      <c r="D274" s="14" t="inlineStr">
        <is>
          <t>Extra Buy</t>
        </is>
      </c>
      <c r="E274" s="6" t="n"/>
      <c r="F274" s="2" t="n"/>
    </row>
    <row r="275">
      <c r="A275" s="12" t="n"/>
      <c r="B275" s="30" t="n"/>
      <c r="C275" s="14" t="n"/>
      <c r="D275" s="14" t="inlineStr">
        <is>
          <t>Extra Buy</t>
        </is>
      </c>
      <c r="E275" s="6" t="n"/>
      <c r="F275" s="2" t="n"/>
    </row>
    <row r="276">
      <c r="A276" s="12" t="n"/>
      <c r="B276" s="30" t="n"/>
      <c r="C276" s="14" t="n"/>
      <c r="D276" s="14" t="inlineStr">
        <is>
          <t>Extra Buy</t>
        </is>
      </c>
      <c r="E276" s="6" t="n"/>
      <c r="F276" s="2" t="n"/>
    </row>
    <row r="277">
      <c r="A277" s="12" t="n"/>
      <c r="B277" s="30" t="n"/>
      <c r="C277" s="14" t="n"/>
      <c r="D277" s="14" t="inlineStr">
        <is>
          <t>Extra Buy</t>
        </is>
      </c>
      <c r="E277" s="6" t="n"/>
      <c r="F277" s="2" t="n"/>
    </row>
    <row r="278">
      <c r="A278" s="12" t="n"/>
      <c r="B278" s="30" t="n"/>
      <c r="C278" s="14" t="n"/>
      <c r="D278" s="14" t="inlineStr">
        <is>
          <t>Extra Buy</t>
        </is>
      </c>
      <c r="E278" s="6" t="n"/>
      <c r="F278" s="2" t="n"/>
    </row>
    <row r="279">
      <c r="A279" s="12" t="n"/>
      <c r="B279" s="30" t="n"/>
      <c r="C279" s="14" t="n"/>
      <c r="D279" s="14" t="inlineStr">
        <is>
          <t>Extra Buy</t>
        </is>
      </c>
      <c r="E279" s="6" t="n"/>
      <c r="F279" s="2" t="n"/>
    </row>
    <row r="280">
      <c r="A280" s="12" t="n"/>
      <c r="B280" s="30" t="n"/>
      <c r="C280" s="14" t="n"/>
      <c r="D280" s="14" t="inlineStr">
        <is>
          <t>Extra Buy</t>
        </is>
      </c>
      <c r="E280" s="6" t="n"/>
      <c r="F280" s="2" t="n"/>
    </row>
    <row r="281">
      <c r="A281" s="12" t="n"/>
      <c r="B281" s="30" t="n"/>
      <c r="C281" s="14" t="n"/>
      <c r="D281" s="14" t="inlineStr">
        <is>
          <t>Extra Buy</t>
        </is>
      </c>
      <c r="E281" s="6" t="n"/>
      <c r="F281" s="2" t="n"/>
    </row>
    <row r="282">
      <c r="A282" s="12" t="n"/>
      <c r="B282" s="30" t="n"/>
      <c r="C282" s="14" t="n"/>
      <c r="D282" s="14" t="inlineStr">
        <is>
          <t>Extra Buy</t>
        </is>
      </c>
      <c r="E282" s="6" t="n"/>
      <c r="F282" s="2" t="n"/>
    </row>
    <row r="283">
      <c r="A283" s="12" t="n"/>
      <c r="B283" s="30" t="n"/>
      <c r="C283" s="14" t="n"/>
      <c r="D283" s="14" t="inlineStr">
        <is>
          <t>Extra Buy</t>
        </is>
      </c>
      <c r="E283" s="6" t="n"/>
      <c r="F283" s="2" t="n"/>
    </row>
    <row r="284">
      <c r="A284" s="12" t="n"/>
      <c r="B284" s="30" t="n"/>
      <c r="C284" s="14" t="n"/>
      <c r="D284" s="14" t="inlineStr">
        <is>
          <t>Extra Buy</t>
        </is>
      </c>
      <c r="E284" s="6" t="n"/>
      <c r="F284" s="2" t="n"/>
    </row>
    <row r="285">
      <c r="A285" s="12" t="n"/>
      <c r="B285" s="30" t="n"/>
      <c r="C285" s="14" t="n"/>
      <c r="D285" s="14" t="inlineStr">
        <is>
          <t>Extra Buy</t>
        </is>
      </c>
      <c r="E285" s="6" t="n"/>
      <c r="F285" s="2" t="n"/>
    </row>
    <row r="286">
      <c r="A286" s="12" t="n"/>
      <c r="B286" s="30" t="n"/>
      <c r="C286" s="14" t="n"/>
      <c r="D286" s="14" t="inlineStr">
        <is>
          <t>Extra Buy</t>
        </is>
      </c>
      <c r="E286" s="6" t="n"/>
      <c r="F286" s="2" t="n"/>
    </row>
    <row r="287">
      <c r="A287" s="12" t="n"/>
      <c r="B287" s="30" t="n"/>
      <c r="C287" s="14" t="n"/>
      <c r="D287" s="14" t="inlineStr">
        <is>
          <t>Extra Buy</t>
        </is>
      </c>
      <c r="E287" s="6" t="n"/>
      <c r="F287" s="2" t="n"/>
    </row>
    <row r="288">
      <c r="A288" s="12" t="n"/>
      <c r="B288" s="30" t="n"/>
      <c r="C288" s="14" t="n"/>
      <c r="D288" s="14" t="inlineStr">
        <is>
          <t>Extra Buy</t>
        </is>
      </c>
      <c r="E288" s="6" t="n"/>
      <c r="F288" s="2" t="n"/>
    </row>
    <row r="289">
      <c r="A289" s="12" t="n"/>
      <c r="B289" s="30" t="n"/>
      <c r="C289" s="14" t="n"/>
      <c r="D289" s="14" t="inlineStr">
        <is>
          <t>Extra Buy</t>
        </is>
      </c>
      <c r="E289" s="6" t="n"/>
      <c r="F289" s="2" t="n"/>
    </row>
    <row r="290">
      <c r="A290" s="12" t="n"/>
      <c r="B290" s="30" t="n"/>
      <c r="C290" s="14" t="n"/>
      <c r="D290" s="14" t="inlineStr">
        <is>
          <t>Extra Buy</t>
        </is>
      </c>
      <c r="E290" s="6" t="n"/>
      <c r="F290" s="2" t="n"/>
    </row>
    <row r="291">
      <c r="A291" s="12" t="n"/>
      <c r="B291" s="30" t="n"/>
      <c r="C291" s="14" t="n"/>
      <c r="D291" s="14" t="inlineStr">
        <is>
          <t>Extra Buy</t>
        </is>
      </c>
      <c r="E291" s="6" t="n"/>
      <c r="F291" s="2" t="n"/>
    </row>
    <row r="292">
      <c r="A292" s="12" t="n"/>
      <c r="B292" s="30" t="n"/>
      <c r="C292" s="14" t="n"/>
      <c r="D292" s="14" t="inlineStr">
        <is>
          <t>Extra Buy</t>
        </is>
      </c>
      <c r="E292" s="6" t="n"/>
      <c r="F292" s="2" t="n"/>
    </row>
    <row r="293">
      <c r="A293" s="12" t="n"/>
      <c r="B293" s="30" t="n"/>
      <c r="C293" s="14" t="n"/>
      <c r="D293" s="14" t="inlineStr">
        <is>
          <t>Extra Buy</t>
        </is>
      </c>
      <c r="E293" s="6" t="n"/>
      <c r="F293" s="2" t="n"/>
    </row>
    <row r="294">
      <c r="A294" s="12" t="n"/>
      <c r="B294" s="30" t="n"/>
      <c r="C294" s="14" t="n"/>
      <c r="D294" s="14" t="inlineStr">
        <is>
          <t>Extra Buy</t>
        </is>
      </c>
      <c r="E294" s="6" t="n"/>
      <c r="F294" s="2" t="n"/>
    </row>
    <row r="295">
      <c r="A295" s="12" t="n"/>
      <c r="B295" s="30" t="n"/>
      <c r="C295" s="14" t="n"/>
      <c r="D295" s="14" t="inlineStr">
        <is>
          <t>Extra Buy</t>
        </is>
      </c>
      <c r="E295" s="6" t="n"/>
      <c r="F295" s="2" t="n"/>
    </row>
    <row r="296">
      <c r="A296" s="12" t="n"/>
      <c r="B296" s="30" t="n"/>
      <c r="C296" s="14" t="n"/>
      <c r="D296" s="14" t="inlineStr">
        <is>
          <t>Extra Buy</t>
        </is>
      </c>
      <c r="E296" s="6" t="n"/>
      <c r="F296" s="2" t="n"/>
    </row>
    <row r="297">
      <c r="A297" s="12" t="n"/>
      <c r="B297" s="30" t="n"/>
      <c r="C297" s="14" t="n"/>
      <c r="D297" s="14" t="inlineStr">
        <is>
          <t>Extra Buy</t>
        </is>
      </c>
      <c r="E297" s="6" t="n"/>
      <c r="F297" s="2" t="n"/>
    </row>
    <row r="298">
      <c r="A298" s="12" t="n"/>
      <c r="B298" s="30" t="n"/>
      <c r="C298" s="14" t="n"/>
      <c r="D298" s="14" t="inlineStr">
        <is>
          <t>Extra Buy</t>
        </is>
      </c>
      <c r="E298" s="6" t="n"/>
      <c r="F298" s="2" t="n"/>
    </row>
    <row r="299">
      <c r="A299" s="12" t="n"/>
      <c r="B299" s="30" t="n"/>
      <c r="C299" s="14" t="n"/>
      <c r="D299" s="14" t="inlineStr">
        <is>
          <t>Extra Buy</t>
        </is>
      </c>
      <c r="E299" s="6" t="n"/>
      <c r="F299" s="2" t="n"/>
    </row>
  </sheetData>
  <dataValidations count="1">
    <dataValidation sqref="C2:C201" showDropDown="0" showInputMessage="0" showErrorMessage="0" allowBlank="1" type="list">
      <formula1>'Assets'!$A$2:$A$10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5" customWidth="1" min="4" max="4"/>
  </cols>
  <sheetData>
    <row r="1">
      <c r="A1" s="8" t="inlineStr">
        <is>
          <t>Month</t>
        </is>
      </c>
      <c r="B1" s="8" t="inlineStr">
        <is>
          <t>Asset</t>
        </is>
      </c>
      <c r="C1" s="8" t="inlineStr">
        <is>
          <t>Category</t>
        </is>
      </c>
      <c r="D1" s="8" t="inlineStr">
        <is>
          <t>End_Value</t>
        </is>
      </c>
    </row>
    <row r="2">
      <c r="A2" s="28" t="n">
        <v>45931</v>
      </c>
      <c r="B2" s="5" t="inlineStr">
        <is>
          <t>Core MSCI World</t>
        </is>
      </c>
      <c r="C2" s="3">
        <f>IFERROR(VLOOKUP(B2,Assets!$A:$B,2,FALSE),"")</f>
        <v/>
      </c>
      <c r="D2" s="6" t="n">
        <v>11058</v>
      </c>
    </row>
    <row r="3">
      <c r="A3" s="28" t="n">
        <v>45931</v>
      </c>
      <c r="B3" s="5" t="inlineStr">
        <is>
          <t>AI &amp; Big Data</t>
        </is>
      </c>
      <c r="C3" s="3">
        <f>IFERROR(VLOOKUP(B3,Assets!$A:$B,2,FALSE),"")</f>
        <v/>
      </c>
      <c r="D3" s="6" t="n">
        <v>3265</v>
      </c>
    </row>
    <row r="4">
      <c r="A4" s="28" t="n">
        <v>45931</v>
      </c>
      <c r="B4" s="5" t="inlineStr">
        <is>
          <t>Physical Gold</t>
        </is>
      </c>
      <c r="C4" s="3">
        <f>IFERROR(VLOOKUP(B4,Assets!$A:$B,2,FALSE),"")</f>
        <v/>
      </c>
      <c r="D4" s="6" t="n">
        <v>1792</v>
      </c>
    </row>
    <row r="5">
      <c r="A5" s="28" t="n">
        <v>45931</v>
      </c>
      <c r="B5" s="5" t="inlineStr">
        <is>
          <t>Global Gov Bond</t>
        </is>
      </c>
      <c r="C5" s="3">
        <f>IFERROR(VLOOKUP(B5,Assets!$A:$B,2,FALSE),"")</f>
        <v/>
      </c>
      <c r="D5" s="6" t="n">
        <v>1456</v>
      </c>
    </row>
    <row r="6">
      <c r="A6" s="28" t="n">
        <v>45931</v>
      </c>
      <c r="B6" s="5" t="inlineStr">
        <is>
          <t>Core EUR Corp Bond</t>
        </is>
      </c>
      <c r="C6" s="3">
        <f>IFERROR(VLOOKUP(B6,Assets!$A:$B,2,FALSE),"")</f>
        <v/>
      </c>
      <c r="D6" s="6" t="n">
        <v>1456</v>
      </c>
    </row>
    <row r="7">
      <c r="A7" s="28" t="n">
        <v>45931</v>
      </c>
      <c r="B7" s="5" t="inlineStr">
        <is>
          <t>MSCI World Value</t>
        </is>
      </c>
      <c r="C7" s="3">
        <f>IFERROR(VLOOKUP(B7,Assets!$A:$B,2,FALSE),"")</f>
        <v/>
      </c>
      <c r="D7" s="6" t="n">
        <v>1439</v>
      </c>
    </row>
    <row r="8">
      <c r="A8" s="28" t="n">
        <v>45931</v>
      </c>
      <c r="B8" s="5" t="inlineStr">
        <is>
          <t>MSCI EM</t>
        </is>
      </c>
      <c r="C8" s="3">
        <f>IFERROR(VLOOKUP(B8,Assets!$A:$B,2,FALSE),"")</f>
        <v/>
      </c>
      <c r="D8" s="6" t="n">
        <v>1233</v>
      </c>
    </row>
    <row r="9">
      <c r="A9" s="28" t="n">
        <v>45931</v>
      </c>
      <c r="B9" s="5" t="inlineStr">
        <is>
          <t>Defence Tech</t>
        </is>
      </c>
      <c r="C9" s="3">
        <f>IFERROR(VLOOKUP(B9,Assets!$A:$B,2,FALSE),"")</f>
        <v/>
      </c>
      <c r="D9" s="6" t="n">
        <v>483.2</v>
      </c>
    </row>
    <row r="10">
      <c r="A10" s="28" t="n">
        <v>45931</v>
      </c>
      <c r="B10" s="5" t="inlineStr">
        <is>
          <t>Savings</t>
        </is>
      </c>
      <c r="C10" s="3">
        <f>IFERROR(VLOOKUP(B10,Assets!$A:$B,2,FALSE),"")</f>
        <v/>
      </c>
      <c r="D10" s="6" t="n">
        <v>34010.01</v>
      </c>
    </row>
    <row r="11">
      <c r="A11" s="28" t="n">
        <v>45962</v>
      </c>
      <c r="B11" s="5" t="inlineStr">
        <is>
          <t>Core MSCI World</t>
        </is>
      </c>
      <c r="C11" s="3">
        <f>IFERROR(VLOOKUP(B11,Assets!$A:$B,2,FALSE),"")</f>
        <v/>
      </c>
      <c r="D11" s="6" t="n">
        <v>11303</v>
      </c>
    </row>
    <row r="12">
      <c r="A12" s="28" t="n">
        <v>45962</v>
      </c>
      <c r="B12" s="5" t="inlineStr">
        <is>
          <t>AI &amp; Big Data</t>
        </is>
      </c>
      <c r="C12" s="3">
        <f>IFERROR(VLOOKUP(B12,Assets!$A:$B,2,FALSE),"")</f>
        <v/>
      </c>
      <c r="D12" s="6" t="n">
        <v>3177</v>
      </c>
    </row>
    <row r="13">
      <c r="A13" s="28" t="n">
        <v>45962</v>
      </c>
      <c r="B13" s="5" t="inlineStr">
        <is>
          <t>Physical Gold</t>
        </is>
      </c>
      <c r="C13" s="3">
        <f>IFERROR(VLOOKUP(B13,Assets!$A:$B,2,FALSE),"")</f>
        <v/>
      </c>
      <c r="D13" s="6" t="n">
        <v>1875</v>
      </c>
    </row>
    <row r="14">
      <c r="A14" s="28" t="n">
        <v>45962</v>
      </c>
      <c r="B14" s="5" t="inlineStr">
        <is>
          <t>Global Gov Bond</t>
        </is>
      </c>
      <c r="C14" s="3">
        <f>IFERROR(VLOOKUP(B14,Assets!$A:$B,2,FALSE),"")</f>
        <v/>
      </c>
      <c r="D14" s="6" t="n">
        <v>1470</v>
      </c>
    </row>
    <row r="15">
      <c r="A15" s="28" t="n">
        <v>45962</v>
      </c>
      <c r="B15" s="5" t="inlineStr">
        <is>
          <t>Core EUR Corp Bond</t>
        </is>
      </c>
      <c r="C15" s="3">
        <f>IFERROR(VLOOKUP(B15,Assets!$A:$B,2,FALSE),"")</f>
        <v/>
      </c>
      <c r="D15" s="6" t="n">
        <v>1478</v>
      </c>
    </row>
    <row r="16">
      <c r="A16" s="28" t="n">
        <v>45962</v>
      </c>
      <c r="B16" s="5" t="inlineStr">
        <is>
          <t>MSCI World Value</t>
        </is>
      </c>
      <c r="C16" s="3">
        <f>IFERROR(VLOOKUP(B16,Assets!$A:$B,2,FALSE),"")</f>
        <v/>
      </c>
      <c r="D16" s="6" t="n">
        <v>1499</v>
      </c>
    </row>
    <row r="17">
      <c r="A17" s="28" t="n">
        <v>45962</v>
      </c>
      <c r="B17" s="5" t="inlineStr">
        <is>
          <t>MSCI EM</t>
        </is>
      </c>
      <c r="C17" s="3">
        <f>IFERROR(VLOOKUP(B17,Assets!$A:$B,2,FALSE),"")</f>
        <v/>
      </c>
      <c r="D17" s="6" t="n">
        <v>1225</v>
      </c>
    </row>
    <row r="18">
      <c r="A18" s="28" t="n">
        <v>45962</v>
      </c>
      <c r="B18" s="5" t="inlineStr">
        <is>
          <t>Defence Tech</t>
        </is>
      </c>
      <c r="C18" s="3">
        <f>IFERROR(VLOOKUP(B18,Assets!$A:$B,2,FALSE),"")</f>
        <v/>
      </c>
      <c r="D18" s="6" t="n">
        <v>383.76</v>
      </c>
    </row>
    <row r="19">
      <c r="A19" s="28" t="n">
        <v>45962</v>
      </c>
      <c r="B19" s="5" t="inlineStr">
        <is>
          <t>Savings</t>
        </is>
      </c>
      <c r="C19" s="3">
        <f>IFERROR(VLOOKUP(B19,Assets!$A:$B,2,FALSE),"")</f>
        <v/>
      </c>
      <c r="D19" s="6" t="n">
        <v>35690.22</v>
      </c>
    </row>
    <row r="20">
      <c r="A20" s="28" t="n">
        <v>45992</v>
      </c>
      <c r="B20" s="5" t="inlineStr">
        <is>
          <t>Core MSCI World</t>
        </is>
      </c>
      <c r="C20" s="3">
        <f>IFERROR(VLOOKUP(B20,Assets!$A:$B,2,FALSE),"")</f>
        <v/>
      </c>
      <c r="D20" s="6" t="n">
        <v>11866</v>
      </c>
    </row>
    <row r="21">
      <c r="A21" s="28" t="n">
        <v>45992</v>
      </c>
      <c r="B21" s="5" t="inlineStr">
        <is>
          <t>AI &amp; Big Data</t>
        </is>
      </c>
      <c r="C21" s="3">
        <f>IFERROR(VLOOKUP(B21,Assets!$A:$B,2,FALSE),"")</f>
        <v/>
      </c>
      <c r="D21" s="6" t="n">
        <v>3256</v>
      </c>
    </row>
    <row r="22">
      <c r="A22" s="28" t="n">
        <v>45992</v>
      </c>
      <c r="B22" s="5" t="inlineStr">
        <is>
          <t>Physical Gold</t>
        </is>
      </c>
      <c r="C22" s="3">
        <f>IFERROR(VLOOKUP(B22,Assets!$A:$B,2,FALSE),"")</f>
        <v/>
      </c>
      <c r="D22" s="6" t="n">
        <v>2001</v>
      </c>
    </row>
    <row r="23">
      <c r="A23" s="28" t="n">
        <v>45992</v>
      </c>
      <c r="B23" s="5" t="inlineStr">
        <is>
          <t>Global Gov Bond</t>
        </is>
      </c>
      <c r="C23" s="3">
        <f>IFERROR(VLOOKUP(B23,Assets!$A:$B,2,FALSE),"")</f>
        <v/>
      </c>
      <c r="D23" s="6" t="n">
        <v>1547</v>
      </c>
    </row>
    <row r="24">
      <c r="A24" s="28" t="n">
        <v>45992</v>
      </c>
      <c r="B24" s="5" t="inlineStr">
        <is>
          <t>Core EUR Corp Bond</t>
        </is>
      </c>
      <c r="C24" s="3">
        <f>IFERROR(VLOOKUP(B24,Assets!$A:$B,2,FALSE),"")</f>
        <v/>
      </c>
      <c r="D24" s="6" t="n">
        <v>1534</v>
      </c>
    </row>
    <row r="25">
      <c r="A25" s="28" t="n">
        <v>45992</v>
      </c>
      <c r="B25" s="5" t="inlineStr">
        <is>
          <t>MSCI World Value</t>
        </is>
      </c>
      <c r="C25" s="3">
        <f>IFERROR(VLOOKUP(B25,Assets!$A:$B,2,FALSE),"")</f>
        <v/>
      </c>
      <c r="D25" s="6" t="n">
        <v>1651</v>
      </c>
    </row>
    <row r="26">
      <c r="A26" s="28" t="n">
        <v>45992</v>
      </c>
      <c r="B26" s="5" t="inlineStr">
        <is>
          <t>MSCI EM</t>
        </is>
      </c>
      <c r="C26" s="3">
        <f>IFERROR(VLOOKUP(B26,Assets!$A:$B,2,FALSE),"")</f>
        <v/>
      </c>
      <c r="D26" s="6" t="n">
        <v>1306</v>
      </c>
    </row>
    <row r="27">
      <c r="A27" s="28" t="n">
        <v>45992</v>
      </c>
      <c r="B27" s="5" t="inlineStr">
        <is>
          <t>Defence Tech</t>
        </is>
      </c>
      <c r="C27" s="3">
        <f>IFERROR(VLOOKUP(B27,Assets!$A:$B,2,FALSE),"")</f>
        <v/>
      </c>
      <c r="D27" s="6" t="n">
        <v>402.89</v>
      </c>
    </row>
    <row r="28">
      <c r="A28" s="28" t="n">
        <v>45992</v>
      </c>
      <c r="B28" s="5" t="inlineStr">
        <is>
          <t>Savings</t>
        </is>
      </c>
      <c r="C28" s="3">
        <f>IFERROR(VLOOKUP(B28,Assets!$A:$B,2,FALSE),"")</f>
        <v/>
      </c>
      <c r="D28" s="6" t="n">
        <v>37889.16</v>
      </c>
    </row>
    <row r="29">
      <c r="A29" s="28" t="n">
        <v>46023</v>
      </c>
      <c r="B29" s="5" t="inlineStr">
        <is>
          <t>Core MSCI World</t>
        </is>
      </c>
      <c r="C29" s="3">
        <f>IFERROR(VLOOKUP(B29,Assets!$A:$B,2,FALSE),"")</f>
        <v/>
      </c>
      <c r="D29" s="6" t="n">
        <v>12365</v>
      </c>
    </row>
    <row r="30">
      <c r="A30" s="28" t="n">
        <v>46023</v>
      </c>
      <c r="B30" s="5" t="inlineStr">
        <is>
          <t>AI &amp; Big Data</t>
        </is>
      </c>
      <c r="C30" s="3">
        <f>IFERROR(VLOOKUP(B30,Assets!$A:$B,2,FALSE),"")</f>
        <v/>
      </c>
      <c r="D30" s="6" t="n">
        <v>3215</v>
      </c>
    </row>
    <row r="31">
      <c r="A31" s="28" t="n">
        <v>46023</v>
      </c>
      <c r="B31" s="5" t="inlineStr">
        <is>
          <t>Physical Gold</t>
        </is>
      </c>
      <c r="C31" s="3">
        <f>IFERROR(VLOOKUP(B31,Assets!$A:$B,2,FALSE),"")</f>
        <v/>
      </c>
      <c r="D31" s="6" t="n">
        <v>2214</v>
      </c>
    </row>
    <row r="32">
      <c r="A32" s="28" t="n">
        <v>46023</v>
      </c>
      <c r="B32" s="5" t="inlineStr">
        <is>
          <t>Global Gov Bond</t>
        </is>
      </c>
      <c r="C32" s="3">
        <f>IFERROR(VLOOKUP(B32,Assets!$A:$B,2,FALSE),"")</f>
        <v/>
      </c>
      <c r="D32" s="6" t="n">
        <v>1568</v>
      </c>
    </row>
    <row r="33">
      <c r="A33" s="28" t="n">
        <v>46023</v>
      </c>
      <c r="B33" s="5" t="inlineStr">
        <is>
          <t>Core EUR Corp Bond</t>
        </is>
      </c>
      <c r="C33" s="3">
        <f>IFERROR(VLOOKUP(B33,Assets!$A:$B,2,FALSE),"")</f>
        <v/>
      </c>
      <c r="D33" s="6" t="n">
        <v>1592</v>
      </c>
    </row>
    <row r="34">
      <c r="A34" s="28" t="n">
        <v>46023</v>
      </c>
      <c r="B34" s="5" t="inlineStr">
        <is>
          <t>MSCI World Value</t>
        </is>
      </c>
      <c r="C34" s="3">
        <f>IFERROR(VLOOKUP(B34,Assets!$A:$B,2,FALSE),"")</f>
        <v/>
      </c>
      <c r="D34" s="6" t="n">
        <v>1824</v>
      </c>
    </row>
    <row r="35">
      <c r="A35" s="28" t="n">
        <v>46023</v>
      </c>
      <c r="B35" s="5" t="inlineStr">
        <is>
          <t>MSCI EM</t>
        </is>
      </c>
      <c r="C35" s="3">
        <f>IFERROR(VLOOKUP(B35,Assets!$A:$B,2,FALSE),"")</f>
        <v/>
      </c>
      <c r="D35" s="6" t="n">
        <v>1419</v>
      </c>
    </row>
    <row r="36">
      <c r="A36" s="28" t="n">
        <v>46023</v>
      </c>
      <c r="B36" s="5" t="inlineStr">
        <is>
          <t>Defence Tech</t>
        </is>
      </c>
      <c r="C36" s="3">
        <f>IFERROR(VLOOKUP(B36,Assets!$A:$B,2,FALSE),"")</f>
        <v/>
      </c>
      <c r="D36" s="6" t="n">
        <v>452.33</v>
      </c>
    </row>
    <row r="37">
      <c r="A37" s="28" t="n">
        <v>46023</v>
      </c>
      <c r="B37" s="5" t="inlineStr">
        <is>
          <t>Savings</t>
        </is>
      </c>
      <c r="C37" s="3">
        <f>IFERROR(VLOOKUP(B37,Assets!$A:$B,2,FALSE),"")</f>
        <v/>
      </c>
      <c r="D37" s="6" t="n">
        <v>38095</v>
      </c>
    </row>
    <row r="38">
      <c r="A38" s="28" t="n">
        <v>46054</v>
      </c>
      <c r="B38" s="5" t="inlineStr">
        <is>
          <t>Core MSCI World</t>
        </is>
      </c>
      <c r="C38" s="3">
        <f>IFERROR(VLOOKUP(B38,Assets!$A:$B,2,FALSE),"")</f>
        <v/>
      </c>
      <c r="D38" s="6" t="n">
        <v>13001</v>
      </c>
    </row>
    <row r="39">
      <c r="A39" s="28" t="n">
        <v>46054</v>
      </c>
      <c r="B39" s="5" t="inlineStr">
        <is>
          <t>AI &amp; Big Data</t>
        </is>
      </c>
      <c r="C39" s="3">
        <f>IFERROR(VLOOKUP(B39,Assets!$A:$B,2,FALSE),"")</f>
        <v/>
      </c>
      <c r="D39" s="6" t="n">
        <v>3108</v>
      </c>
    </row>
    <row r="40">
      <c r="A40" s="28" t="n">
        <v>46054</v>
      </c>
      <c r="B40" s="5" t="inlineStr">
        <is>
          <t>Physical Gold</t>
        </is>
      </c>
      <c r="C40" s="3">
        <f>IFERROR(VLOOKUP(B40,Assets!$A:$B,2,FALSE),"")</f>
        <v/>
      </c>
      <c r="D40" s="6" t="n">
        <v>2540</v>
      </c>
    </row>
    <row r="41">
      <c r="A41" s="28" t="n">
        <v>46054</v>
      </c>
      <c r="B41" s="5" t="inlineStr">
        <is>
          <t>Global Gov Bond</t>
        </is>
      </c>
      <c r="C41" s="3">
        <f>IFERROR(VLOOKUP(B41,Assets!$A:$B,2,FALSE),"")</f>
        <v/>
      </c>
      <c r="D41" s="6" t="n">
        <v>1640</v>
      </c>
    </row>
    <row r="42">
      <c r="A42" s="28" t="n">
        <v>46054</v>
      </c>
      <c r="B42" s="5" t="inlineStr">
        <is>
          <t>Core EUR Corp Bond</t>
        </is>
      </c>
      <c r="C42" s="3">
        <f>IFERROR(VLOOKUP(B42,Assets!$A:$B,2,FALSE),"")</f>
        <v/>
      </c>
      <c r="D42" s="6" t="n">
        <v>1649</v>
      </c>
    </row>
    <row r="43">
      <c r="A43" s="28" t="n">
        <v>46054</v>
      </c>
      <c r="B43" s="5" t="inlineStr">
        <is>
          <t>MSCI World Value</t>
        </is>
      </c>
      <c r="C43" s="3">
        <f>IFERROR(VLOOKUP(B43,Assets!$A:$B,2,FALSE),"")</f>
        <v/>
      </c>
      <c r="D43" s="6" t="n">
        <v>2007</v>
      </c>
    </row>
    <row r="44">
      <c r="A44" s="28" t="n">
        <v>46054</v>
      </c>
      <c r="B44" s="5" t="inlineStr">
        <is>
          <t>MSCI EM</t>
        </is>
      </c>
      <c r="C44" s="3">
        <f>IFERROR(VLOOKUP(B44,Assets!$A:$B,2,FALSE),"")</f>
        <v/>
      </c>
      <c r="D44" s="6" t="n">
        <v>1544</v>
      </c>
    </row>
    <row r="45">
      <c r="A45" s="28" t="n">
        <v>46054</v>
      </c>
      <c r="B45" s="5" t="inlineStr">
        <is>
          <t>Defence Tech</t>
        </is>
      </c>
      <c r="C45" s="3">
        <f>IFERROR(VLOOKUP(B45,Assets!$A:$B,2,FALSE),"")</f>
        <v/>
      </c>
      <c r="D45" s="6" t="n">
        <v>450.32</v>
      </c>
    </row>
    <row r="46">
      <c r="A46" s="28" t="n">
        <v>46054</v>
      </c>
      <c r="B46" s="5" t="inlineStr">
        <is>
          <t>Savings</t>
        </is>
      </c>
      <c r="C46" s="3">
        <f>IFERROR(VLOOKUP(B46,Assets!$A:$B,2,FALSE),"")</f>
        <v/>
      </c>
      <c r="D46" s="6" t="n">
        <v>37801</v>
      </c>
    </row>
    <row r="47">
      <c r="A47" s="28" t="n">
        <v>46082</v>
      </c>
      <c r="B47" s="5" t="inlineStr">
        <is>
          <t>Core MSCI World</t>
        </is>
      </c>
      <c r="C47" s="3">
        <f>IFERROR(VLOOKUP(B47,Assets!$A:$B,2,FALSE),"")</f>
        <v/>
      </c>
      <c r="D47" s="6" t="n">
        <v>13914</v>
      </c>
    </row>
    <row r="48">
      <c r="A48" s="28" t="n">
        <v>46082</v>
      </c>
      <c r="B48" s="5" t="inlineStr">
        <is>
          <t>AI &amp; Big Data</t>
        </is>
      </c>
      <c r="C48" s="3">
        <f>IFERROR(VLOOKUP(B48,Assets!$A:$B,2,FALSE),"")</f>
        <v/>
      </c>
      <c r="D48" s="6" t="n">
        <v>2970</v>
      </c>
    </row>
    <row r="49">
      <c r="A49" s="28" t="n">
        <v>46082</v>
      </c>
      <c r="B49" s="5" t="inlineStr">
        <is>
          <t>Physical Gold</t>
        </is>
      </c>
      <c r="C49" s="3">
        <f>IFERROR(VLOOKUP(B49,Assets!$A:$B,2,FALSE),"")</f>
        <v/>
      </c>
      <c r="D49" s="6" t="n">
        <v>2493</v>
      </c>
    </row>
    <row r="50">
      <c r="A50" s="28" t="n">
        <v>46082</v>
      </c>
      <c r="B50" s="5" t="inlineStr">
        <is>
          <t>Global Gov Bond</t>
        </is>
      </c>
      <c r="C50" s="3">
        <f>IFERROR(VLOOKUP(B50,Assets!$A:$B,2,FALSE),"")</f>
        <v/>
      </c>
      <c r="D50" s="6" t="n">
        <v>1666</v>
      </c>
    </row>
    <row r="51">
      <c r="A51" s="28" t="n">
        <v>46082</v>
      </c>
      <c r="B51" s="5" t="inlineStr">
        <is>
          <t>Core EUR Corp Bond</t>
        </is>
      </c>
      <c r="C51" s="3">
        <f>IFERROR(VLOOKUP(B51,Assets!$A:$B,2,FALSE),"")</f>
        <v/>
      </c>
      <c r="D51" s="6" t="n">
        <v>1679</v>
      </c>
    </row>
    <row r="52">
      <c r="A52" s="28" t="n">
        <v>46082</v>
      </c>
      <c r="B52" s="5" t="inlineStr">
        <is>
          <t>MSCI World Value</t>
        </is>
      </c>
      <c r="C52" s="3">
        <f>IFERROR(VLOOKUP(B52,Assets!$A:$B,2,FALSE),"")</f>
        <v/>
      </c>
      <c r="D52" s="6" t="n">
        <v>2387</v>
      </c>
    </row>
    <row r="53">
      <c r="A53" s="28" t="n">
        <v>46082</v>
      </c>
      <c r="B53" s="5" t="inlineStr">
        <is>
          <t>MSCI EM</t>
        </is>
      </c>
      <c r="C53" s="3">
        <f>IFERROR(VLOOKUP(B53,Assets!$A:$B,2,FALSE),"")</f>
        <v/>
      </c>
      <c r="D53" s="6" t="n">
        <v>2033</v>
      </c>
    </row>
    <row r="54">
      <c r="A54" s="28" t="n">
        <v>46082</v>
      </c>
      <c r="B54" s="5" t="inlineStr">
        <is>
          <t>Defence Tech</t>
        </is>
      </c>
      <c r="C54" s="3">
        <f>IFERROR(VLOOKUP(B54,Assets!$A:$B,2,FALSE),"")</f>
        <v/>
      </c>
      <c r="D54" s="6" t="n">
        <v>439.71</v>
      </c>
    </row>
    <row r="55">
      <c r="A55" s="28" t="n">
        <v>46082</v>
      </c>
      <c r="B55" s="5" t="inlineStr">
        <is>
          <t>Savings</t>
        </is>
      </c>
      <c r="C55" s="3">
        <f>IFERROR(VLOOKUP(B55,Assets!$A:$B,2,FALSE),"")</f>
        <v/>
      </c>
      <c r="D55" s="6" t="n">
        <v>39883</v>
      </c>
    </row>
    <row r="56">
      <c r="A56" s="28" t="n">
        <v>46113</v>
      </c>
      <c r="B56" s="5" t="inlineStr">
        <is>
          <t>Core MSCI World</t>
        </is>
      </c>
      <c r="C56" s="3">
        <f>IFERROR(VLOOKUP(B56,Assets!$A:$B,2,FALSE),"")</f>
        <v/>
      </c>
      <c r="D56" s="6" t="n"/>
    </row>
    <row r="57">
      <c r="A57" s="28" t="n">
        <v>46113</v>
      </c>
      <c r="B57" s="5" t="inlineStr">
        <is>
          <t>AI &amp; Big Data</t>
        </is>
      </c>
      <c r="C57" s="3">
        <f>IFERROR(VLOOKUP(B57,Assets!$A:$B,2,FALSE),"")</f>
        <v/>
      </c>
      <c r="D57" s="6" t="n"/>
    </row>
    <row r="58">
      <c r="A58" s="28" t="n">
        <v>46113</v>
      </c>
      <c r="B58" s="5" t="inlineStr">
        <is>
          <t>Physical Gold</t>
        </is>
      </c>
      <c r="C58" s="3">
        <f>IFERROR(VLOOKUP(B58,Assets!$A:$B,2,FALSE),"")</f>
        <v/>
      </c>
      <c r="D58" s="6" t="n"/>
    </row>
    <row r="59">
      <c r="A59" s="28" t="n">
        <v>46113</v>
      </c>
      <c r="B59" s="5" t="inlineStr">
        <is>
          <t>Global Gov Bond</t>
        </is>
      </c>
      <c r="C59" s="3">
        <f>IFERROR(VLOOKUP(B59,Assets!$A:$B,2,FALSE),"")</f>
        <v/>
      </c>
      <c r="D59" s="6" t="n"/>
    </row>
    <row r="60">
      <c r="A60" s="28" t="n">
        <v>46113</v>
      </c>
      <c r="B60" s="5" t="inlineStr">
        <is>
          <t>Core EUR Corp Bond</t>
        </is>
      </c>
      <c r="C60" s="3">
        <f>IFERROR(VLOOKUP(B60,Assets!$A:$B,2,FALSE),"")</f>
        <v/>
      </c>
      <c r="D60" s="6" t="n"/>
    </row>
    <row r="61">
      <c r="A61" s="28" t="n">
        <v>46113</v>
      </c>
      <c r="B61" s="5" t="inlineStr">
        <is>
          <t>MSCI World Value</t>
        </is>
      </c>
      <c r="C61" s="3">
        <f>IFERROR(VLOOKUP(B61,Assets!$A:$B,2,FALSE),"")</f>
        <v/>
      </c>
      <c r="D61" s="6" t="n"/>
    </row>
    <row r="62">
      <c r="A62" s="28" t="n">
        <v>46113</v>
      </c>
      <c r="B62" s="5" t="inlineStr">
        <is>
          <t>MSCI EM</t>
        </is>
      </c>
      <c r="C62" s="3">
        <f>IFERROR(VLOOKUP(B62,Assets!$A:$B,2,FALSE),"")</f>
        <v/>
      </c>
      <c r="D62" s="6" t="n"/>
    </row>
    <row r="63">
      <c r="A63" s="28" t="n">
        <v>46113</v>
      </c>
      <c r="B63" s="5" t="inlineStr">
        <is>
          <t>Defence Tech</t>
        </is>
      </c>
      <c r="C63" s="3">
        <f>IFERROR(VLOOKUP(B63,Assets!$A:$B,2,FALSE),"")</f>
        <v/>
      </c>
      <c r="D63" s="6" t="n"/>
    </row>
    <row r="64">
      <c r="A64" s="28" t="n">
        <v>46113</v>
      </c>
      <c r="B64" s="5" t="inlineStr">
        <is>
          <t>Savings</t>
        </is>
      </c>
      <c r="C64" s="3">
        <f>IFERROR(VLOOKUP(B64,Assets!$A:$B,2,FALSE),"")</f>
        <v/>
      </c>
      <c r="D64" s="6" t="n"/>
    </row>
    <row r="65">
      <c r="A65" s="28" t="n">
        <v>46143</v>
      </c>
      <c r="B65" s="5" t="inlineStr">
        <is>
          <t>Core MSCI World</t>
        </is>
      </c>
      <c r="C65" s="3">
        <f>IFERROR(VLOOKUP(B65,Assets!$A:$B,2,FALSE),"")</f>
        <v/>
      </c>
      <c r="D65" s="6" t="n"/>
    </row>
    <row r="66">
      <c r="A66" s="28" t="n">
        <v>46143</v>
      </c>
      <c r="B66" s="5" t="inlineStr">
        <is>
          <t>AI &amp; Big Data</t>
        </is>
      </c>
      <c r="C66" s="3">
        <f>IFERROR(VLOOKUP(B66,Assets!$A:$B,2,FALSE),"")</f>
        <v/>
      </c>
      <c r="D66" s="6" t="n"/>
    </row>
    <row r="67">
      <c r="A67" s="28" t="n">
        <v>46143</v>
      </c>
      <c r="B67" s="5" t="inlineStr">
        <is>
          <t>Physical Gold</t>
        </is>
      </c>
      <c r="C67" s="3">
        <f>IFERROR(VLOOKUP(B67,Assets!$A:$B,2,FALSE),"")</f>
        <v/>
      </c>
      <c r="D67" s="6" t="n"/>
    </row>
    <row r="68">
      <c r="A68" s="28" t="n">
        <v>46143</v>
      </c>
      <c r="B68" s="5" t="inlineStr">
        <is>
          <t>Global Gov Bond</t>
        </is>
      </c>
      <c r="C68" s="3">
        <f>IFERROR(VLOOKUP(B68,Assets!$A:$B,2,FALSE),"")</f>
        <v/>
      </c>
      <c r="D68" s="6" t="n"/>
    </row>
    <row r="69">
      <c r="A69" s="28" t="n">
        <v>46143</v>
      </c>
      <c r="B69" s="5" t="inlineStr">
        <is>
          <t>Core EUR Corp Bond</t>
        </is>
      </c>
      <c r="C69" s="3">
        <f>IFERROR(VLOOKUP(B69,Assets!$A:$B,2,FALSE),"")</f>
        <v/>
      </c>
      <c r="D69" s="6" t="n"/>
    </row>
    <row r="70">
      <c r="A70" s="28" t="n">
        <v>46143</v>
      </c>
      <c r="B70" s="5" t="inlineStr">
        <is>
          <t>MSCI World Value</t>
        </is>
      </c>
      <c r="C70" s="3">
        <f>IFERROR(VLOOKUP(B70,Assets!$A:$B,2,FALSE),"")</f>
        <v/>
      </c>
      <c r="D70" s="6" t="n"/>
    </row>
    <row r="71">
      <c r="A71" s="28" t="n">
        <v>46143</v>
      </c>
      <c r="B71" s="5" t="inlineStr">
        <is>
          <t>MSCI EM</t>
        </is>
      </c>
      <c r="C71" s="3">
        <f>IFERROR(VLOOKUP(B71,Assets!$A:$B,2,FALSE),"")</f>
        <v/>
      </c>
      <c r="D71" s="6" t="n"/>
    </row>
    <row r="72">
      <c r="A72" s="28" t="n">
        <v>46143</v>
      </c>
      <c r="B72" s="5" t="inlineStr">
        <is>
          <t>Defence Tech</t>
        </is>
      </c>
      <c r="C72" s="3">
        <f>IFERROR(VLOOKUP(B72,Assets!$A:$B,2,FALSE),"")</f>
        <v/>
      </c>
      <c r="D72" s="6" t="n"/>
    </row>
    <row r="73">
      <c r="A73" s="28" t="n">
        <v>46143</v>
      </c>
      <c r="B73" s="5" t="inlineStr">
        <is>
          <t>Savings</t>
        </is>
      </c>
      <c r="C73" s="3">
        <f>IFERROR(VLOOKUP(B73,Assets!$A:$B,2,FALSE),"")</f>
        <v/>
      </c>
      <c r="D73" s="6" t="n"/>
    </row>
    <row r="74">
      <c r="A74" s="28" t="n">
        <v>46174</v>
      </c>
      <c r="B74" s="5" t="inlineStr">
        <is>
          <t>Core MSCI World</t>
        </is>
      </c>
      <c r="C74" s="3">
        <f>IFERROR(VLOOKUP(B74,Assets!$A:$B,2,FALSE),"")</f>
        <v/>
      </c>
      <c r="D74" s="6" t="n"/>
    </row>
    <row r="75">
      <c r="A75" s="28" t="n">
        <v>46174</v>
      </c>
      <c r="B75" s="5" t="inlineStr">
        <is>
          <t>AI &amp; Big Data</t>
        </is>
      </c>
      <c r="C75" s="3">
        <f>IFERROR(VLOOKUP(B75,Assets!$A:$B,2,FALSE),"")</f>
        <v/>
      </c>
      <c r="D75" s="6" t="n"/>
    </row>
    <row r="76">
      <c r="A76" s="28" t="n">
        <v>46174</v>
      </c>
      <c r="B76" s="5" t="inlineStr">
        <is>
          <t>Physical Gold</t>
        </is>
      </c>
      <c r="C76" s="3">
        <f>IFERROR(VLOOKUP(B76,Assets!$A:$B,2,FALSE),"")</f>
        <v/>
      </c>
      <c r="D76" s="6" t="n"/>
    </row>
    <row r="77">
      <c r="A77" s="28" t="n">
        <v>46174</v>
      </c>
      <c r="B77" s="5" t="inlineStr">
        <is>
          <t>Global Gov Bond</t>
        </is>
      </c>
      <c r="C77" s="3">
        <f>IFERROR(VLOOKUP(B77,Assets!$A:$B,2,FALSE),"")</f>
        <v/>
      </c>
      <c r="D77" s="6" t="n"/>
    </row>
    <row r="78">
      <c r="A78" s="28" t="n">
        <v>46174</v>
      </c>
      <c r="B78" s="5" t="inlineStr">
        <is>
          <t>Core EUR Corp Bond</t>
        </is>
      </c>
      <c r="C78" s="3">
        <f>IFERROR(VLOOKUP(B78,Assets!$A:$B,2,FALSE),"")</f>
        <v/>
      </c>
      <c r="D78" s="6" t="n"/>
    </row>
    <row r="79">
      <c r="A79" s="28" t="n">
        <v>46174</v>
      </c>
      <c r="B79" s="5" t="inlineStr">
        <is>
          <t>MSCI World Value</t>
        </is>
      </c>
      <c r="C79" s="3">
        <f>IFERROR(VLOOKUP(B79,Assets!$A:$B,2,FALSE),"")</f>
        <v/>
      </c>
      <c r="D79" s="6" t="n"/>
    </row>
    <row r="80">
      <c r="A80" s="28" t="n">
        <v>46174</v>
      </c>
      <c r="B80" s="5" t="inlineStr">
        <is>
          <t>MSCI EM</t>
        </is>
      </c>
      <c r="C80" s="3">
        <f>IFERROR(VLOOKUP(B80,Assets!$A:$B,2,FALSE),"")</f>
        <v/>
      </c>
      <c r="D80" s="6" t="n"/>
    </row>
    <row r="81">
      <c r="A81" s="28" t="n">
        <v>46174</v>
      </c>
      <c r="B81" s="5" t="inlineStr">
        <is>
          <t>Defence Tech</t>
        </is>
      </c>
      <c r="C81" s="3">
        <f>IFERROR(VLOOKUP(B81,Assets!$A:$B,2,FALSE),"")</f>
        <v/>
      </c>
      <c r="D81" s="6" t="n"/>
    </row>
    <row r="82">
      <c r="A82" s="28" t="n">
        <v>46174</v>
      </c>
      <c r="B82" s="5" t="inlineStr">
        <is>
          <t>Savings</t>
        </is>
      </c>
      <c r="C82" s="3">
        <f>IFERROR(VLOOKUP(B82,Assets!$A:$B,2,FALSE),"")</f>
        <v/>
      </c>
      <c r="D82" s="6" t="n"/>
    </row>
    <row r="83">
      <c r="A83" s="28" t="n">
        <v>46204</v>
      </c>
      <c r="B83" s="5" t="inlineStr">
        <is>
          <t>Core MSCI World</t>
        </is>
      </c>
      <c r="C83" s="3">
        <f>IFERROR(VLOOKUP(B83,Assets!$A:$B,2,FALSE),"")</f>
        <v/>
      </c>
      <c r="D83" s="6" t="n"/>
    </row>
    <row r="84">
      <c r="A84" s="28" t="n">
        <v>46204</v>
      </c>
      <c r="B84" s="5" t="inlineStr">
        <is>
          <t>AI &amp; Big Data</t>
        </is>
      </c>
      <c r="C84" s="3">
        <f>IFERROR(VLOOKUP(B84,Assets!$A:$B,2,FALSE),"")</f>
        <v/>
      </c>
      <c r="D84" s="6" t="n"/>
    </row>
    <row r="85">
      <c r="A85" s="28" t="n">
        <v>46204</v>
      </c>
      <c r="B85" s="5" t="inlineStr">
        <is>
          <t>Physical Gold</t>
        </is>
      </c>
      <c r="C85" s="3">
        <f>IFERROR(VLOOKUP(B85,Assets!$A:$B,2,FALSE),"")</f>
        <v/>
      </c>
      <c r="D85" s="6" t="n"/>
    </row>
    <row r="86">
      <c r="A86" s="28" t="n">
        <v>46204</v>
      </c>
      <c r="B86" s="5" t="inlineStr">
        <is>
          <t>Global Gov Bond</t>
        </is>
      </c>
      <c r="C86" s="3">
        <f>IFERROR(VLOOKUP(B86,Assets!$A:$B,2,FALSE),"")</f>
        <v/>
      </c>
      <c r="D86" s="6" t="n"/>
    </row>
    <row r="87">
      <c r="A87" s="28" t="n">
        <v>46204</v>
      </c>
      <c r="B87" s="5" t="inlineStr">
        <is>
          <t>Core EUR Corp Bond</t>
        </is>
      </c>
      <c r="C87" s="3">
        <f>IFERROR(VLOOKUP(B87,Assets!$A:$B,2,FALSE),"")</f>
        <v/>
      </c>
      <c r="D87" s="6" t="n"/>
    </row>
    <row r="88">
      <c r="A88" s="28" t="n">
        <v>46204</v>
      </c>
      <c r="B88" s="5" t="inlineStr">
        <is>
          <t>MSCI World Value</t>
        </is>
      </c>
      <c r="C88" s="3">
        <f>IFERROR(VLOOKUP(B88,Assets!$A:$B,2,FALSE),"")</f>
        <v/>
      </c>
      <c r="D88" s="6" t="n"/>
    </row>
    <row r="89">
      <c r="A89" s="28" t="n">
        <v>46204</v>
      </c>
      <c r="B89" s="5" t="inlineStr">
        <is>
          <t>MSCI EM</t>
        </is>
      </c>
      <c r="C89" s="3">
        <f>IFERROR(VLOOKUP(B89,Assets!$A:$B,2,FALSE),"")</f>
        <v/>
      </c>
      <c r="D89" s="6" t="n"/>
    </row>
    <row r="90">
      <c r="A90" s="28" t="n">
        <v>46204</v>
      </c>
      <c r="B90" s="5" t="inlineStr">
        <is>
          <t>Defence Tech</t>
        </is>
      </c>
      <c r="C90" s="3">
        <f>IFERROR(VLOOKUP(B90,Assets!$A:$B,2,FALSE),"")</f>
        <v/>
      </c>
      <c r="D90" s="6" t="n"/>
    </row>
    <row r="91">
      <c r="A91" s="28" t="n">
        <v>46204</v>
      </c>
      <c r="B91" s="5" t="inlineStr">
        <is>
          <t>Savings</t>
        </is>
      </c>
      <c r="C91" s="3">
        <f>IFERROR(VLOOKUP(B91,Assets!$A:$B,2,FALSE),"")</f>
        <v/>
      </c>
      <c r="D91" s="6" t="n"/>
    </row>
    <row r="92">
      <c r="A92" s="28" t="n">
        <v>46235</v>
      </c>
      <c r="B92" s="5" t="inlineStr">
        <is>
          <t>Core MSCI World</t>
        </is>
      </c>
      <c r="C92" s="3">
        <f>IFERROR(VLOOKUP(B92,Assets!$A:$B,2,FALSE),"")</f>
        <v/>
      </c>
      <c r="D92" s="6" t="n"/>
    </row>
    <row r="93">
      <c r="A93" s="28" t="n">
        <v>46235</v>
      </c>
      <c r="B93" s="5" t="inlineStr">
        <is>
          <t>AI &amp; Big Data</t>
        </is>
      </c>
      <c r="C93" s="3">
        <f>IFERROR(VLOOKUP(B93,Assets!$A:$B,2,FALSE),"")</f>
        <v/>
      </c>
      <c r="D93" s="6" t="n"/>
    </row>
    <row r="94">
      <c r="A94" s="28" t="n">
        <v>46235</v>
      </c>
      <c r="B94" s="5" t="inlineStr">
        <is>
          <t>Physical Gold</t>
        </is>
      </c>
      <c r="C94" s="3">
        <f>IFERROR(VLOOKUP(B94,Assets!$A:$B,2,FALSE),"")</f>
        <v/>
      </c>
      <c r="D94" s="6" t="n"/>
    </row>
    <row r="95">
      <c r="A95" s="28" t="n">
        <v>46235</v>
      </c>
      <c r="B95" s="5" t="inlineStr">
        <is>
          <t>Global Gov Bond</t>
        </is>
      </c>
      <c r="C95" s="3">
        <f>IFERROR(VLOOKUP(B95,Assets!$A:$B,2,FALSE),"")</f>
        <v/>
      </c>
      <c r="D95" s="6" t="n"/>
    </row>
    <row r="96">
      <c r="A96" s="28" t="n">
        <v>46235</v>
      </c>
      <c r="B96" s="5" t="inlineStr">
        <is>
          <t>Core EUR Corp Bond</t>
        </is>
      </c>
      <c r="C96" s="3">
        <f>IFERROR(VLOOKUP(B96,Assets!$A:$B,2,FALSE),"")</f>
        <v/>
      </c>
      <c r="D96" s="6" t="n"/>
    </row>
    <row r="97">
      <c r="A97" s="28" t="n">
        <v>46235</v>
      </c>
      <c r="B97" s="5" t="inlineStr">
        <is>
          <t>MSCI World Value</t>
        </is>
      </c>
      <c r="C97" s="3">
        <f>IFERROR(VLOOKUP(B97,Assets!$A:$B,2,FALSE),"")</f>
        <v/>
      </c>
      <c r="D97" s="6" t="n"/>
    </row>
    <row r="98">
      <c r="A98" s="28" t="n">
        <v>46235</v>
      </c>
      <c r="B98" s="5" t="inlineStr">
        <is>
          <t>MSCI EM</t>
        </is>
      </c>
      <c r="C98" s="3">
        <f>IFERROR(VLOOKUP(B98,Assets!$A:$B,2,FALSE),"")</f>
        <v/>
      </c>
      <c r="D98" s="6" t="n"/>
    </row>
    <row r="99">
      <c r="A99" s="28" t="n">
        <v>46235</v>
      </c>
      <c r="B99" s="5" t="inlineStr">
        <is>
          <t>Defence Tech</t>
        </is>
      </c>
      <c r="C99" s="3">
        <f>IFERROR(VLOOKUP(B99,Assets!$A:$B,2,FALSE),"")</f>
        <v/>
      </c>
      <c r="D99" s="6" t="n"/>
    </row>
    <row r="100">
      <c r="A100" s="28" t="n">
        <v>46235</v>
      </c>
      <c r="B100" s="5" t="inlineStr">
        <is>
          <t>Savings</t>
        </is>
      </c>
      <c r="C100" s="3">
        <f>IFERROR(VLOOKUP(B100,Assets!$A:$B,2,FALSE),"")</f>
        <v/>
      </c>
      <c r="D100" s="6" t="n"/>
    </row>
    <row r="101">
      <c r="A101" s="28" t="n">
        <v>46266</v>
      </c>
      <c r="B101" s="5" t="inlineStr">
        <is>
          <t>Core MSCI World</t>
        </is>
      </c>
      <c r="C101" s="3">
        <f>IFERROR(VLOOKUP(B101,Assets!$A:$B,2,FALSE),"")</f>
        <v/>
      </c>
      <c r="D101" s="6" t="n"/>
    </row>
    <row r="102">
      <c r="A102" s="28" t="n">
        <v>46266</v>
      </c>
      <c r="B102" s="5" t="inlineStr">
        <is>
          <t>AI &amp; Big Data</t>
        </is>
      </c>
      <c r="C102" s="3">
        <f>IFERROR(VLOOKUP(B102,Assets!$A:$B,2,FALSE),"")</f>
        <v/>
      </c>
      <c r="D102" s="6" t="n"/>
    </row>
    <row r="103">
      <c r="A103" s="28" t="n">
        <v>46266</v>
      </c>
      <c r="B103" s="5" t="inlineStr">
        <is>
          <t>Physical Gold</t>
        </is>
      </c>
      <c r="C103" s="3">
        <f>IFERROR(VLOOKUP(B103,Assets!$A:$B,2,FALSE),"")</f>
        <v/>
      </c>
      <c r="D103" s="6" t="n"/>
    </row>
    <row r="104">
      <c r="A104" s="28" t="n">
        <v>46266</v>
      </c>
      <c r="B104" s="5" t="inlineStr">
        <is>
          <t>Global Gov Bond</t>
        </is>
      </c>
      <c r="C104" s="3">
        <f>IFERROR(VLOOKUP(B104,Assets!$A:$B,2,FALSE),"")</f>
        <v/>
      </c>
      <c r="D104" s="6" t="n"/>
    </row>
    <row r="105">
      <c r="A105" s="28" t="n">
        <v>46266</v>
      </c>
      <c r="B105" s="5" t="inlineStr">
        <is>
          <t>Core EUR Corp Bond</t>
        </is>
      </c>
      <c r="C105" s="3">
        <f>IFERROR(VLOOKUP(B105,Assets!$A:$B,2,FALSE),"")</f>
        <v/>
      </c>
      <c r="D105" s="6" t="n"/>
    </row>
    <row r="106">
      <c r="A106" s="28" t="n">
        <v>46266</v>
      </c>
      <c r="B106" s="5" t="inlineStr">
        <is>
          <t>MSCI World Value</t>
        </is>
      </c>
      <c r="C106" s="3">
        <f>IFERROR(VLOOKUP(B106,Assets!$A:$B,2,FALSE),"")</f>
        <v/>
      </c>
      <c r="D106" s="6" t="n"/>
    </row>
    <row r="107">
      <c r="A107" s="28" t="n">
        <v>46266</v>
      </c>
      <c r="B107" s="5" t="inlineStr">
        <is>
          <t>MSCI EM</t>
        </is>
      </c>
      <c r="C107" s="3">
        <f>IFERROR(VLOOKUP(B107,Assets!$A:$B,2,FALSE),"")</f>
        <v/>
      </c>
      <c r="D107" s="6" t="n"/>
    </row>
    <row r="108">
      <c r="A108" s="28" t="n">
        <v>46266</v>
      </c>
      <c r="B108" s="5" t="inlineStr">
        <is>
          <t>Defence Tech</t>
        </is>
      </c>
      <c r="C108" s="3">
        <f>IFERROR(VLOOKUP(B108,Assets!$A:$B,2,FALSE),"")</f>
        <v/>
      </c>
      <c r="D108" s="6" t="n"/>
    </row>
    <row r="109">
      <c r="A109" s="28" t="n">
        <v>46266</v>
      </c>
      <c r="B109" s="5" t="inlineStr">
        <is>
          <t>Savings</t>
        </is>
      </c>
      <c r="C109" s="3">
        <f>IFERROR(VLOOKUP(B109,Assets!$A:$B,2,FALSE),"")</f>
        <v/>
      </c>
      <c r="D109" s="6" t="n"/>
    </row>
    <row r="110">
      <c r="A110" s="28" t="n">
        <v>46296</v>
      </c>
      <c r="B110" s="5" t="inlineStr">
        <is>
          <t>Core MSCI World</t>
        </is>
      </c>
      <c r="C110" s="3">
        <f>IFERROR(VLOOKUP(B110,Assets!$A:$B,2,FALSE),"")</f>
        <v/>
      </c>
      <c r="D110" s="6" t="n"/>
    </row>
    <row r="111">
      <c r="A111" s="28" t="n">
        <v>46296</v>
      </c>
      <c r="B111" s="5" t="inlineStr">
        <is>
          <t>AI &amp; Big Data</t>
        </is>
      </c>
      <c r="C111" s="3">
        <f>IFERROR(VLOOKUP(B111,Assets!$A:$B,2,FALSE),"")</f>
        <v/>
      </c>
      <c r="D111" s="6" t="n"/>
    </row>
    <row r="112">
      <c r="A112" s="28" t="n">
        <v>46296</v>
      </c>
      <c r="B112" s="5" t="inlineStr">
        <is>
          <t>Physical Gold</t>
        </is>
      </c>
      <c r="C112" s="3">
        <f>IFERROR(VLOOKUP(B112,Assets!$A:$B,2,FALSE),"")</f>
        <v/>
      </c>
      <c r="D112" s="6" t="n"/>
    </row>
    <row r="113">
      <c r="A113" s="28" t="n">
        <v>46296</v>
      </c>
      <c r="B113" s="5" t="inlineStr">
        <is>
          <t>Global Gov Bond</t>
        </is>
      </c>
      <c r="C113" s="3">
        <f>IFERROR(VLOOKUP(B113,Assets!$A:$B,2,FALSE),"")</f>
        <v/>
      </c>
      <c r="D113" s="6" t="n"/>
    </row>
    <row r="114">
      <c r="A114" s="28" t="n">
        <v>46296</v>
      </c>
      <c r="B114" s="5" t="inlineStr">
        <is>
          <t>Core EUR Corp Bond</t>
        </is>
      </c>
      <c r="C114" s="3">
        <f>IFERROR(VLOOKUP(B114,Assets!$A:$B,2,FALSE),"")</f>
        <v/>
      </c>
      <c r="D114" s="6" t="n"/>
    </row>
    <row r="115">
      <c r="A115" s="28" t="n">
        <v>46296</v>
      </c>
      <c r="B115" s="5" t="inlineStr">
        <is>
          <t>MSCI World Value</t>
        </is>
      </c>
      <c r="C115" s="3">
        <f>IFERROR(VLOOKUP(B115,Assets!$A:$B,2,FALSE),"")</f>
        <v/>
      </c>
      <c r="D115" s="6" t="n"/>
    </row>
    <row r="116">
      <c r="A116" s="28" t="n">
        <v>46296</v>
      </c>
      <c r="B116" s="5" t="inlineStr">
        <is>
          <t>MSCI EM</t>
        </is>
      </c>
      <c r="C116" s="3">
        <f>IFERROR(VLOOKUP(B116,Assets!$A:$B,2,FALSE),"")</f>
        <v/>
      </c>
      <c r="D116" s="6" t="n"/>
    </row>
    <row r="117">
      <c r="A117" s="28" t="n">
        <v>46296</v>
      </c>
      <c r="B117" s="5" t="inlineStr">
        <is>
          <t>Defence Tech</t>
        </is>
      </c>
      <c r="C117" s="3">
        <f>IFERROR(VLOOKUP(B117,Assets!$A:$B,2,FALSE),"")</f>
        <v/>
      </c>
      <c r="D117" s="6" t="n"/>
    </row>
    <row r="118">
      <c r="A118" s="28" t="n">
        <v>46296</v>
      </c>
      <c r="B118" s="5" t="inlineStr">
        <is>
          <t>Savings</t>
        </is>
      </c>
      <c r="C118" s="3">
        <f>IFERROR(VLOOKUP(B118,Assets!$A:$B,2,FALSE),"")</f>
        <v/>
      </c>
      <c r="D118" s="6" t="n"/>
    </row>
    <row r="119">
      <c r="A119" s="28" t="n">
        <v>46327</v>
      </c>
      <c r="B119" s="5" t="inlineStr">
        <is>
          <t>Core MSCI World</t>
        </is>
      </c>
      <c r="C119" s="3">
        <f>IFERROR(VLOOKUP(B119,Assets!$A:$B,2,FALSE),"")</f>
        <v/>
      </c>
      <c r="D119" s="6" t="n"/>
    </row>
    <row r="120">
      <c r="A120" s="28" t="n">
        <v>46327</v>
      </c>
      <c r="B120" s="5" t="inlineStr">
        <is>
          <t>AI &amp; Big Data</t>
        </is>
      </c>
      <c r="C120" s="3">
        <f>IFERROR(VLOOKUP(B120,Assets!$A:$B,2,FALSE),"")</f>
        <v/>
      </c>
      <c r="D120" s="6" t="n"/>
    </row>
    <row r="121">
      <c r="A121" s="28" t="n">
        <v>46327</v>
      </c>
      <c r="B121" s="5" t="inlineStr">
        <is>
          <t>Physical Gold</t>
        </is>
      </c>
      <c r="C121" s="3">
        <f>IFERROR(VLOOKUP(B121,Assets!$A:$B,2,FALSE),"")</f>
        <v/>
      </c>
      <c r="D121" s="6" t="n"/>
    </row>
    <row r="122">
      <c r="A122" s="28" t="n">
        <v>46327</v>
      </c>
      <c r="B122" s="5" t="inlineStr">
        <is>
          <t>Global Gov Bond</t>
        </is>
      </c>
      <c r="C122" s="3">
        <f>IFERROR(VLOOKUP(B122,Assets!$A:$B,2,FALSE),"")</f>
        <v/>
      </c>
      <c r="D122" s="6" t="n"/>
    </row>
    <row r="123">
      <c r="A123" s="28" t="n">
        <v>46327</v>
      </c>
      <c r="B123" s="5" t="inlineStr">
        <is>
          <t>Core EUR Corp Bond</t>
        </is>
      </c>
      <c r="C123" s="3">
        <f>IFERROR(VLOOKUP(B123,Assets!$A:$B,2,FALSE),"")</f>
        <v/>
      </c>
      <c r="D123" s="6" t="n"/>
    </row>
    <row r="124">
      <c r="A124" s="28" t="n">
        <v>46327</v>
      </c>
      <c r="B124" s="5" t="inlineStr">
        <is>
          <t>MSCI World Value</t>
        </is>
      </c>
      <c r="C124" s="3">
        <f>IFERROR(VLOOKUP(B124,Assets!$A:$B,2,FALSE),"")</f>
        <v/>
      </c>
      <c r="D124" s="6" t="n"/>
    </row>
    <row r="125">
      <c r="A125" s="28" t="n">
        <v>46327</v>
      </c>
      <c r="B125" s="5" t="inlineStr">
        <is>
          <t>MSCI EM</t>
        </is>
      </c>
      <c r="C125" s="3">
        <f>IFERROR(VLOOKUP(B125,Assets!$A:$B,2,FALSE),"")</f>
        <v/>
      </c>
      <c r="D125" s="6" t="n"/>
    </row>
    <row r="126">
      <c r="A126" s="28" t="n">
        <v>46327</v>
      </c>
      <c r="B126" s="5" t="inlineStr">
        <is>
          <t>Defence Tech</t>
        </is>
      </c>
      <c r="C126" s="3">
        <f>IFERROR(VLOOKUP(B126,Assets!$A:$B,2,FALSE),"")</f>
        <v/>
      </c>
      <c r="D126" s="6" t="n"/>
    </row>
    <row r="127">
      <c r="A127" s="28" t="n">
        <v>46327</v>
      </c>
      <c r="B127" s="5" t="inlineStr">
        <is>
          <t>Savings</t>
        </is>
      </c>
      <c r="C127" s="3">
        <f>IFERROR(VLOOKUP(B127,Assets!$A:$B,2,FALSE),"")</f>
        <v/>
      </c>
      <c r="D127" s="6" t="n"/>
    </row>
    <row r="128">
      <c r="A128" s="28" t="n">
        <v>46357</v>
      </c>
      <c r="B128" s="5" t="inlineStr">
        <is>
          <t>Core MSCI World</t>
        </is>
      </c>
      <c r="C128" s="3">
        <f>IFERROR(VLOOKUP(B128,Assets!$A:$B,2,FALSE),"")</f>
        <v/>
      </c>
      <c r="D128" s="6" t="n"/>
    </row>
    <row r="129">
      <c r="A129" s="28" t="n">
        <v>46357</v>
      </c>
      <c r="B129" s="5" t="inlineStr">
        <is>
          <t>AI &amp; Big Data</t>
        </is>
      </c>
      <c r="C129" s="3">
        <f>IFERROR(VLOOKUP(B129,Assets!$A:$B,2,FALSE),"")</f>
        <v/>
      </c>
      <c r="D129" s="6" t="n"/>
    </row>
    <row r="130">
      <c r="A130" s="28" t="n">
        <v>46357</v>
      </c>
      <c r="B130" s="5" t="inlineStr">
        <is>
          <t>Physical Gold</t>
        </is>
      </c>
      <c r="C130" s="3">
        <f>IFERROR(VLOOKUP(B130,Assets!$A:$B,2,FALSE),"")</f>
        <v/>
      </c>
      <c r="D130" s="6" t="n"/>
    </row>
    <row r="131">
      <c r="A131" s="28" t="n">
        <v>46357</v>
      </c>
      <c r="B131" s="5" t="inlineStr">
        <is>
          <t>Global Gov Bond</t>
        </is>
      </c>
      <c r="C131" s="3">
        <f>IFERROR(VLOOKUP(B131,Assets!$A:$B,2,FALSE),"")</f>
        <v/>
      </c>
      <c r="D131" s="6" t="n"/>
    </row>
    <row r="132">
      <c r="A132" s="28" t="n">
        <v>46357</v>
      </c>
      <c r="B132" s="5" t="inlineStr">
        <is>
          <t>Core EUR Corp Bond</t>
        </is>
      </c>
      <c r="C132" s="3">
        <f>IFERROR(VLOOKUP(B132,Assets!$A:$B,2,FALSE),"")</f>
        <v/>
      </c>
      <c r="D132" s="6" t="n"/>
    </row>
    <row r="133">
      <c r="A133" s="28" t="n">
        <v>46357</v>
      </c>
      <c r="B133" s="5" t="inlineStr">
        <is>
          <t>MSCI World Value</t>
        </is>
      </c>
      <c r="C133" s="3">
        <f>IFERROR(VLOOKUP(B133,Assets!$A:$B,2,FALSE),"")</f>
        <v/>
      </c>
      <c r="D133" s="6" t="n"/>
    </row>
    <row r="134">
      <c r="A134" s="28" t="n">
        <v>46357</v>
      </c>
      <c r="B134" s="5" t="inlineStr">
        <is>
          <t>MSCI EM</t>
        </is>
      </c>
      <c r="C134" s="3">
        <f>IFERROR(VLOOKUP(B134,Assets!$A:$B,2,FALSE),"")</f>
        <v/>
      </c>
      <c r="D134" s="6" t="n"/>
    </row>
    <row r="135">
      <c r="A135" s="28" t="n">
        <v>46357</v>
      </c>
      <c r="B135" s="5" t="inlineStr">
        <is>
          <t>Defence Tech</t>
        </is>
      </c>
      <c r="C135" s="3">
        <f>IFERROR(VLOOKUP(B135,Assets!$A:$B,2,FALSE),"")</f>
        <v/>
      </c>
      <c r="D135" s="6" t="n"/>
    </row>
    <row r="136">
      <c r="A136" s="28" t="n">
        <v>46357</v>
      </c>
      <c r="B136" s="5" t="inlineStr">
        <is>
          <t>Savings</t>
        </is>
      </c>
      <c r="C136" s="3">
        <f>IFERROR(VLOOKUP(B136,Assets!$A:$B,2,FALSE),"")</f>
        <v/>
      </c>
      <c r="D136" s="6" t="n"/>
    </row>
    <row r="137">
      <c r="A137" s="28" t="n">
        <v>46388</v>
      </c>
      <c r="B137" s="5" t="inlineStr">
        <is>
          <t>Core MSCI World</t>
        </is>
      </c>
      <c r="C137" s="3">
        <f>IFERROR(VLOOKUP(B137,Assets!$A:$B,2,FALSE),"")</f>
        <v/>
      </c>
      <c r="D137" s="6" t="n"/>
    </row>
    <row r="138">
      <c r="A138" s="28" t="n">
        <v>46388</v>
      </c>
      <c r="B138" s="5" t="inlineStr">
        <is>
          <t>AI &amp; Big Data</t>
        </is>
      </c>
      <c r="C138" s="3">
        <f>IFERROR(VLOOKUP(B138,Assets!$A:$B,2,FALSE),"")</f>
        <v/>
      </c>
      <c r="D138" s="6" t="n"/>
    </row>
    <row r="139">
      <c r="A139" s="28" t="n">
        <v>46388</v>
      </c>
      <c r="B139" s="5" t="inlineStr">
        <is>
          <t>Physical Gold</t>
        </is>
      </c>
      <c r="C139" s="3">
        <f>IFERROR(VLOOKUP(B139,Assets!$A:$B,2,FALSE),"")</f>
        <v/>
      </c>
      <c r="D139" s="6" t="n"/>
    </row>
    <row r="140">
      <c r="A140" s="28" t="n">
        <v>46388</v>
      </c>
      <c r="B140" s="5" t="inlineStr">
        <is>
          <t>Global Gov Bond</t>
        </is>
      </c>
      <c r="C140" s="3">
        <f>IFERROR(VLOOKUP(B140,Assets!$A:$B,2,FALSE),"")</f>
        <v/>
      </c>
      <c r="D140" s="6" t="n"/>
    </row>
    <row r="141">
      <c r="A141" s="28" t="n">
        <v>46388</v>
      </c>
      <c r="B141" s="5" t="inlineStr">
        <is>
          <t>Core EUR Corp Bond</t>
        </is>
      </c>
      <c r="C141" s="3">
        <f>IFERROR(VLOOKUP(B141,Assets!$A:$B,2,FALSE),"")</f>
        <v/>
      </c>
      <c r="D141" s="6" t="n"/>
    </row>
    <row r="142">
      <c r="A142" s="28" t="n">
        <v>46388</v>
      </c>
      <c r="B142" s="5" t="inlineStr">
        <is>
          <t>MSCI World Value</t>
        </is>
      </c>
      <c r="C142" s="3">
        <f>IFERROR(VLOOKUP(B142,Assets!$A:$B,2,FALSE),"")</f>
        <v/>
      </c>
      <c r="D142" s="6" t="n"/>
    </row>
    <row r="143">
      <c r="A143" s="28" t="n">
        <v>46388</v>
      </c>
      <c r="B143" s="5" t="inlineStr">
        <is>
          <t>MSCI EM</t>
        </is>
      </c>
      <c r="C143" s="3">
        <f>IFERROR(VLOOKUP(B143,Assets!$A:$B,2,FALSE),"")</f>
        <v/>
      </c>
      <c r="D143" s="6" t="n"/>
    </row>
    <row r="144">
      <c r="A144" s="28" t="n">
        <v>46388</v>
      </c>
      <c r="B144" s="5" t="inlineStr">
        <is>
          <t>Defence Tech</t>
        </is>
      </c>
      <c r="C144" s="3">
        <f>IFERROR(VLOOKUP(B144,Assets!$A:$B,2,FALSE),"")</f>
        <v/>
      </c>
      <c r="D144" s="6" t="n"/>
    </row>
    <row r="145">
      <c r="A145" s="28" t="n">
        <v>46388</v>
      </c>
      <c r="B145" s="5" t="inlineStr">
        <is>
          <t>Savings</t>
        </is>
      </c>
      <c r="C145" s="3">
        <f>IFERROR(VLOOKUP(B145,Assets!$A:$B,2,FALSE),"")</f>
        <v/>
      </c>
      <c r="D145" s="6" t="n"/>
    </row>
    <row r="146">
      <c r="A146" s="28" t="n">
        <v>46419</v>
      </c>
      <c r="B146" s="5" t="inlineStr">
        <is>
          <t>Core MSCI World</t>
        </is>
      </c>
      <c r="C146" s="3">
        <f>IFERROR(VLOOKUP(B146,Assets!$A:$B,2,FALSE),"")</f>
        <v/>
      </c>
      <c r="D146" s="6" t="n"/>
    </row>
    <row r="147">
      <c r="A147" s="28" t="n">
        <v>46419</v>
      </c>
      <c r="B147" s="5" t="inlineStr">
        <is>
          <t>AI &amp; Big Data</t>
        </is>
      </c>
      <c r="C147" s="3">
        <f>IFERROR(VLOOKUP(B147,Assets!$A:$B,2,FALSE),"")</f>
        <v/>
      </c>
      <c r="D147" s="6" t="n"/>
    </row>
    <row r="148">
      <c r="A148" s="28" t="n">
        <v>46419</v>
      </c>
      <c r="B148" s="5" t="inlineStr">
        <is>
          <t>Physical Gold</t>
        </is>
      </c>
      <c r="C148" s="3">
        <f>IFERROR(VLOOKUP(B148,Assets!$A:$B,2,FALSE),"")</f>
        <v/>
      </c>
      <c r="D148" s="6" t="n"/>
    </row>
    <row r="149">
      <c r="A149" s="28" t="n">
        <v>46419</v>
      </c>
      <c r="B149" s="5" t="inlineStr">
        <is>
          <t>Global Gov Bond</t>
        </is>
      </c>
      <c r="C149" s="3">
        <f>IFERROR(VLOOKUP(B149,Assets!$A:$B,2,FALSE),"")</f>
        <v/>
      </c>
      <c r="D149" s="6" t="n"/>
    </row>
    <row r="150">
      <c r="A150" s="28" t="n">
        <v>46419</v>
      </c>
      <c r="B150" s="5" t="inlineStr">
        <is>
          <t>Core EUR Corp Bond</t>
        </is>
      </c>
      <c r="C150" s="3">
        <f>IFERROR(VLOOKUP(B150,Assets!$A:$B,2,FALSE),"")</f>
        <v/>
      </c>
      <c r="D150" s="6" t="n"/>
    </row>
    <row r="151">
      <c r="A151" s="28" t="n">
        <v>46419</v>
      </c>
      <c r="B151" s="5" t="inlineStr">
        <is>
          <t>MSCI World Value</t>
        </is>
      </c>
      <c r="C151" s="3">
        <f>IFERROR(VLOOKUP(B151,Assets!$A:$B,2,FALSE),"")</f>
        <v/>
      </c>
      <c r="D151" s="6" t="n"/>
    </row>
    <row r="152">
      <c r="A152" s="28" t="n">
        <v>46419</v>
      </c>
      <c r="B152" s="5" t="inlineStr">
        <is>
          <t>MSCI EM</t>
        </is>
      </c>
      <c r="C152" s="3">
        <f>IFERROR(VLOOKUP(B152,Assets!$A:$B,2,FALSE),"")</f>
        <v/>
      </c>
      <c r="D152" s="6" t="n"/>
    </row>
    <row r="153">
      <c r="A153" s="28" t="n">
        <v>46419</v>
      </c>
      <c r="B153" s="5" t="inlineStr">
        <is>
          <t>Defence Tech</t>
        </is>
      </c>
      <c r="C153" s="3">
        <f>IFERROR(VLOOKUP(B153,Assets!$A:$B,2,FALSE),"")</f>
        <v/>
      </c>
      <c r="D153" s="6" t="n"/>
    </row>
    <row r="154">
      <c r="A154" s="28" t="n">
        <v>46419</v>
      </c>
      <c r="B154" s="5" t="inlineStr">
        <is>
          <t>Savings</t>
        </is>
      </c>
      <c r="C154" s="3">
        <f>IFERROR(VLOOKUP(B154,Assets!$A:$B,2,FALSE),"")</f>
        <v/>
      </c>
      <c r="D154" s="6" t="n"/>
    </row>
    <row r="155">
      <c r="A155" s="28" t="n">
        <v>46447</v>
      </c>
      <c r="B155" s="5" t="inlineStr">
        <is>
          <t>Core MSCI World</t>
        </is>
      </c>
      <c r="C155" s="3">
        <f>IFERROR(VLOOKUP(B155,Assets!$A:$B,2,FALSE),"")</f>
        <v/>
      </c>
      <c r="D155" s="6" t="n"/>
    </row>
    <row r="156">
      <c r="A156" s="28" t="n">
        <v>46447</v>
      </c>
      <c r="B156" s="5" t="inlineStr">
        <is>
          <t>AI &amp; Big Data</t>
        </is>
      </c>
      <c r="C156" s="3">
        <f>IFERROR(VLOOKUP(B156,Assets!$A:$B,2,FALSE),"")</f>
        <v/>
      </c>
      <c r="D156" s="6" t="n"/>
    </row>
    <row r="157">
      <c r="A157" s="28" t="n">
        <v>46447</v>
      </c>
      <c r="B157" s="5" t="inlineStr">
        <is>
          <t>Physical Gold</t>
        </is>
      </c>
      <c r="C157" s="3">
        <f>IFERROR(VLOOKUP(B157,Assets!$A:$B,2,FALSE),"")</f>
        <v/>
      </c>
      <c r="D157" s="6" t="n"/>
    </row>
    <row r="158">
      <c r="A158" s="28" t="n">
        <v>46447</v>
      </c>
      <c r="B158" s="5" t="inlineStr">
        <is>
          <t>Global Gov Bond</t>
        </is>
      </c>
      <c r="C158" s="3">
        <f>IFERROR(VLOOKUP(B158,Assets!$A:$B,2,FALSE),"")</f>
        <v/>
      </c>
      <c r="D158" s="6" t="n"/>
    </row>
    <row r="159">
      <c r="A159" s="28" t="n">
        <v>46447</v>
      </c>
      <c r="B159" s="5" t="inlineStr">
        <is>
          <t>Core EUR Corp Bond</t>
        </is>
      </c>
      <c r="C159" s="3">
        <f>IFERROR(VLOOKUP(B159,Assets!$A:$B,2,FALSE),"")</f>
        <v/>
      </c>
      <c r="D159" s="6" t="n"/>
    </row>
    <row r="160">
      <c r="A160" s="28" t="n">
        <v>46447</v>
      </c>
      <c r="B160" s="5" t="inlineStr">
        <is>
          <t>MSCI World Value</t>
        </is>
      </c>
      <c r="C160" s="3">
        <f>IFERROR(VLOOKUP(B160,Assets!$A:$B,2,FALSE),"")</f>
        <v/>
      </c>
      <c r="D160" s="6" t="n"/>
    </row>
    <row r="161">
      <c r="A161" s="28" t="n">
        <v>46447</v>
      </c>
      <c r="B161" s="5" t="inlineStr">
        <is>
          <t>MSCI EM</t>
        </is>
      </c>
      <c r="C161" s="3">
        <f>IFERROR(VLOOKUP(B161,Assets!$A:$B,2,FALSE),"")</f>
        <v/>
      </c>
      <c r="D161" s="6" t="n"/>
    </row>
    <row r="162">
      <c r="A162" s="28" t="n">
        <v>46447</v>
      </c>
      <c r="B162" s="5" t="inlineStr">
        <is>
          <t>Defence Tech</t>
        </is>
      </c>
      <c r="C162" s="3">
        <f>IFERROR(VLOOKUP(B162,Assets!$A:$B,2,FALSE),"")</f>
        <v/>
      </c>
      <c r="D162" s="6" t="n"/>
    </row>
    <row r="163">
      <c r="A163" s="28" t="n">
        <v>46447</v>
      </c>
      <c r="B163" s="5" t="inlineStr">
        <is>
          <t>Savings</t>
        </is>
      </c>
      <c r="C163" s="3">
        <f>IFERROR(VLOOKUP(B163,Assets!$A:$B,2,FALSE),"")</f>
        <v/>
      </c>
      <c r="D163" s="6" t="n"/>
    </row>
    <row r="164">
      <c r="A164" s="28" t="n">
        <v>46478</v>
      </c>
      <c r="B164" s="5" t="inlineStr">
        <is>
          <t>Core MSCI World</t>
        </is>
      </c>
      <c r="C164" s="3">
        <f>IFERROR(VLOOKUP(B164,Assets!$A:$B,2,FALSE),"")</f>
        <v/>
      </c>
      <c r="D164" s="6" t="n"/>
    </row>
    <row r="165">
      <c r="A165" s="28" t="n">
        <v>46478</v>
      </c>
      <c r="B165" s="5" t="inlineStr">
        <is>
          <t>AI &amp; Big Data</t>
        </is>
      </c>
      <c r="C165" s="3">
        <f>IFERROR(VLOOKUP(B165,Assets!$A:$B,2,FALSE),"")</f>
        <v/>
      </c>
      <c r="D165" s="6" t="n"/>
    </row>
    <row r="166">
      <c r="A166" s="28" t="n">
        <v>46478</v>
      </c>
      <c r="B166" s="5" t="inlineStr">
        <is>
          <t>Physical Gold</t>
        </is>
      </c>
      <c r="C166" s="3">
        <f>IFERROR(VLOOKUP(B166,Assets!$A:$B,2,FALSE),"")</f>
        <v/>
      </c>
      <c r="D166" s="6" t="n"/>
    </row>
    <row r="167">
      <c r="A167" s="28" t="n">
        <v>46478</v>
      </c>
      <c r="B167" s="5" t="inlineStr">
        <is>
          <t>Global Gov Bond</t>
        </is>
      </c>
      <c r="C167" s="3">
        <f>IFERROR(VLOOKUP(B167,Assets!$A:$B,2,FALSE),"")</f>
        <v/>
      </c>
      <c r="D167" s="6" t="n"/>
    </row>
    <row r="168">
      <c r="A168" s="28" t="n">
        <v>46478</v>
      </c>
      <c r="B168" s="5" t="inlineStr">
        <is>
          <t>Core EUR Corp Bond</t>
        </is>
      </c>
      <c r="C168" s="3">
        <f>IFERROR(VLOOKUP(B168,Assets!$A:$B,2,FALSE),"")</f>
        <v/>
      </c>
      <c r="D168" s="6" t="n"/>
    </row>
    <row r="169">
      <c r="A169" s="28" t="n">
        <v>46478</v>
      </c>
      <c r="B169" s="5" t="inlineStr">
        <is>
          <t>MSCI World Value</t>
        </is>
      </c>
      <c r="C169" s="3">
        <f>IFERROR(VLOOKUP(B169,Assets!$A:$B,2,FALSE),"")</f>
        <v/>
      </c>
      <c r="D169" s="6" t="n"/>
    </row>
    <row r="170">
      <c r="A170" s="28" t="n">
        <v>46478</v>
      </c>
      <c r="B170" s="5" t="inlineStr">
        <is>
          <t>MSCI EM</t>
        </is>
      </c>
      <c r="C170" s="3">
        <f>IFERROR(VLOOKUP(B170,Assets!$A:$B,2,FALSE),"")</f>
        <v/>
      </c>
      <c r="D170" s="6" t="n"/>
    </row>
    <row r="171">
      <c r="A171" s="28" t="n">
        <v>46478</v>
      </c>
      <c r="B171" s="5" t="inlineStr">
        <is>
          <t>Defence Tech</t>
        </is>
      </c>
      <c r="C171" s="3">
        <f>IFERROR(VLOOKUP(B171,Assets!$A:$B,2,FALSE),"")</f>
        <v/>
      </c>
      <c r="D171" s="6" t="n"/>
    </row>
    <row r="172">
      <c r="A172" s="28" t="n">
        <v>46478</v>
      </c>
      <c r="B172" s="5" t="inlineStr">
        <is>
          <t>Savings</t>
        </is>
      </c>
      <c r="C172" s="3">
        <f>IFERROR(VLOOKUP(B172,Assets!$A:$B,2,FALSE),"")</f>
        <v/>
      </c>
      <c r="D172" s="6" t="n"/>
    </row>
    <row r="173">
      <c r="A173" s="28" t="n">
        <v>46508</v>
      </c>
      <c r="B173" s="5" t="inlineStr">
        <is>
          <t>Core MSCI World</t>
        </is>
      </c>
      <c r="C173" s="3">
        <f>IFERROR(VLOOKUP(B173,Assets!$A:$B,2,FALSE),"")</f>
        <v/>
      </c>
      <c r="D173" s="6" t="n"/>
    </row>
    <row r="174">
      <c r="A174" s="28" t="n">
        <v>46508</v>
      </c>
      <c r="B174" s="5" t="inlineStr">
        <is>
          <t>AI &amp; Big Data</t>
        </is>
      </c>
      <c r="C174" s="3">
        <f>IFERROR(VLOOKUP(B174,Assets!$A:$B,2,FALSE),"")</f>
        <v/>
      </c>
      <c r="D174" s="6" t="n"/>
    </row>
    <row r="175">
      <c r="A175" s="28" t="n">
        <v>46508</v>
      </c>
      <c r="B175" s="5" t="inlineStr">
        <is>
          <t>Physical Gold</t>
        </is>
      </c>
      <c r="C175" s="3">
        <f>IFERROR(VLOOKUP(B175,Assets!$A:$B,2,FALSE),"")</f>
        <v/>
      </c>
      <c r="D175" s="6" t="n"/>
    </row>
    <row r="176">
      <c r="A176" s="28" t="n">
        <v>46508</v>
      </c>
      <c r="B176" s="5" t="inlineStr">
        <is>
          <t>Global Gov Bond</t>
        </is>
      </c>
      <c r="C176" s="3">
        <f>IFERROR(VLOOKUP(B176,Assets!$A:$B,2,FALSE),"")</f>
        <v/>
      </c>
      <c r="D176" s="6" t="n"/>
    </row>
    <row r="177">
      <c r="A177" s="28" t="n">
        <v>46508</v>
      </c>
      <c r="B177" s="5" t="inlineStr">
        <is>
          <t>Core EUR Corp Bond</t>
        </is>
      </c>
      <c r="C177" s="3">
        <f>IFERROR(VLOOKUP(B177,Assets!$A:$B,2,FALSE),"")</f>
        <v/>
      </c>
      <c r="D177" s="6" t="n"/>
    </row>
    <row r="178">
      <c r="A178" s="28" t="n">
        <v>46508</v>
      </c>
      <c r="B178" s="5" t="inlineStr">
        <is>
          <t>MSCI World Value</t>
        </is>
      </c>
      <c r="C178" s="3">
        <f>IFERROR(VLOOKUP(B178,Assets!$A:$B,2,FALSE),"")</f>
        <v/>
      </c>
      <c r="D178" s="6" t="n"/>
    </row>
    <row r="179">
      <c r="A179" s="28" t="n">
        <v>46508</v>
      </c>
      <c r="B179" s="5" t="inlineStr">
        <is>
          <t>MSCI EM</t>
        </is>
      </c>
      <c r="C179" s="3">
        <f>IFERROR(VLOOKUP(B179,Assets!$A:$B,2,FALSE),"")</f>
        <v/>
      </c>
      <c r="D179" s="6" t="n"/>
    </row>
    <row r="180">
      <c r="A180" s="28" t="n">
        <v>46508</v>
      </c>
      <c r="B180" s="5" t="inlineStr">
        <is>
          <t>Defence Tech</t>
        </is>
      </c>
      <c r="C180" s="3">
        <f>IFERROR(VLOOKUP(B180,Assets!$A:$B,2,FALSE),"")</f>
        <v/>
      </c>
      <c r="D180" s="6" t="n"/>
    </row>
    <row r="181">
      <c r="A181" s="28" t="n">
        <v>46508</v>
      </c>
      <c r="B181" s="5" t="inlineStr">
        <is>
          <t>Savings</t>
        </is>
      </c>
      <c r="C181" s="3">
        <f>IFERROR(VLOOKUP(B181,Assets!$A:$B,2,FALSE),"")</f>
        <v/>
      </c>
      <c r="D181" s="6" t="n"/>
    </row>
    <row r="182">
      <c r="A182" s="28" t="n">
        <v>46539</v>
      </c>
      <c r="B182" s="5" t="inlineStr">
        <is>
          <t>Core MSCI World</t>
        </is>
      </c>
      <c r="C182" s="3">
        <f>IFERROR(VLOOKUP(B182,Assets!$A:$B,2,FALSE),"")</f>
        <v/>
      </c>
      <c r="D182" s="6" t="n"/>
    </row>
    <row r="183">
      <c r="A183" s="28" t="n">
        <v>46539</v>
      </c>
      <c r="B183" s="5" t="inlineStr">
        <is>
          <t>AI &amp; Big Data</t>
        </is>
      </c>
      <c r="C183" s="3">
        <f>IFERROR(VLOOKUP(B183,Assets!$A:$B,2,FALSE),"")</f>
        <v/>
      </c>
      <c r="D183" s="6" t="n"/>
    </row>
    <row r="184">
      <c r="A184" s="28" t="n">
        <v>46539</v>
      </c>
      <c r="B184" s="5" t="inlineStr">
        <is>
          <t>Physical Gold</t>
        </is>
      </c>
      <c r="C184" s="3">
        <f>IFERROR(VLOOKUP(B184,Assets!$A:$B,2,FALSE),"")</f>
        <v/>
      </c>
      <c r="D184" s="6" t="n"/>
    </row>
    <row r="185">
      <c r="A185" s="28" t="n">
        <v>46539</v>
      </c>
      <c r="B185" s="5" t="inlineStr">
        <is>
          <t>Global Gov Bond</t>
        </is>
      </c>
      <c r="C185" s="3">
        <f>IFERROR(VLOOKUP(B185,Assets!$A:$B,2,FALSE),"")</f>
        <v/>
      </c>
      <c r="D185" s="6" t="n"/>
    </row>
    <row r="186">
      <c r="A186" s="28" t="n">
        <v>46539</v>
      </c>
      <c r="B186" s="5" t="inlineStr">
        <is>
          <t>Core EUR Corp Bond</t>
        </is>
      </c>
      <c r="C186" s="3">
        <f>IFERROR(VLOOKUP(B186,Assets!$A:$B,2,FALSE),"")</f>
        <v/>
      </c>
      <c r="D186" s="6" t="n"/>
    </row>
    <row r="187">
      <c r="A187" s="28" t="n">
        <v>46539</v>
      </c>
      <c r="B187" s="5" t="inlineStr">
        <is>
          <t>MSCI World Value</t>
        </is>
      </c>
      <c r="C187" s="3">
        <f>IFERROR(VLOOKUP(B187,Assets!$A:$B,2,FALSE),"")</f>
        <v/>
      </c>
      <c r="D187" s="6" t="n"/>
    </row>
    <row r="188">
      <c r="A188" s="28" t="n">
        <v>46539</v>
      </c>
      <c r="B188" s="5" t="inlineStr">
        <is>
          <t>MSCI EM</t>
        </is>
      </c>
      <c r="C188" s="3">
        <f>IFERROR(VLOOKUP(B188,Assets!$A:$B,2,FALSE),"")</f>
        <v/>
      </c>
      <c r="D188" s="6" t="n"/>
    </row>
    <row r="189">
      <c r="A189" s="28" t="n">
        <v>46539</v>
      </c>
      <c r="B189" s="5" t="inlineStr">
        <is>
          <t>Defence Tech</t>
        </is>
      </c>
      <c r="C189" s="3">
        <f>IFERROR(VLOOKUP(B189,Assets!$A:$B,2,FALSE),"")</f>
        <v/>
      </c>
      <c r="D189" s="6" t="n"/>
    </row>
    <row r="190">
      <c r="A190" s="28" t="n">
        <v>46539</v>
      </c>
      <c r="B190" s="5" t="inlineStr">
        <is>
          <t>Savings</t>
        </is>
      </c>
      <c r="C190" s="3">
        <f>IFERROR(VLOOKUP(B190,Assets!$A:$B,2,FALSE),"")</f>
        <v/>
      </c>
      <c r="D190" s="6" t="n"/>
    </row>
    <row r="191">
      <c r="A191" s="28" t="n">
        <v>46569</v>
      </c>
      <c r="B191" s="5" t="inlineStr">
        <is>
          <t>Core MSCI World</t>
        </is>
      </c>
      <c r="C191" s="3">
        <f>IFERROR(VLOOKUP(B191,Assets!$A:$B,2,FALSE),"")</f>
        <v/>
      </c>
      <c r="D191" s="6" t="n"/>
    </row>
    <row r="192">
      <c r="A192" s="28" t="n">
        <v>46569</v>
      </c>
      <c r="B192" s="5" t="inlineStr">
        <is>
          <t>AI &amp; Big Data</t>
        </is>
      </c>
      <c r="C192" s="3">
        <f>IFERROR(VLOOKUP(B192,Assets!$A:$B,2,FALSE),"")</f>
        <v/>
      </c>
      <c r="D192" s="6" t="n"/>
    </row>
    <row r="193">
      <c r="A193" s="28" t="n">
        <v>46569</v>
      </c>
      <c r="B193" s="5" t="inlineStr">
        <is>
          <t>Physical Gold</t>
        </is>
      </c>
      <c r="C193" s="3">
        <f>IFERROR(VLOOKUP(B193,Assets!$A:$B,2,FALSE),"")</f>
        <v/>
      </c>
      <c r="D193" s="6" t="n"/>
    </row>
    <row r="194">
      <c r="A194" s="28" t="n">
        <v>46569</v>
      </c>
      <c r="B194" s="5" t="inlineStr">
        <is>
          <t>Global Gov Bond</t>
        </is>
      </c>
      <c r="C194" s="3">
        <f>IFERROR(VLOOKUP(B194,Assets!$A:$B,2,FALSE),"")</f>
        <v/>
      </c>
      <c r="D194" s="6" t="n"/>
    </row>
    <row r="195">
      <c r="A195" s="28" t="n">
        <v>46569</v>
      </c>
      <c r="B195" s="5" t="inlineStr">
        <is>
          <t>Core EUR Corp Bond</t>
        </is>
      </c>
      <c r="C195" s="3">
        <f>IFERROR(VLOOKUP(B195,Assets!$A:$B,2,FALSE),"")</f>
        <v/>
      </c>
      <c r="D195" s="6" t="n"/>
    </row>
    <row r="196">
      <c r="A196" s="28" t="n">
        <v>46569</v>
      </c>
      <c r="B196" s="5" t="inlineStr">
        <is>
          <t>MSCI World Value</t>
        </is>
      </c>
      <c r="C196" s="3">
        <f>IFERROR(VLOOKUP(B196,Assets!$A:$B,2,FALSE),"")</f>
        <v/>
      </c>
      <c r="D196" s="6" t="n"/>
    </row>
    <row r="197">
      <c r="A197" s="28" t="n">
        <v>46569</v>
      </c>
      <c r="B197" s="5" t="inlineStr">
        <is>
          <t>MSCI EM</t>
        </is>
      </c>
      <c r="C197" s="3">
        <f>IFERROR(VLOOKUP(B197,Assets!$A:$B,2,FALSE),"")</f>
        <v/>
      </c>
      <c r="D197" s="6" t="n"/>
    </row>
    <row r="198">
      <c r="A198" s="28" t="n">
        <v>46569</v>
      </c>
      <c r="B198" s="5" t="inlineStr">
        <is>
          <t>Defence Tech</t>
        </is>
      </c>
      <c r="C198" s="3">
        <f>IFERROR(VLOOKUP(B198,Assets!$A:$B,2,FALSE),"")</f>
        <v/>
      </c>
      <c r="D198" s="6" t="n"/>
    </row>
    <row r="199">
      <c r="A199" s="28" t="n">
        <v>46569</v>
      </c>
      <c r="B199" s="5" t="inlineStr">
        <is>
          <t>Savings</t>
        </is>
      </c>
      <c r="C199" s="3">
        <f>IFERROR(VLOOKUP(B199,Assets!$A:$B,2,FALSE),"")</f>
        <v/>
      </c>
      <c r="D199" s="6" t="n"/>
    </row>
    <row r="200">
      <c r="A200" s="28" t="n">
        <v>46600</v>
      </c>
      <c r="B200" s="5" t="inlineStr">
        <is>
          <t>Core MSCI World</t>
        </is>
      </c>
      <c r="C200" s="3">
        <f>IFERROR(VLOOKUP(B200,Assets!$A:$B,2,FALSE),"")</f>
        <v/>
      </c>
      <c r="D200" s="6" t="n"/>
    </row>
    <row r="201">
      <c r="A201" s="28" t="n">
        <v>46600</v>
      </c>
      <c r="B201" s="5" t="inlineStr">
        <is>
          <t>AI &amp; Big Data</t>
        </is>
      </c>
      <c r="C201" s="3">
        <f>IFERROR(VLOOKUP(B201,Assets!$A:$B,2,FALSE),"")</f>
        <v/>
      </c>
      <c r="D201" s="6" t="n"/>
    </row>
    <row r="202">
      <c r="A202" s="28" t="n">
        <v>46600</v>
      </c>
      <c r="B202" s="5" t="inlineStr">
        <is>
          <t>Physical Gold</t>
        </is>
      </c>
      <c r="C202" s="3">
        <f>IFERROR(VLOOKUP(B202,Assets!$A:$B,2,FALSE),"")</f>
        <v/>
      </c>
      <c r="D202" s="6" t="n"/>
    </row>
    <row r="203">
      <c r="A203" s="28" t="n">
        <v>46600</v>
      </c>
      <c r="B203" s="5" t="inlineStr">
        <is>
          <t>Global Gov Bond</t>
        </is>
      </c>
      <c r="C203" s="3">
        <f>IFERROR(VLOOKUP(B203,Assets!$A:$B,2,FALSE),"")</f>
        <v/>
      </c>
      <c r="D203" s="6" t="n"/>
    </row>
    <row r="204">
      <c r="A204" s="28" t="n">
        <v>46600</v>
      </c>
      <c r="B204" s="5" t="inlineStr">
        <is>
          <t>Core EUR Corp Bond</t>
        </is>
      </c>
      <c r="C204" s="3">
        <f>IFERROR(VLOOKUP(B204,Assets!$A:$B,2,FALSE),"")</f>
        <v/>
      </c>
      <c r="D204" s="6" t="n"/>
    </row>
    <row r="205">
      <c r="A205" s="28" t="n">
        <v>46600</v>
      </c>
      <c r="B205" s="5" t="inlineStr">
        <is>
          <t>MSCI World Value</t>
        </is>
      </c>
      <c r="C205" s="3">
        <f>IFERROR(VLOOKUP(B205,Assets!$A:$B,2,FALSE),"")</f>
        <v/>
      </c>
      <c r="D205" s="6" t="n"/>
    </row>
    <row r="206">
      <c r="A206" s="28" t="n">
        <v>46600</v>
      </c>
      <c r="B206" s="5" t="inlineStr">
        <is>
          <t>MSCI EM</t>
        </is>
      </c>
      <c r="C206" s="3">
        <f>IFERROR(VLOOKUP(B206,Assets!$A:$B,2,FALSE),"")</f>
        <v/>
      </c>
      <c r="D206" s="6" t="n"/>
    </row>
    <row r="207">
      <c r="A207" s="28" t="n">
        <v>46600</v>
      </c>
      <c r="B207" s="5" t="inlineStr">
        <is>
          <t>Defence Tech</t>
        </is>
      </c>
      <c r="C207" s="3">
        <f>IFERROR(VLOOKUP(B207,Assets!$A:$B,2,FALSE),"")</f>
        <v/>
      </c>
      <c r="D207" s="6" t="n"/>
    </row>
    <row r="208">
      <c r="A208" s="28" t="n">
        <v>46600</v>
      </c>
      <c r="B208" s="5" t="inlineStr">
        <is>
          <t>Savings</t>
        </is>
      </c>
      <c r="C208" s="3">
        <f>IFERROR(VLOOKUP(B208,Assets!$A:$B,2,FALSE),"")</f>
        <v/>
      </c>
      <c r="D208" s="6" t="n"/>
    </row>
    <row r="209">
      <c r="A209" s="28" t="n">
        <v>46631</v>
      </c>
      <c r="B209" s="5" t="inlineStr">
        <is>
          <t>Core MSCI World</t>
        </is>
      </c>
      <c r="C209" s="3">
        <f>IFERROR(VLOOKUP(B209,Assets!$A:$B,2,FALSE),"")</f>
        <v/>
      </c>
      <c r="D209" s="6" t="n"/>
    </row>
    <row r="210">
      <c r="A210" s="28" t="n">
        <v>46631</v>
      </c>
      <c r="B210" s="5" t="inlineStr">
        <is>
          <t>AI &amp; Big Data</t>
        </is>
      </c>
      <c r="C210" s="3">
        <f>IFERROR(VLOOKUP(B210,Assets!$A:$B,2,FALSE),"")</f>
        <v/>
      </c>
      <c r="D210" s="6" t="n"/>
    </row>
    <row r="211">
      <c r="A211" s="28" t="n">
        <v>46631</v>
      </c>
      <c r="B211" s="5" t="inlineStr">
        <is>
          <t>Physical Gold</t>
        </is>
      </c>
      <c r="C211" s="3">
        <f>IFERROR(VLOOKUP(B211,Assets!$A:$B,2,FALSE),"")</f>
        <v/>
      </c>
      <c r="D211" s="6" t="n"/>
    </row>
    <row r="212">
      <c r="A212" s="28" t="n">
        <v>46631</v>
      </c>
      <c r="B212" s="5" t="inlineStr">
        <is>
          <t>Global Gov Bond</t>
        </is>
      </c>
      <c r="C212" s="3">
        <f>IFERROR(VLOOKUP(B212,Assets!$A:$B,2,FALSE),"")</f>
        <v/>
      </c>
      <c r="D212" s="6" t="n"/>
    </row>
    <row r="213">
      <c r="A213" s="28" t="n">
        <v>46631</v>
      </c>
      <c r="B213" s="5" t="inlineStr">
        <is>
          <t>Core EUR Corp Bond</t>
        </is>
      </c>
      <c r="C213" s="3">
        <f>IFERROR(VLOOKUP(B213,Assets!$A:$B,2,FALSE),"")</f>
        <v/>
      </c>
      <c r="D213" s="6" t="n"/>
    </row>
    <row r="214">
      <c r="A214" s="28" t="n">
        <v>46631</v>
      </c>
      <c r="B214" s="5" t="inlineStr">
        <is>
          <t>MSCI World Value</t>
        </is>
      </c>
      <c r="C214" s="3">
        <f>IFERROR(VLOOKUP(B214,Assets!$A:$B,2,FALSE),"")</f>
        <v/>
      </c>
      <c r="D214" s="6" t="n"/>
    </row>
    <row r="215">
      <c r="A215" s="28" t="n">
        <v>46631</v>
      </c>
      <c r="B215" s="5" t="inlineStr">
        <is>
          <t>MSCI EM</t>
        </is>
      </c>
      <c r="C215" s="3">
        <f>IFERROR(VLOOKUP(B215,Assets!$A:$B,2,FALSE),"")</f>
        <v/>
      </c>
      <c r="D215" s="6" t="n"/>
    </row>
    <row r="216">
      <c r="A216" s="28" t="n">
        <v>46631</v>
      </c>
      <c r="B216" s="5" t="inlineStr">
        <is>
          <t>Defence Tech</t>
        </is>
      </c>
      <c r="C216" s="3">
        <f>IFERROR(VLOOKUP(B216,Assets!$A:$B,2,FALSE),"")</f>
        <v/>
      </c>
      <c r="D216" s="6" t="n"/>
    </row>
    <row r="217">
      <c r="A217" s="28" t="n">
        <v>46631</v>
      </c>
      <c r="B217" s="5" t="inlineStr">
        <is>
          <t>Savings</t>
        </is>
      </c>
      <c r="C217" s="3">
        <f>IFERROR(VLOOKUP(B217,Assets!$A:$B,2,FALSE),"")</f>
        <v/>
      </c>
      <c r="D217" s="6" t="n"/>
    </row>
    <row r="218">
      <c r="A218" s="28" t="n">
        <v>46661</v>
      </c>
      <c r="B218" s="5" t="inlineStr">
        <is>
          <t>Core MSCI World</t>
        </is>
      </c>
      <c r="C218" s="3">
        <f>IFERROR(VLOOKUP(B218,Assets!$A:$B,2,FALSE),"")</f>
        <v/>
      </c>
      <c r="D218" s="6" t="n"/>
    </row>
    <row r="219">
      <c r="A219" s="28" t="n">
        <v>46661</v>
      </c>
      <c r="B219" s="5" t="inlineStr">
        <is>
          <t>AI &amp; Big Data</t>
        </is>
      </c>
      <c r="C219" s="3">
        <f>IFERROR(VLOOKUP(B219,Assets!$A:$B,2,FALSE),"")</f>
        <v/>
      </c>
      <c r="D219" s="6" t="n"/>
    </row>
    <row r="220">
      <c r="A220" s="28" t="n">
        <v>46661</v>
      </c>
      <c r="B220" s="5" t="inlineStr">
        <is>
          <t>Physical Gold</t>
        </is>
      </c>
      <c r="C220" s="3">
        <f>IFERROR(VLOOKUP(B220,Assets!$A:$B,2,FALSE),"")</f>
        <v/>
      </c>
      <c r="D220" s="6" t="n"/>
    </row>
    <row r="221">
      <c r="A221" s="28" t="n">
        <v>46661</v>
      </c>
      <c r="B221" s="5" t="inlineStr">
        <is>
          <t>Global Gov Bond</t>
        </is>
      </c>
      <c r="C221" s="3">
        <f>IFERROR(VLOOKUP(B221,Assets!$A:$B,2,FALSE),"")</f>
        <v/>
      </c>
      <c r="D221" s="6" t="n"/>
    </row>
    <row r="222">
      <c r="A222" s="28" t="n">
        <v>46661</v>
      </c>
      <c r="B222" s="5" t="inlineStr">
        <is>
          <t>Core EUR Corp Bond</t>
        </is>
      </c>
      <c r="C222" s="3">
        <f>IFERROR(VLOOKUP(B222,Assets!$A:$B,2,FALSE),"")</f>
        <v/>
      </c>
      <c r="D222" s="6" t="n"/>
    </row>
    <row r="223">
      <c r="A223" s="28" t="n">
        <v>46661</v>
      </c>
      <c r="B223" s="5" t="inlineStr">
        <is>
          <t>MSCI World Value</t>
        </is>
      </c>
      <c r="C223" s="3">
        <f>IFERROR(VLOOKUP(B223,Assets!$A:$B,2,FALSE),"")</f>
        <v/>
      </c>
      <c r="D223" s="6" t="n"/>
    </row>
    <row r="224">
      <c r="A224" s="28" t="n">
        <v>46661</v>
      </c>
      <c r="B224" s="5" t="inlineStr">
        <is>
          <t>MSCI EM</t>
        </is>
      </c>
      <c r="C224" s="3">
        <f>IFERROR(VLOOKUP(B224,Assets!$A:$B,2,FALSE),"")</f>
        <v/>
      </c>
      <c r="D224" s="6" t="n"/>
    </row>
    <row r="225">
      <c r="A225" s="28" t="n">
        <v>46661</v>
      </c>
      <c r="B225" s="5" t="inlineStr">
        <is>
          <t>Defence Tech</t>
        </is>
      </c>
      <c r="C225" s="3">
        <f>IFERROR(VLOOKUP(B225,Assets!$A:$B,2,FALSE),"")</f>
        <v/>
      </c>
      <c r="D225" s="6" t="n"/>
    </row>
    <row r="226">
      <c r="A226" s="28" t="n">
        <v>46661</v>
      </c>
      <c r="B226" s="5" t="inlineStr">
        <is>
          <t>Savings</t>
        </is>
      </c>
      <c r="C226" s="3">
        <f>IFERROR(VLOOKUP(B226,Assets!$A:$B,2,FALSE),"")</f>
        <v/>
      </c>
      <c r="D226" s="6" t="n"/>
    </row>
    <row r="227">
      <c r="A227" s="28" t="n">
        <v>46692</v>
      </c>
      <c r="B227" s="5" t="inlineStr">
        <is>
          <t>Core MSCI World</t>
        </is>
      </c>
      <c r="C227" s="3">
        <f>IFERROR(VLOOKUP(B227,Assets!$A:$B,2,FALSE),"")</f>
        <v/>
      </c>
      <c r="D227" s="6" t="n"/>
    </row>
    <row r="228">
      <c r="A228" s="28" t="n">
        <v>46692</v>
      </c>
      <c r="B228" s="5" t="inlineStr">
        <is>
          <t>AI &amp; Big Data</t>
        </is>
      </c>
      <c r="C228" s="3">
        <f>IFERROR(VLOOKUP(B228,Assets!$A:$B,2,FALSE),"")</f>
        <v/>
      </c>
      <c r="D228" s="6" t="n"/>
    </row>
    <row r="229">
      <c r="A229" s="28" t="n">
        <v>46692</v>
      </c>
      <c r="B229" s="5" t="inlineStr">
        <is>
          <t>Physical Gold</t>
        </is>
      </c>
      <c r="C229" s="3">
        <f>IFERROR(VLOOKUP(B229,Assets!$A:$B,2,FALSE),"")</f>
        <v/>
      </c>
      <c r="D229" s="6" t="n"/>
    </row>
    <row r="230">
      <c r="A230" s="28" t="n">
        <v>46692</v>
      </c>
      <c r="B230" s="5" t="inlineStr">
        <is>
          <t>Global Gov Bond</t>
        </is>
      </c>
      <c r="C230" s="3">
        <f>IFERROR(VLOOKUP(B230,Assets!$A:$B,2,FALSE),"")</f>
        <v/>
      </c>
      <c r="D230" s="6" t="n"/>
    </row>
    <row r="231">
      <c r="A231" s="28" t="n">
        <v>46692</v>
      </c>
      <c r="B231" s="5" t="inlineStr">
        <is>
          <t>Core EUR Corp Bond</t>
        </is>
      </c>
      <c r="C231" s="3">
        <f>IFERROR(VLOOKUP(B231,Assets!$A:$B,2,FALSE),"")</f>
        <v/>
      </c>
      <c r="D231" s="6" t="n"/>
    </row>
    <row r="232">
      <c r="A232" s="28" t="n">
        <v>46692</v>
      </c>
      <c r="B232" s="5" t="inlineStr">
        <is>
          <t>MSCI World Value</t>
        </is>
      </c>
      <c r="C232" s="3">
        <f>IFERROR(VLOOKUP(B232,Assets!$A:$B,2,FALSE),"")</f>
        <v/>
      </c>
      <c r="D232" s="6" t="n"/>
    </row>
    <row r="233">
      <c r="A233" s="28" t="n">
        <v>46692</v>
      </c>
      <c r="B233" s="5" t="inlineStr">
        <is>
          <t>MSCI EM</t>
        </is>
      </c>
      <c r="C233" s="3">
        <f>IFERROR(VLOOKUP(B233,Assets!$A:$B,2,FALSE),"")</f>
        <v/>
      </c>
      <c r="D233" s="6" t="n"/>
    </row>
    <row r="234">
      <c r="A234" s="28" t="n">
        <v>46692</v>
      </c>
      <c r="B234" s="5" t="inlineStr">
        <is>
          <t>Defence Tech</t>
        </is>
      </c>
      <c r="C234" s="3">
        <f>IFERROR(VLOOKUP(B234,Assets!$A:$B,2,FALSE),"")</f>
        <v/>
      </c>
      <c r="D234" s="6" t="n"/>
    </row>
    <row r="235">
      <c r="A235" s="28" t="n">
        <v>46692</v>
      </c>
      <c r="B235" s="5" t="inlineStr">
        <is>
          <t>Savings</t>
        </is>
      </c>
      <c r="C235" s="3">
        <f>IFERROR(VLOOKUP(B235,Assets!$A:$B,2,FALSE),"")</f>
        <v/>
      </c>
      <c r="D235" s="6" t="n"/>
    </row>
    <row r="236">
      <c r="A236" s="28" t="n">
        <v>46722</v>
      </c>
      <c r="B236" s="5" t="inlineStr">
        <is>
          <t>Core MSCI World</t>
        </is>
      </c>
      <c r="C236" s="3">
        <f>IFERROR(VLOOKUP(B236,Assets!$A:$B,2,FALSE),"")</f>
        <v/>
      </c>
      <c r="D236" s="6" t="n"/>
    </row>
    <row r="237">
      <c r="A237" s="28" t="n">
        <v>46722</v>
      </c>
      <c r="B237" s="5" t="inlineStr">
        <is>
          <t>AI &amp; Big Data</t>
        </is>
      </c>
      <c r="C237" s="3">
        <f>IFERROR(VLOOKUP(B237,Assets!$A:$B,2,FALSE),"")</f>
        <v/>
      </c>
      <c r="D237" s="6" t="n"/>
    </row>
    <row r="238">
      <c r="A238" s="28" t="n">
        <v>46722</v>
      </c>
      <c r="B238" s="5" t="inlineStr">
        <is>
          <t>Physical Gold</t>
        </is>
      </c>
      <c r="C238" s="3">
        <f>IFERROR(VLOOKUP(B238,Assets!$A:$B,2,FALSE),"")</f>
        <v/>
      </c>
      <c r="D238" s="6" t="n"/>
    </row>
    <row r="239">
      <c r="A239" s="28" t="n">
        <v>46722</v>
      </c>
      <c r="B239" s="5" t="inlineStr">
        <is>
          <t>Global Gov Bond</t>
        </is>
      </c>
      <c r="C239" s="3">
        <f>IFERROR(VLOOKUP(B239,Assets!$A:$B,2,FALSE),"")</f>
        <v/>
      </c>
      <c r="D239" s="6" t="n"/>
    </row>
    <row r="240">
      <c r="A240" s="28" t="n">
        <v>46722</v>
      </c>
      <c r="B240" s="5" t="inlineStr">
        <is>
          <t>Core EUR Corp Bond</t>
        </is>
      </c>
      <c r="C240" s="3">
        <f>IFERROR(VLOOKUP(B240,Assets!$A:$B,2,FALSE),"")</f>
        <v/>
      </c>
      <c r="D240" s="6" t="n"/>
    </row>
    <row r="241">
      <c r="A241" s="28" t="n">
        <v>46722</v>
      </c>
      <c r="B241" s="5" t="inlineStr">
        <is>
          <t>MSCI World Value</t>
        </is>
      </c>
      <c r="C241" s="3">
        <f>IFERROR(VLOOKUP(B241,Assets!$A:$B,2,FALSE),"")</f>
        <v/>
      </c>
      <c r="D241" s="6" t="n"/>
    </row>
    <row r="242">
      <c r="A242" s="28" t="n">
        <v>46722</v>
      </c>
      <c r="B242" s="5" t="inlineStr">
        <is>
          <t>MSCI EM</t>
        </is>
      </c>
      <c r="C242" s="3">
        <f>IFERROR(VLOOKUP(B242,Assets!$A:$B,2,FALSE),"")</f>
        <v/>
      </c>
      <c r="D242" s="6" t="n"/>
    </row>
    <row r="243">
      <c r="A243" s="28" t="n">
        <v>46722</v>
      </c>
      <c r="B243" s="5" t="inlineStr">
        <is>
          <t>Defence Tech</t>
        </is>
      </c>
      <c r="C243" s="3">
        <f>IFERROR(VLOOKUP(B243,Assets!$A:$B,2,FALSE),"")</f>
        <v/>
      </c>
      <c r="D243" s="6" t="n"/>
    </row>
    <row r="244">
      <c r="A244" s="28" t="n">
        <v>46722</v>
      </c>
      <c r="B244" s="5" t="inlineStr">
        <is>
          <t>Savings</t>
        </is>
      </c>
      <c r="C244" s="3">
        <f>IFERROR(VLOOKUP(B244,Assets!$A:$B,2,FALSE),"")</f>
        <v/>
      </c>
      <c r="D244" s="6" t="n"/>
    </row>
    <row r="245">
      <c r="A245" s="28" t="n">
        <v>46753</v>
      </c>
      <c r="B245" s="5" t="inlineStr">
        <is>
          <t>Core MSCI World</t>
        </is>
      </c>
      <c r="C245" s="3">
        <f>IFERROR(VLOOKUP(B245,Assets!$A:$B,2,FALSE),"")</f>
        <v/>
      </c>
      <c r="D245" s="6" t="n"/>
    </row>
    <row r="246">
      <c r="A246" s="28" t="n">
        <v>46753</v>
      </c>
      <c r="B246" s="5" t="inlineStr">
        <is>
          <t>AI &amp; Big Data</t>
        </is>
      </c>
      <c r="C246" s="3">
        <f>IFERROR(VLOOKUP(B246,Assets!$A:$B,2,FALSE),"")</f>
        <v/>
      </c>
      <c r="D246" s="6" t="n"/>
    </row>
    <row r="247">
      <c r="A247" s="28" t="n">
        <v>46753</v>
      </c>
      <c r="B247" s="5" t="inlineStr">
        <is>
          <t>Physical Gold</t>
        </is>
      </c>
      <c r="C247" s="3">
        <f>IFERROR(VLOOKUP(B247,Assets!$A:$B,2,FALSE),"")</f>
        <v/>
      </c>
      <c r="D247" s="6" t="n"/>
    </row>
    <row r="248">
      <c r="A248" s="28" t="n">
        <v>46753</v>
      </c>
      <c r="B248" s="5" t="inlineStr">
        <is>
          <t>Global Gov Bond</t>
        </is>
      </c>
      <c r="C248" s="3">
        <f>IFERROR(VLOOKUP(B248,Assets!$A:$B,2,FALSE),"")</f>
        <v/>
      </c>
      <c r="D248" s="6" t="n"/>
    </row>
    <row r="249">
      <c r="A249" s="28" t="n">
        <v>46753</v>
      </c>
      <c r="B249" s="5" t="inlineStr">
        <is>
          <t>Core EUR Corp Bond</t>
        </is>
      </c>
      <c r="C249" s="3">
        <f>IFERROR(VLOOKUP(B249,Assets!$A:$B,2,FALSE),"")</f>
        <v/>
      </c>
      <c r="D249" s="6" t="n"/>
    </row>
    <row r="250">
      <c r="A250" s="28" t="n">
        <v>46753</v>
      </c>
      <c r="B250" s="5" t="inlineStr">
        <is>
          <t>MSCI World Value</t>
        </is>
      </c>
      <c r="C250" s="3">
        <f>IFERROR(VLOOKUP(B250,Assets!$A:$B,2,FALSE),"")</f>
        <v/>
      </c>
      <c r="D250" s="6" t="n"/>
    </row>
    <row r="251">
      <c r="A251" s="28" t="n">
        <v>46753</v>
      </c>
      <c r="B251" s="5" t="inlineStr">
        <is>
          <t>MSCI EM</t>
        </is>
      </c>
      <c r="C251" s="3">
        <f>IFERROR(VLOOKUP(B251,Assets!$A:$B,2,FALSE),"")</f>
        <v/>
      </c>
      <c r="D251" s="6" t="n"/>
    </row>
    <row r="252">
      <c r="A252" s="28" t="n">
        <v>46753</v>
      </c>
      <c r="B252" s="5" t="inlineStr">
        <is>
          <t>Defence Tech</t>
        </is>
      </c>
      <c r="C252" s="3">
        <f>IFERROR(VLOOKUP(B252,Assets!$A:$B,2,FALSE),"")</f>
        <v/>
      </c>
      <c r="D252" s="6" t="n"/>
    </row>
    <row r="253">
      <c r="A253" s="28" t="n">
        <v>46753</v>
      </c>
      <c r="B253" s="5" t="inlineStr">
        <is>
          <t>Savings</t>
        </is>
      </c>
      <c r="C253" s="3">
        <f>IFERROR(VLOOKUP(B253,Assets!$A:$B,2,FALSE),"")</f>
        <v/>
      </c>
      <c r="D253" s="6" t="n"/>
    </row>
    <row r="254">
      <c r="A254" s="28" t="n">
        <v>46784</v>
      </c>
      <c r="B254" s="5" t="inlineStr">
        <is>
          <t>Core MSCI World</t>
        </is>
      </c>
      <c r="C254" s="3">
        <f>IFERROR(VLOOKUP(B254,Assets!$A:$B,2,FALSE),"")</f>
        <v/>
      </c>
      <c r="D254" s="6" t="n"/>
    </row>
    <row r="255">
      <c r="A255" s="28" t="n">
        <v>46784</v>
      </c>
      <c r="B255" s="5" t="inlineStr">
        <is>
          <t>AI &amp; Big Data</t>
        </is>
      </c>
      <c r="C255" s="3">
        <f>IFERROR(VLOOKUP(B255,Assets!$A:$B,2,FALSE),"")</f>
        <v/>
      </c>
      <c r="D255" s="6" t="n"/>
    </row>
    <row r="256">
      <c r="A256" s="28" t="n">
        <v>46784</v>
      </c>
      <c r="B256" s="5" t="inlineStr">
        <is>
          <t>Physical Gold</t>
        </is>
      </c>
      <c r="C256" s="3">
        <f>IFERROR(VLOOKUP(B256,Assets!$A:$B,2,FALSE),"")</f>
        <v/>
      </c>
      <c r="D256" s="6" t="n"/>
    </row>
    <row r="257">
      <c r="A257" s="28" t="n">
        <v>46784</v>
      </c>
      <c r="B257" s="5" t="inlineStr">
        <is>
          <t>Global Gov Bond</t>
        </is>
      </c>
      <c r="C257" s="3">
        <f>IFERROR(VLOOKUP(B257,Assets!$A:$B,2,FALSE),"")</f>
        <v/>
      </c>
      <c r="D257" s="6" t="n"/>
    </row>
    <row r="258">
      <c r="A258" s="28" t="n">
        <v>46784</v>
      </c>
      <c r="B258" s="5" t="inlineStr">
        <is>
          <t>Core EUR Corp Bond</t>
        </is>
      </c>
      <c r="C258" s="3">
        <f>IFERROR(VLOOKUP(B258,Assets!$A:$B,2,FALSE),"")</f>
        <v/>
      </c>
      <c r="D258" s="6" t="n"/>
    </row>
    <row r="259">
      <c r="A259" s="28" t="n">
        <v>46784</v>
      </c>
      <c r="B259" s="5" t="inlineStr">
        <is>
          <t>MSCI World Value</t>
        </is>
      </c>
      <c r="C259" s="3">
        <f>IFERROR(VLOOKUP(B259,Assets!$A:$B,2,FALSE),"")</f>
        <v/>
      </c>
      <c r="D259" s="6" t="n"/>
    </row>
    <row r="260">
      <c r="A260" s="28" t="n">
        <v>46784</v>
      </c>
      <c r="B260" s="5" t="inlineStr">
        <is>
          <t>MSCI EM</t>
        </is>
      </c>
      <c r="C260" s="3">
        <f>IFERROR(VLOOKUP(B260,Assets!$A:$B,2,FALSE),"")</f>
        <v/>
      </c>
      <c r="D260" s="6" t="n"/>
    </row>
    <row r="261">
      <c r="A261" s="28" t="n">
        <v>46784</v>
      </c>
      <c r="B261" s="5" t="inlineStr">
        <is>
          <t>Defence Tech</t>
        </is>
      </c>
      <c r="C261" s="3">
        <f>IFERROR(VLOOKUP(B261,Assets!$A:$B,2,FALSE),"")</f>
        <v/>
      </c>
      <c r="D261" s="6" t="n"/>
    </row>
    <row r="262">
      <c r="A262" s="28" t="n">
        <v>46784</v>
      </c>
      <c r="B262" s="5" t="inlineStr">
        <is>
          <t>Savings</t>
        </is>
      </c>
      <c r="C262" s="3">
        <f>IFERROR(VLOOKUP(B262,Assets!$A:$B,2,FALSE),"")</f>
        <v/>
      </c>
      <c r="D262" s="6" t="n"/>
    </row>
    <row r="263">
      <c r="A263" s="28" t="n">
        <v>46813</v>
      </c>
      <c r="B263" s="5" t="inlineStr">
        <is>
          <t>Core MSCI World</t>
        </is>
      </c>
      <c r="C263" s="3">
        <f>IFERROR(VLOOKUP(B263,Assets!$A:$B,2,FALSE),"")</f>
        <v/>
      </c>
      <c r="D263" s="6" t="n"/>
    </row>
    <row r="264">
      <c r="A264" s="28" t="n">
        <v>46813</v>
      </c>
      <c r="B264" s="5" t="inlineStr">
        <is>
          <t>AI &amp; Big Data</t>
        </is>
      </c>
      <c r="C264" s="3">
        <f>IFERROR(VLOOKUP(B264,Assets!$A:$B,2,FALSE),"")</f>
        <v/>
      </c>
      <c r="D264" s="6" t="n"/>
    </row>
    <row r="265">
      <c r="A265" s="28" t="n">
        <v>46813</v>
      </c>
      <c r="B265" s="5" t="inlineStr">
        <is>
          <t>Physical Gold</t>
        </is>
      </c>
      <c r="C265" s="3">
        <f>IFERROR(VLOOKUP(B265,Assets!$A:$B,2,FALSE),"")</f>
        <v/>
      </c>
      <c r="D265" s="6" t="n"/>
    </row>
    <row r="266">
      <c r="A266" s="28" t="n">
        <v>46813</v>
      </c>
      <c r="B266" s="5" t="inlineStr">
        <is>
          <t>Global Gov Bond</t>
        </is>
      </c>
      <c r="C266" s="3">
        <f>IFERROR(VLOOKUP(B266,Assets!$A:$B,2,FALSE),"")</f>
        <v/>
      </c>
      <c r="D266" s="6" t="n"/>
    </row>
    <row r="267">
      <c r="A267" s="28" t="n">
        <v>46813</v>
      </c>
      <c r="B267" s="5" t="inlineStr">
        <is>
          <t>Core EUR Corp Bond</t>
        </is>
      </c>
      <c r="C267" s="3">
        <f>IFERROR(VLOOKUP(B267,Assets!$A:$B,2,FALSE),"")</f>
        <v/>
      </c>
      <c r="D267" s="6" t="n"/>
    </row>
    <row r="268">
      <c r="A268" s="28" t="n">
        <v>46813</v>
      </c>
      <c r="B268" s="5" t="inlineStr">
        <is>
          <t>MSCI World Value</t>
        </is>
      </c>
      <c r="C268" s="3">
        <f>IFERROR(VLOOKUP(B268,Assets!$A:$B,2,FALSE),"")</f>
        <v/>
      </c>
      <c r="D268" s="6" t="n"/>
    </row>
    <row r="269">
      <c r="A269" s="28" t="n">
        <v>46813</v>
      </c>
      <c r="B269" s="5" t="inlineStr">
        <is>
          <t>MSCI EM</t>
        </is>
      </c>
      <c r="C269" s="3">
        <f>IFERROR(VLOOKUP(B269,Assets!$A:$B,2,FALSE),"")</f>
        <v/>
      </c>
      <c r="D269" s="6" t="n"/>
    </row>
    <row r="270">
      <c r="A270" s="28" t="n">
        <v>46813</v>
      </c>
      <c r="B270" s="5" t="inlineStr">
        <is>
          <t>Defence Tech</t>
        </is>
      </c>
      <c r="C270" s="3">
        <f>IFERROR(VLOOKUP(B270,Assets!$A:$B,2,FALSE),"")</f>
        <v/>
      </c>
      <c r="D270" s="6" t="n"/>
    </row>
    <row r="271">
      <c r="A271" s="28" t="n">
        <v>46813</v>
      </c>
      <c r="B271" s="5" t="inlineStr">
        <is>
          <t>Savings</t>
        </is>
      </c>
      <c r="C271" s="3">
        <f>IFERROR(VLOOKUP(B271,Assets!$A:$B,2,FALSE),"")</f>
        <v/>
      </c>
      <c r="D271" s="6" t="n"/>
    </row>
    <row r="272">
      <c r="A272" s="28" t="n">
        <v>46844</v>
      </c>
      <c r="B272" s="5" t="inlineStr">
        <is>
          <t>Core MSCI World</t>
        </is>
      </c>
      <c r="C272" s="3">
        <f>IFERROR(VLOOKUP(B272,Assets!$A:$B,2,FALSE),"")</f>
        <v/>
      </c>
      <c r="D272" s="6" t="n"/>
    </row>
    <row r="273">
      <c r="A273" s="28" t="n">
        <v>46844</v>
      </c>
      <c r="B273" s="5" t="inlineStr">
        <is>
          <t>AI &amp; Big Data</t>
        </is>
      </c>
      <c r="C273" s="3">
        <f>IFERROR(VLOOKUP(B273,Assets!$A:$B,2,FALSE),"")</f>
        <v/>
      </c>
      <c r="D273" s="6" t="n"/>
    </row>
    <row r="274">
      <c r="A274" s="28" t="n">
        <v>46844</v>
      </c>
      <c r="B274" s="5" t="inlineStr">
        <is>
          <t>Physical Gold</t>
        </is>
      </c>
      <c r="C274" s="3">
        <f>IFERROR(VLOOKUP(B274,Assets!$A:$B,2,FALSE),"")</f>
        <v/>
      </c>
      <c r="D274" s="6" t="n"/>
    </row>
    <row r="275">
      <c r="A275" s="28" t="n">
        <v>46844</v>
      </c>
      <c r="B275" s="5" t="inlineStr">
        <is>
          <t>Global Gov Bond</t>
        </is>
      </c>
      <c r="C275" s="3">
        <f>IFERROR(VLOOKUP(B275,Assets!$A:$B,2,FALSE),"")</f>
        <v/>
      </c>
      <c r="D275" s="6" t="n"/>
    </row>
    <row r="276">
      <c r="A276" s="28" t="n">
        <v>46844</v>
      </c>
      <c r="B276" s="5" t="inlineStr">
        <is>
          <t>Core EUR Corp Bond</t>
        </is>
      </c>
      <c r="C276" s="3">
        <f>IFERROR(VLOOKUP(B276,Assets!$A:$B,2,FALSE),"")</f>
        <v/>
      </c>
      <c r="D276" s="6" t="n"/>
    </row>
    <row r="277">
      <c r="A277" s="28" t="n">
        <v>46844</v>
      </c>
      <c r="B277" s="5" t="inlineStr">
        <is>
          <t>MSCI World Value</t>
        </is>
      </c>
      <c r="C277" s="3">
        <f>IFERROR(VLOOKUP(B277,Assets!$A:$B,2,FALSE),"")</f>
        <v/>
      </c>
      <c r="D277" s="6" t="n"/>
    </row>
    <row r="278">
      <c r="A278" s="28" t="n">
        <v>46844</v>
      </c>
      <c r="B278" s="5" t="inlineStr">
        <is>
          <t>MSCI EM</t>
        </is>
      </c>
      <c r="C278" s="3">
        <f>IFERROR(VLOOKUP(B278,Assets!$A:$B,2,FALSE),"")</f>
        <v/>
      </c>
      <c r="D278" s="6" t="n"/>
    </row>
    <row r="279">
      <c r="A279" s="28" t="n">
        <v>46844</v>
      </c>
      <c r="B279" s="5" t="inlineStr">
        <is>
          <t>Defence Tech</t>
        </is>
      </c>
      <c r="C279" s="3">
        <f>IFERROR(VLOOKUP(B279,Assets!$A:$B,2,FALSE),"")</f>
        <v/>
      </c>
      <c r="D279" s="6" t="n"/>
    </row>
    <row r="280">
      <c r="A280" s="28" t="n">
        <v>46844</v>
      </c>
      <c r="B280" s="5" t="inlineStr">
        <is>
          <t>Savings</t>
        </is>
      </c>
      <c r="C280" s="3">
        <f>IFERROR(VLOOKUP(B280,Assets!$A:$B,2,FALSE),"")</f>
        <v/>
      </c>
      <c r="D280" s="6" t="n"/>
    </row>
    <row r="281">
      <c r="A281" s="28" t="n">
        <v>46874</v>
      </c>
      <c r="B281" s="5" t="inlineStr">
        <is>
          <t>Core MSCI World</t>
        </is>
      </c>
      <c r="C281" s="3">
        <f>IFERROR(VLOOKUP(B281,Assets!$A:$B,2,FALSE),"")</f>
        <v/>
      </c>
      <c r="D281" s="6" t="n"/>
    </row>
    <row r="282">
      <c r="A282" s="28" t="n">
        <v>46874</v>
      </c>
      <c r="B282" s="5" t="inlineStr">
        <is>
          <t>AI &amp; Big Data</t>
        </is>
      </c>
      <c r="C282" s="3">
        <f>IFERROR(VLOOKUP(B282,Assets!$A:$B,2,FALSE),"")</f>
        <v/>
      </c>
      <c r="D282" s="6" t="n"/>
    </row>
    <row r="283">
      <c r="A283" s="28" t="n">
        <v>46874</v>
      </c>
      <c r="B283" s="5" t="inlineStr">
        <is>
          <t>Physical Gold</t>
        </is>
      </c>
      <c r="C283" s="3">
        <f>IFERROR(VLOOKUP(B283,Assets!$A:$B,2,FALSE),"")</f>
        <v/>
      </c>
      <c r="D283" s="6" t="n"/>
    </row>
    <row r="284">
      <c r="A284" s="28" t="n">
        <v>46874</v>
      </c>
      <c r="B284" s="5" t="inlineStr">
        <is>
          <t>Global Gov Bond</t>
        </is>
      </c>
      <c r="C284" s="3">
        <f>IFERROR(VLOOKUP(B284,Assets!$A:$B,2,FALSE),"")</f>
        <v/>
      </c>
      <c r="D284" s="6" t="n"/>
    </row>
    <row r="285">
      <c r="A285" s="28" t="n">
        <v>46874</v>
      </c>
      <c r="B285" s="5" t="inlineStr">
        <is>
          <t>Core EUR Corp Bond</t>
        </is>
      </c>
      <c r="C285" s="3">
        <f>IFERROR(VLOOKUP(B285,Assets!$A:$B,2,FALSE),"")</f>
        <v/>
      </c>
      <c r="D285" s="6" t="n"/>
    </row>
    <row r="286">
      <c r="A286" s="28" t="n">
        <v>46874</v>
      </c>
      <c r="B286" s="5" t="inlineStr">
        <is>
          <t>MSCI World Value</t>
        </is>
      </c>
      <c r="C286" s="3">
        <f>IFERROR(VLOOKUP(B286,Assets!$A:$B,2,FALSE),"")</f>
        <v/>
      </c>
      <c r="D286" s="6" t="n"/>
    </row>
    <row r="287">
      <c r="A287" s="28" t="n">
        <v>46874</v>
      </c>
      <c r="B287" s="5" t="inlineStr">
        <is>
          <t>MSCI EM</t>
        </is>
      </c>
      <c r="C287" s="3">
        <f>IFERROR(VLOOKUP(B287,Assets!$A:$B,2,FALSE),"")</f>
        <v/>
      </c>
      <c r="D287" s="6" t="n"/>
    </row>
    <row r="288">
      <c r="A288" s="28" t="n">
        <v>46874</v>
      </c>
      <c r="B288" s="5" t="inlineStr">
        <is>
          <t>Defence Tech</t>
        </is>
      </c>
      <c r="C288" s="3">
        <f>IFERROR(VLOOKUP(B288,Assets!$A:$B,2,FALSE),"")</f>
        <v/>
      </c>
      <c r="D288" s="6" t="n"/>
    </row>
    <row r="289">
      <c r="A289" s="28" t="n">
        <v>46874</v>
      </c>
      <c r="B289" s="5" t="inlineStr">
        <is>
          <t>Savings</t>
        </is>
      </c>
      <c r="C289" s="3">
        <f>IFERROR(VLOOKUP(B289,Assets!$A:$B,2,FALSE),"")</f>
        <v/>
      </c>
      <c r="D289" s="6" t="n"/>
    </row>
    <row r="290">
      <c r="A290" s="28" t="n">
        <v>46905</v>
      </c>
      <c r="B290" s="5" t="inlineStr">
        <is>
          <t>Core MSCI World</t>
        </is>
      </c>
      <c r="C290" s="3">
        <f>IFERROR(VLOOKUP(B290,Assets!$A:$B,2,FALSE),"")</f>
        <v/>
      </c>
      <c r="D290" s="6" t="n"/>
    </row>
    <row r="291">
      <c r="A291" s="28" t="n">
        <v>46905</v>
      </c>
      <c r="B291" s="5" t="inlineStr">
        <is>
          <t>AI &amp; Big Data</t>
        </is>
      </c>
      <c r="C291" s="3">
        <f>IFERROR(VLOOKUP(B291,Assets!$A:$B,2,FALSE),"")</f>
        <v/>
      </c>
      <c r="D291" s="6" t="n"/>
    </row>
    <row r="292">
      <c r="A292" s="28" t="n">
        <v>46905</v>
      </c>
      <c r="B292" s="5" t="inlineStr">
        <is>
          <t>Physical Gold</t>
        </is>
      </c>
      <c r="C292" s="3">
        <f>IFERROR(VLOOKUP(B292,Assets!$A:$B,2,FALSE),"")</f>
        <v/>
      </c>
      <c r="D292" s="6" t="n"/>
    </row>
    <row r="293">
      <c r="A293" s="28" t="n">
        <v>46905</v>
      </c>
      <c r="B293" s="5" t="inlineStr">
        <is>
          <t>Global Gov Bond</t>
        </is>
      </c>
      <c r="C293" s="3">
        <f>IFERROR(VLOOKUP(B293,Assets!$A:$B,2,FALSE),"")</f>
        <v/>
      </c>
      <c r="D293" s="6" t="n"/>
    </row>
    <row r="294">
      <c r="A294" s="28" t="n">
        <v>46905</v>
      </c>
      <c r="B294" s="5" t="inlineStr">
        <is>
          <t>Core EUR Corp Bond</t>
        </is>
      </c>
      <c r="C294" s="3">
        <f>IFERROR(VLOOKUP(B294,Assets!$A:$B,2,FALSE),"")</f>
        <v/>
      </c>
      <c r="D294" s="6" t="n"/>
    </row>
    <row r="295">
      <c r="A295" s="28" t="n">
        <v>46905</v>
      </c>
      <c r="B295" s="5" t="inlineStr">
        <is>
          <t>MSCI World Value</t>
        </is>
      </c>
      <c r="C295" s="3">
        <f>IFERROR(VLOOKUP(B295,Assets!$A:$B,2,FALSE),"")</f>
        <v/>
      </c>
      <c r="D295" s="6" t="n"/>
    </row>
    <row r="296">
      <c r="A296" s="28" t="n">
        <v>46905</v>
      </c>
      <c r="B296" s="5" t="inlineStr">
        <is>
          <t>MSCI EM</t>
        </is>
      </c>
      <c r="C296" s="3">
        <f>IFERROR(VLOOKUP(B296,Assets!$A:$B,2,FALSE),"")</f>
        <v/>
      </c>
      <c r="D296" s="6" t="n"/>
    </row>
    <row r="297">
      <c r="A297" s="28" t="n">
        <v>46905</v>
      </c>
      <c r="B297" s="5" t="inlineStr">
        <is>
          <t>Defence Tech</t>
        </is>
      </c>
      <c r="C297" s="3">
        <f>IFERROR(VLOOKUP(B297,Assets!$A:$B,2,FALSE),"")</f>
        <v/>
      </c>
      <c r="D297" s="6" t="n"/>
    </row>
    <row r="298">
      <c r="A298" s="28" t="n">
        <v>46905</v>
      </c>
      <c r="B298" s="5" t="inlineStr">
        <is>
          <t>Savings</t>
        </is>
      </c>
      <c r="C298" s="3">
        <f>IFERROR(VLOOKUP(B298,Assets!$A:$B,2,FALSE),"")</f>
        <v/>
      </c>
      <c r="D298" s="6" t="n"/>
    </row>
    <row r="299">
      <c r="A299" s="28" t="n">
        <v>46935</v>
      </c>
      <c r="B299" s="5" t="inlineStr">
        <is>
          <t>Core MSCI World</t>
        </is>
      </c>
      <c r="C299" s="3">
        <f>IFERROR(VLOOKUP(B299,Assets!$A:$B,2,FALSE),"")</f>
        <v/>
      </c>
      <c r="D299" s="6" t="n"/>
    </row>
    <row r="300">
      <c r="A300" s="28" t="n">
        <v>46935</v>
      </c>
      <c r="B300" s="5" t="inlineStr">
        <is>
          <t>AI &amp; Big Data</t>
        </is>
      </c>
      <c r="C300" s="3">
        <f>IFERROR(VLOOKUP(B300,Assets!$A:$B,2,FALSE),"")</f>
        <v/>
      </c>
      <c r="D300" s="6" t="n"/>
    </row>
    <row r="301">
      <c r="A301" s="28" t="n">
        <v>46935</v>
      </c>
      <c r="B301" s="5" t="inlineStr">
        <is>
          <t>Physical Gold</t>
        </is>
      </c>
      <c r="C301" s="3">
        <f>IFERROR(VLOOKUP(B301,Assets!$A:$B,2,FALSE),"")</f>
        <v/>
      </c>
      <c r="D301" s="6" t="n"/>
    </row>
    <row r="302">
      <c r="A302" s="28" t="n">
        <v>46935</v>
      </c>
      <c r="B302" s="5" t="inlineStr">
        <is>
          <t>Global Gov Bond</t>
        </is>
      </c>
      <c r="C302" s="3">
        <f>IFERROR(VLOOKUP(B302,Assets!$A:$B,2,FALSE),"")</f>
        <v/>
      </c>
      <c r="D302" s="6" t="n"/>
    </row>
    <row r="303">
      <c r="A303" s="28" t="n">
        <v>46935</v>
      </c>
      <c r="B303" s="5" t="inlineStr">
        <is>
          <t>Core EUR Corp Bond</t>
        </is>
      </c>
      <c r="C303" s="3">
        <f>IFERROR(VLOOKUP(B303,Assets!$A:$B,2,FALSE),"")</f>
        <v/>
      </c>
      <c r="D303" s="6" t="n"/>
    </row>
    <row r="304">
      <c r="A304" s="28" t="n">
        <v>46935</v>
      </c>
      <c r="B304" s="5" t="inlineStr">
        <is>
          <t>MSCI World Value</t>
        </is>
      </c>
      <c r="C304" s="3">
        <f>IFERROR(VLOOKUP(B304,Assets!$A:$B,2,FALSE),"")</f>
        <v/>
      </c>
      <c r="D304" s="6" t="n"/>
    </row>
    <row r="305">
      <c r="A305" s="28" t="n">
        <v>46935</v>
      </c>
      <c r="B305" s="5" t="inlineStr">
        <is>
          <t>MSCI EM</t>
        </is>
      </c>
      <c r="C305" s="3">
        <f>IFERROR(VLOOKUP(B305,Assets!$A:$B,2,FALSE),"")</f>
        <v/>
      </c>
      <c r="D305" s="6" t="n"/>
    </row>
    <row r="306">
      <c r="A306" s="28" t="n">
        <v>46935</v>
      </c>
      <c r="B306" s="5" t="inlineStr">
        <is>
          <t>Defence Tech</t>
        </is>
      </c>
      <c r="C306" s="3">
        <f>IFERROR(VLOOKUP(B306,Assets!$A:$B,2,FALSE),"")</f>
        <v/>
      </c>
      <c r="D306" s="6" t="n"/>
    </row>
    <row r="307">
      <c r="A307" s="28" t="n">
        <v>46935</v>
      </c>
      <c r="B307" s="5" t="inlineStr">
        <is>
          <t>Savings</t>
        </is>
      </c>
      <c r="C307" s="3">
        <f>IFERROR(VLOOKUP(B307,Assets!$A:$B,2,FALSE),"")</f>
        <v/>
      </c>
      <c r="D307" s="6" t="n"/>
    </row>
    <row r="308">
      <c r="A308" s="28" t="n">
        <v>46966</v>
      </c>
      <c r="B308" s="5" t="inlineStr">
        <is>
          <t>Core MSCI World</t>
        </is>
      </c>
      <c r="C308" s="3">
        <f>IFERROR(VLOOKUP(B308,Assets!$A:$B,2,FALSE),"")</f>
        <v/>
      </c>
      <c r="D308" s="6" t="n"/>
    </row>
    <row r="309">
      <c r="A309" s="28" t="n">
        <v>46966</v>
      </c>
      <c r="B309" s="5" t="inlineStr">
        <is>
          <t>AI &amp; Big Data</t>
        </is>
      </c>
      <c r="C309" s="3">
        <f>IFERROR(VLOOKUP(B309,Assets!$A:$B,2,FALSE),"")</f>
        <v/>
      </c>
      <c r="D309" s="6" t="n"/>
    </row>
    <row r="310">
      <c r="A310" s="28" t="n">
        <v>46966</v>
      </c>
      <c r="B310" s="5" t="inlineStr">
        <is>
          <t>Physical Gold</t>
        </is>
      </c>
      <c r="C310" s="3">
        <f>IFERROR(VLOOKUP(B310,Assets!$A:$B,2,FALSE),"")</f>
        <v/>
      </c>
      <c r="D310" s="6" t="n"/>
    </row>
    <row r="311">
      <c r="A311" s="28" t="n">
        <v>46966</v>
      </c>
      <c r="B311" s="5" t="inlineStr">
        <is>
          <t>Global Gov Bond</t>
        </is>
      </c>
      <c r="C311" s="3">
        <f>IFERROR(VLOOKUP(B311,Assets!$A:$B,2,FALSE),"")</f>
        <v/>
      </c>
      <c r="D311" s="6" t="n"/>
    </row>
    <row r="312">
      <c r="A312" s="28" t="n">
        <v>46966</v>
      </c>
      <c r="B312" s="5" t="inlineStr">
        <is>
          <t>Core EUR Corp Bond</t>
        </is>
      </c>
      <c r="C312" s="3">
        <f>IFERROR(VLOOKUP(B312,Assets!$A:$B,2,FALSE),"")</f>
        <v/>
      </c>
      <c r="D312" s="6" t="n"/>
    </row>
    <row r="313">
      <c r="A313" s="28" t="n">
        <v>46966</v>
      </c>
      <c r="B313" s="5" t="inlineStr">
        <is>
          <t>MSCI World Value</t>
        </is>
      </c>
      <c r="C313" s="3">
        <f>IFERROR(VLOOKUP(B313,Assets!$A:$B,2,FALSE),"")</f>
        <v/>
      </c>
      <c r="D313" s="6" t="n"/>
    </row>
    <row r="314">
      <c r="A314" s="28" t="n">
        <v>46966</v>
      </c>
      <c r="B314" s="5" t="inlineStr">
        <is>
          <t>MSCI EM</t>
        </is>
      </c>
      <c r="C314" s="3">
        <f>IFERROR(VLOOKUP(B314,Assets!$A:$B,2,FALSE),"")</f>
        <v/>
      </c>
      <c r="D314" s="6" t="n"/>
    </row>
    <row r="315">
      <c r="A315" s="28" t="n">
        <v>46966</v>
      </c>
      <c r="B315" s="5" t="inlineStr">
        <is>
          <t>Defence Tech</t>
        </is>
      </c>
      <c r="C315" s="3">
        <f>IFERROR(VLOOKUP(B315,Assets!$A:$B,2,FALSE),"")</f>
        <v/>
      </c>
      <c r="D315" s="6" t="n"/>
    </row>
    <row r="316">
      <c r="A316" s="28" t="n">
        <v>46966</v>
      </c>
      <c r="B316" s="5" t="inlineStr">
        <is>
          <t>Savings</t>
        </is>
      </c>
      <c r="C316" s="3">
        <f>IFERROR(VLOOKUP(B316,Assets!$A:$B,2,FALSE),"")</f>
        <v/>
      </c>
      <c r="D316" s="6" t="n"/>
    </row>
    <row r="317">
      <c r="A317" s="28" t="n">
        <v>46997</v>
      </c>
      <c r="B317" s="5" t="inlineStr">
        <is>
          <t>Core MSCI World</t>
        </is>
      </c>
      <c r="C317" s="3">
        <f>IFERROR(VLOOKUP(B317,Assets!$A:$B,2,FALSE),"")</f>
        <v/>
      </c>
      <c r="D317" s="6" t="n"/>
    </row>
    <row r="318">
      <c r="A318" s="28" t="n">
        <v>46997</v>
      </c>
      <c r="B318" s="5" t="inlineStr">
        <is>
          <t>AI &amp; Big Data</t>
        </is>
      </c>
      <c r="C318" s="3">
        <f>IFERROR(VLOOKUP(B318,Assets!$A:$B,2,FALSE),"")</f>
        <v/>
      </c>
      <c r="D318" s="6" t="n"/>
    </row>
    <row r="319">
      <c r="A319" s="28" t="n">
        <v>46997</v>
      </c>
      <c r="B319" s="5" t="inlineStr">
        <is>
          <t>Physical Gold</t>
        </is>
      </c>
      <c r="C319" s="3">
        <f>IFERROR(VLOOKUP(B319,Assets!$A:$B,2,FALSE),"")</f>
        <v/>
      </c>
      <c r="D319" s="6" t="n"/>
    </row>
    <row r="320">
      <c r="A320" s="28" t="n">
        <v>46997</v>
      </c>
      <c r="B320" s="5" t="inlineStr">
        <is>
          <t>Global Gov Bond</t>
        </is>
      </c>
      <c r="C320" s="3">
        <f>IFERROR(VLOOKUP(B320,Assets!$A:$B,2,FALSE),"")</f>
        <v/>
      </c>
      <c r="D320" s="6" t="n"/>
    </row>
    <row r="321">
      <c r="A321" s="28" t="n">
        <v>46997</v>
      </c>
      <c r="B321" s="5" t="inlineStr">
        <is>
          <t>Core EUR Corp Bond</t>
        </is>
      </c>
      <c r="C321" s="3">
        <f>IFERROR(VLOOKUP(B321,Assets!$A:$B,2,FALSE),"")</f>
        <v/>
      </c>
      <c r="D321" s="6" t="n"/>
    </row>
    <row r="322">
      <c r="A322" s="28" t="n">
        <v>46997</v>
      </c>
      <c r="B322" s="5" t="inlineStr">
        <is>
          <t>MSCI World Value</t>
        </is>
      </c>
      <c r="C322" s="3">
        <f>IFERROR(VLOOKUP(B322,Assets!$A:$B,2,FALSE),"")</f>
        <v/>
      </c>
      <c r="D322" s="6" t="n"/>
    </row>
    <row r="323">
      <c r="A323" s="28" t="n">
        <v>46997</v>
      </c>
      <c r="B323" s="5" t="inlineStr">
        <is>
          <t>MSCI EM</t>
        </is>
      </c>
      <c r="C323" s="3">
        <f>IFERROR(VLOOKUP(B323,Assets!$A:$B,2,FALSE),"")</f>
        <v/>
      </c>
      <c r="D323" s="6" t="n"/>
    </row>
    <row r="324">
      <c r="A324" s="28" t="n">
        <v>46997</v>
      </c>
      <c r="B324" s="5" t="inlineStr">
        <is>
          <t>Defence Tech</t>
        </is>
      </c>
      <c r="C324" s="3">
        <f>IFERROR(VLOOKUP(B324,Assets!$A:$B,2,FALSE),"")</f>
        <v/>
      </c>
      <c r="D324" s="6" t="n"/>
    </row>
    <row r="325">
      <c r="A325" s="28" t="n">
        <v>46997</v>
      </c>
      <c r="B325" s="5" t="inlineStr">
        <is>
          <t>Savings</t>
        </is>
      </c>
      <c r="C325" s="3">
        <f>IFERROR(VLOOKUP(B325,Assets!$A:$B,2,FALSE),"")</f>
        <v/>
      </c>
      <c r="D325" s="6" t="n"/>
    </row>
    <row r="326">
      <c r="A326" s="28" t="n">
        <v>47027</v>
      </c>
      <c r="B326" s="5" t="inlineStr">
        <is>
          <t>Core MSCI World</t>
        </is>
      </c>
      <c r="C326" s="3">
        <f>IFERROR(VLOOKUP(B326,Assets!$A:$B,2,FALSE),"")</f>
        <v/>
      </c>
      <c r="D326" s="6" t="n"/>
    </row>
    <row r="327">
      <c r="A327" s="28" t="n">
        <v>47027</v>
      </c>
      <c r="B327" s="5" t="inlineStr">
        <is>
          <t>AI &amp; Big Data</t>
        </is>
      </c>
      <c r="C327" s="3">
        <f>IFERROR(VLOOKUP(B327,Assets!$A:$B,2,FALSE),"")</f>
        <v/>
      </c>
      <c r="D327" s="6" t="n"/>
    </row>
    <row r="328">
      <c r="A328" s="28" t="n">
        <v>47027</v>
      </c>
      <c r="B328" s="5" t="inlineStr">
        <is>
          <t>Physical Gold</t>
        </is>
      </c>
      <c r="C328" s="3">
        <f>IFERROR(VLOOKUP(B328,Assets!$A:$B,2,FALSE),"")</f>
        <v/>
      </c>
      <c r="D328" s="6" t="n"/>
    </row>
    <row r="329">
      <c r="A329" s="28" t="n">
        <v>47027</v>
      </c>
      <c r="B329" s="5" t="inlineStr">
        <is>
          <t>Global Gov Bond</t>
        </is>
      </c>
      <c r="C329" s="3">
        <f>IFERROR(VLOOKUP(B329,Assets!$A:$B,2,FALSE),"")</f>
        <v/>
      </c>
      <c r="D329" s="6" t="n"/>
    </row>
    <row r="330">
      <c r="A330" s="28" t="n">
        <v>47027</v>
      </c>
      <c r="B330" s="5" t="inlineStr">
        <is>
          <t>Core EUR Corp Bond</t>
        </is>
      </c>
      <c r="C330" s="3">
        <f>IFERROR(VLOOKUP(B330,Assets!$A:$B,2,FALSE),"")</f>
        <v/>
      </c>
      <c r="D330" s="6" t="n"/>
    </row>
    <row r="331">
      <c r="A331" s="28" t="n">
        <v>47027</v>
      </c>
      <c r="B331" s="5" t="inlineStr">
        <is>
          <t>MSCI World Value</t>
        </is>
      </c>
      <c r="C331" s="3">
        <f>IFERROR(VLOOKUP(B331,Assets!$A:$B,2,FALSE),"")</f>
        <v/>
      </c>
      <c r="D331" s="6" t="n"/>
    </row>
    <row r="332">
      <c r="A332" s="28" t="n">
        <v>47027</v>
      </c>
      <c r="B332" s="5" t="inlineStr">
        <is>
          <t>MSCI EM</t>
        </is>
      </c>
      <c r="C332" s="3">
        <f>IFERROR(VLOOKUP(B332,Assets!$A:$B,2,FALSE),"")</f>
        <v/>
      </c>
      <c r="D332" s="6" t="n"/>
    </row>
    <row r="333">
      <c r="A333" s="28" t="n">
        <v>47027</v>
      </c>
      <c r="B333" s="5" t="inlineStr">
        <is>
          <t>Defence Tech</t>
        </is>
      </c>
      <c r="C333" s="3">
        <f>IFERROR(VLOOKUP(B333,Assets!$A:$B,2,FALSE),"")</f>
        <v/>
      </c>
      <c r="D333" s="6" t="n"/>
    </row>
    <row r="334">
      <c r="A334" s="28" t="n">
        <v>47027</v>
      </c>
      <c r="B334" s="5" t="inlineStr">
        <is>
          <t>Savings</t>
        </is>
      </c>
      <c r="C334" s="3">
        <f>IFERROR(VLOOKUP(B334,Assets!$A:$B,2,FALSE),"")</f>
        <v/>
      </c>
      <c r="D334" s="6" t="n"/>
    </row>
    <row r="335">
      <c r="A335" s="28" t="n">
        <v>47058</v>
      </c>
      <c r="B335" s="5" t="inlineStr">
        <is>
          <t>Core MSCI World</t>
        </is>
      </c>
      <c r="C335" s="3">
        <f>IFERROR(VLOOKUP(B335,Assets!$A:$B,2,FALSE),"")</f>
        <v/>
      </c>
      <c r="D335" s="6" t="n"/>
    </row>
    <row r="336">
      <c r="A336" s="28" t="n">
        <v>47058</v>
      </c>
      <c r="B336" s="5" t="inlineStr">
        <is>
          <t>AI &amp; Big Data</t>
        </is>
      </c>
      <c r="C336" s="3">
        <f>IFERROR(VLOOKUP(B336,Assets!$A:$B,2,FALSE),"")</f>
        <v/>
      </c>
      <c r="D336" s="6" t="n"/>
    </row>
    <row r="337">
      <c r="A337" s="28" t="n">
        <v>47058</v>
      </c>
      <c r="B337" s="5" t="inlineStr">
        <is>
          <t>Physical Gold</t>
        </is>
      </c>
      <c r="C337" s="3">
        <f>IFERROR(VLOOKUP(B337,Assets!$A:$B,2,FALSE),"")</f>
        <v/>
      </c>
      <c r="D337" s="6" t="n"/>
    </row>
    <row r="338">
      <c r="A338" s="28" t="n">
        <v>47058</v>
      </c>
      <c r="B338" s="5" t="inlineStr">
        <is>
          <t>Global Gov Bond</t>
        </is>
      </c>
      <c r="C338" s="3">
        <f>IFERROR(VLOOKUP(B338,Assets!$A:$B,2,FALSE),"")</f>
        <v/>
      </c>
      <c r="D338" s="6" t="n"/>
    </row>
    <row r="339">
      <c r="A339" s="28" t="n">
        <v>47058</v>
      </c>
      <c r="B339" s="5" t="inlineStr">
        <is>
          <t>Core EUR Corp Bond</t>
        </is>
      </c>
      <c r="C339" s="3">
        <f>IFERROR(VLOOKUP(B339,Assets!$A:$B,2,FALSE),"")</f>
        <v/>
      </c>
      <c r="D339" s="6" t="n"/>
    </row>
    <row r="340">
      <c r="A340" s="28" t="n">
        <v>47058</v>
      </c>
      <c r="B340" s="5" t="inlineStr">
        <is>
          <t>MSCI World Value</t>
        </is>
      </c>
      <c r="C340" s="3">
        <f>IFERROR(VLOOKUP(B340,Assets!$A:$B,2,FALSE),"")</f>
        <v/>
      </c>
      <c r="D340" s="6" t="n"/>
    </row>
    <row r="341">
      <c r="A341" s="28" t="n">
        <v>47058</v>
      </c>
      <c r="B341" s="5" t="inlineStr">
        <is>
          <t>MSCI EM</t>
        </is>
      </c>
      <c r="C341" s="3">
        <f>IFERROR(VLOOKUP(B341,Assets!$A:$B,2,FALSE),"")</f>
        <v/>
      </c>
      <c r="D341" s="6" t="n"/>
    </row>
    <row r="342">
      <c r="A342" s="28" t="n">
        <v>47058</v>
      </c>
      <c r="B342" s="5" t="inlineStr">
        <is>
          <t>Defence Tech</t>
        </is>
      </c>
      <c r="C342" s="3">
        <f>IFERROR(VLOOKUP(B342,Assets!$A:$B,2,FALSE),"")</f>
        <v/>
      </c>
      <c r="D342" s="6" t="n"/>
    </row>
    <row r="343">
      <c r="A343" s="28" t="n">
        <v>47058</v>
      </c>
      <c r="B343" s="5" t="inlineStr">
        <is>
          <t>Savings</t>
        </is>
      </c>
      <c r="C343" s="3">
        <f>IFERROR(VLOOKUP(B343,Assets!$A:$B,2,FALSE),"")</f>
        <v/>
      </c>
      <c r="D343" s="6" t="n"/>
    </row>
    <row r="344">
      <c r="A344" s="28" t="n">
        <v>47088</v>
      </c>
      <c r="B344" s="5" t="inlineStr">
        <is>
          <t>Core MSCI World</t>
        </is>
      </c>
      <c r="C344" s="3">
        <f>IFERROR(VLOOKUP(B344,Assets!$A:$B,2,FALSE),"")</f>
        <v/>
      </c>
      <c r="D344" s="6" t="n"/>
    </row>
    <row r="345">
      <c r="A345" s="28" t="n">
        <v>47088</v>
      </c>
      <c r="B345" s="5" t="inlineStr">
        <is>
          <t>AI &amp; Big Data</t>
        </is>
      </c>
      <c r="C345" s="3">
        <f>IFERROR(VLOOKUP(B345,Assets!$A:$B,2,FALSE),"")</f>
        <v/>
      </c>
      <c r="D345" s="6" t="n"/>
    </row>
    <row r="346">
      <c r="A346" s="28" t="n">
        <v>47088</v>
      </c>
      <c r="B346" s="5" t="inlineStr">
        <is>
          <t>Physical Gold</t>
        </is>
      </c>
      <c r="C346" s="3">
        <f>IFERROR(VLOOKUP(B346,Assets!$A:$B,2,FALSE),"")</f>
        <v/>
      </c>
      <c r="D346" s="6" t="n"/>
    </row>
    <row r="347">
      <c r="A347" s="28" t="n">
        <v>47088</v>
      </c>
      <c r="B347" s="5" t="inlineStr">
        <is>
          <t>Global Gov Bond</t>
        </is>
      </c>
      <c r="C347" s="3">
        <f>IFERROR(VLOOKUP(B347,Assets!$A:$B,2,FALSE),"")</f>
        <v/>
      </c>
      <c r="D347" s="6" t="n"/>
    </row>
    <row r="348">
      <c r="A348" s="28" t="n">
        <v>47088</v>
      </c>
      <c r="B348" s="5" t="inlineStr">
        <is>
          <t>Core EUR Corp Bond</t>
        </is>
      </c>
      <c r="C348" s="3">
        <f>IFERROR(VLOOKUP(B348,Assets!$A:$B,2,FALSE),"")</f>
        <v/>
      </c>
      <c r="D348" s="6" t="n"/>
    </row>
    <row r="349">
      <c r="A349" s="28" t="n">
        <v>47088</v>
      </c>
      <c r="B349" s="5" t="inlineStr">
        <is>
          <t>MSCI World Value</t>
        </is>
      </c>
      <c r="C349" s="3">
        <f>IFERROR(VLOOKUP(B349,Assets!$A:$B,2,FALSE),"")</f>
        <v/>
      </c>
      <c r="D349" s="6" t="n"/>
    </row>
    <row r="350">
      <c r="A350" s="28" t="n">
        <v>47088</v>
      </c>
      <c r="B350" s="5" t="inlineStr">
        <is>
          <t>MSCI EM</t>
        </is>
      </c>
      <c r="C350" s="3">
        <f>IFERROR(VLOOKUP(B350,Assets!$A:$B,2,FALSE),"")</f>
        <v/>
      </c>
      <c r="D350" s="6" t="n"/>
    </row>
    <row r="351">
      <c r="A351" s="28" t="n">
        <v>47088</v>
      </c>
      <c r="B351" s="5" t="inlineStr">
        <is>
          <t>Defence Tech</t>
        </is>
      </c>
      <c r="C351" s="3">
        <f>IFERROR(VLOOKUP(B351,Assets!$A:$B,2,FALSE),"")</f>
        <v/>
      </c>
      <c r="D351" s="6" t="n"/>
    </row>
    <row r="352">
      <c r="A352" s="28" t="n">
        <v>47088</v>
      </c>
      <c r="B352" s="5" t="inlineStr">
        <is>
          <t>Savings</t>
        </is>
      </c>
      <c r="C352" s="3">
        <f>IFERROR(VLOOKUP(B352,Assets!$A:$B,2,FALSE),"")</f>
        <v/>
      </c>
      <c r="D352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</cols>
  <sheetData>
    <row r="1">
      <c r="A1" s="8" t="inlineStr">
        <is>
          <t>Asset</t>
        </is>
      </c>
      <c r="B1" s="8" t="inlineStr">
        <is>
          <t>Month</t>
        </is>
      </c>
      <c r="C1" s="8" t="inlineStr">
        <is>
          <t>End_Value</t>
        </is>
      </c>
      <c r="D1" s="8" t="inlineStr">
        <is>
          <t>Flow_PAC</t>
        </is>
      </c>
      <c r="E1" s="8" t="inlineStr">
        <is>
          <t>Flow_Manual</t>
        </is>
      </c>
      <c r="F1" s="8" t="inlineStr">
        <is>
          <t>Total_Flow</t>
        </is>
      </c>
      <c r="G1" s="8" t="inlineStr">
        <is>
          <t>Prev_End</t>
        </is>
      </c>
      <c r="H1" s="8" t="inlineStr">
        <is>
          <t>PnL_€</t>
        </is>
      </c>
      <c r="I1" s="8" t="inlineStr">
        <is>
          <t>Perf_%</t>
        </is>
      </c>
    </row>
    <row r="2">
      <c r="A2" s="5" t="inlineStr">
        <is>
          <t>Core MSCI World</t>
        </is>
      </c>
      <c r="B2" s="28" t="n">
        <v>45931</v>
      </c>
      <c r="C2" s="11">
        <f>SUMIFS(Month_End!$D:$D,Month_End!$A:$A,B2,Month_End!$B:$B,A2)</f>
        <v/>
      </c>
      <c r="D2" s="11">
        <f>SUMIFS(Transactions_PAC!$H:$H,Transactions_PAC!$B:$B,B2,Transactions_PAC!$C:$C,A2)</f>
        <v/>
      </c>
      <c r="E2" s="11">
        <f>SUMIFS(Transactions_Manual!$E:$E,Transactions_Manual!$B:$B,B2,Transactions_Manual!$C:$C,A2)</f>
        <v/>
      </c>
      <c r="F2" s="11">
        <f>D2+E2</f>
        <v/>
      </c>
      <c r="G2" s="11" t="inlineStr"/>
      <c r="H2" s="11">
        <f>IF(OR(G2="",A2="Savings"),"",C2-G2-F2)</f>
        <v/>
      </c>
      <c r="I2" s="45">
        <f>IF(OR(H2="",G2=0), "", H2/G2)</f>
        <v/>
      </c>
    </row>
    <row r="3">
      <c r="A3" s="5" t="inlineStr">
        <is>
          <t>Core MSCI World</t>
        </is>
      </c>
      <c r="B3" s="28" t="n">
        <v>45962</v>
      </c>
      <c r="C3" s="11">
        <f>SUMIFS(Month_End!$D:$D,Month_End!$A:$A,B3,Month_End!$B:$B,A3)</f>
        <v/>
      </c>
      <c r="D3" s="11">
        <f>SUMIFS(Transactions_PAC!$H:$H,Transactions_PAC!$B:$B,B3,Transactions_PAC!$C:$C,A3)</f>
        <v/>
      </c>
      <c r="E3" s="11">
        <f>SUMIFS(Transactions_Manual!$E:$E,Transactions_Manual!$B:$B,B3,Transactions_Manual!$C:$C,A3)</f>
        <v/>
      </c>
      <c r="F3" s="11">
        <f>D3+E3</f>
        <v/>
      </c>
      <c r="G3" s="11">
        <f>C2</f>
        <v/>
      </c>
      <c r="H3" s="11">
        <f>IF(OR(G3="",A3="Savings"),"",C3-G3-F3)</f>
        <v/>
      </c>
      <c r="I3" s="45">
        <f>IF(OR(H3="",G3=0), "", H3/G3)</f>
        <v/>
      </c>
    </row>
    <row r="4">
      <c r="A4" s="5" t="inlineStr">
        <is>
          <t>Core MSCI World</t>
        </is>
      </c>
      <c r="B4" s="28" t="n">
        <v>45992</v>
      </c>
      <c r="C4" s="11">
        <f>SUMIFS(Month_End!$D:$D,Month_End!$A:$A,B4,Month_End!$B:$B,A4)</f>
        <v/>
      </c>
      <c r="D4" s="11">
        <f>SUMIFS(Transactions_PAC!$H:$H,Transactions_PAC!$B:$B,B4,Transactions_PAC!$C:$C,A4)</f>
        <v/>
      </c>
      <c r="E4" s="11">
        <f>SUMIFS(Transactions_Manual!$E:$E,Transactions_Manual!$B:$B,B4,Transactions_Manual!$C:$C,A4)</f>
        <v/>
      </c>
      <c r="F4" s="11">
        <f>D4+E4</f>
        <v/>
      </c>
      <c r="G4" s="11">
        <f>C3</f>
        <v/>
      </c>
      <c r="H4" s="11">
        <f>IF(OR(G4="",A4="Savings"),"",C4-G4-F4)</f>
        <v/>
      </c>
      <c r="I4" s="45">
        <f>IF(OR(H4="",G4=0), "", H4/G4)</f>
        <v/>
      </c>
    </row>
    <row r="5">
      <c r="A5" s="5" t="inlineStr">
        <is>
          <t>Core MSCI World</t>
        </is>
      </c>
      <c r="B5" s="28" t="n">
        <v>46023</v>
      </c>
      <c r="C5" s="11">
        <f>SUMIFS(Month_End!$D:$D,Month_End!$A:$A,B5,Month_End!$B:$B,A5)</f>
        <v/>
      </c>
      <c r="D5" s="11">
        <f>SUMIFS(Transactions_PAC!$H:$H,Transactions_PAC!$B:$B,B5,Transactions_PAC!$C:$C,A5)</f>
        <v/>
      </c>
      <c r="E5" s="11">
        <f>SUMIFS(Transactions_Manual!$E:$E,Transactions_Manual!$B:$B,B5,Transactions_Manual!$C:$C,A5)</f>
        <v/>
      </c>
      <c r="F5" s="11">
        <f>D5+E5</f>
        <v/>
      </c>
      <c r="G5" s="11">
        <f>C4</f>
        <v/>
      </c>
      <c r="H5" s="11">
        <f>IF(OR(G5="",A5="Savings"),"",C5-G5-F5)</f>
        <v/>
      </c>
      <c r="I5" s="45">
        <f>IF(OR(H5="",G5=0), "", H5/G5)</f>
        <v/>
      </c>
    </row>
    <row r="6">
      <c r="A6" s="5" t="inlineStr">
        <is>
          <t>Core MSCI World</t>
        </is>
      </c>
      <c r="B6" s="28" t="n">
        <v>46054</v>
      </c>
      <c r="C6" s="11">
        <f>SUMIFS(Month_End!$D:$D,Month_End!$A:$A,B6,Month_End!$B:$B,A6)</f>
        <v/>
      </c>
      <c r="D6" s="11">
        <f>SUMIFS(Transactions_PAC!$H:$H,Transactions_PAC!$B:$B,B6,Transactions_PAC!$C:$C,A6)</f>
        <v/>
      </c>
      <c r="E6" s="11">
        <f>SUMIFS(Transactions_Manual!$E:$E,Transactions_Manual!$B:$B,B6,Transactions_Manual!$C:$C,A6)</f>
        <v/>
      </c>
      <c r="F6" s="11">
        <f>D6+E6</f>
        <v/>
      </c>
      <c r="G6" s="11">
        <f>C5</f>
        <v/>
      </c>
      <c r="H6" s="11">
        <f>IF(OR(G6="",A6="Savings"),"",C6-G6-F6)</f>
        <v/>
      </c>
      <c r="I6" s="45">
        <f>IF(OR(H6="",G6=0), "", H6/G6)</f>
        <v/>
      </c>
    </row>
    <row r="7">
      <c r="A7" s="5" t="inlineStr">
        <is>
          <t>Core MSCI World</t>
        </is>
      </c>
      <c r="B7" s="28" t="n">
        <v>46082</v>
      </c>
      <c r="C7" s="11">
        <f>SUMIFS(Month_End!$D:$D,Month_End!$A:$A,B7,Month_End!$B:$B,A7)</f>
        <v/>
      </c>
      <c r="D7" s="11">
        <f>SUMIFS(Transactions_PAC!$H:$H,Transactions_PAC!$B:$B,B7,Transactions_PAC!$C:$C,A7)</f>
        <v/>
      </c>
      <c r="E7" s="11">
        <f>SUMIFS(Transactions_Manual!$E:$E,Transactions_Manual!$B:$B,B7,Transactions_Manual!$C:$C,A7)</f>
        <v/>
      </c>
      <c r="F7" s="11">
        <f>D7+E7</f>
        <v/>
      </c>
      <c r="G7" s="11">
        <f>C6</f>
        <v/>
      </c>
      <c r="H7" s="11">
        <f>IF(OR(G7="",A7="Savings"),"",C7-G7-F7)</f>
        <v/>
      </c>
      <c r="I7" s="45">
        <f>IF(OR(H7="",G7=0), "", H7/G7)</f>
        <v/>
      </c>
    </row>
    <row r="8">
      <c r="A8" s="5" t="inlineStr">
        <is>
          <t>Core MSCI World</t>
        </is>
      </c>
      <c r="B8" s="28" t="n">
        <v>46113</v>
      </c>
      <c r="C8" s="11">
        <f>SUMIFS(Month_End!$D:$D,Month_End!$A:$A,B8,Month_End!$B:$B,A8)</f>
        <v/>
      </c>
      <c r="D8" s="11">
        <f>SUMIFS(Transactions_PAC!$H:$H,Transactions_PAC!$B:$B,B8,Transactions_PAC!$C:$C,A8)</f>
        <v/>
      </c>
      <c r="E8" s="11">
        <f>SUMIFS(Transactions_Manual!$E:$E,Transactions_Manual!$B:$B,B8,Transactions_Manual!$C:$C,A8)</f>
        <v/>
      </c>
      <c r="F8" s="11">
        <f>D8+E8</f>
        <v/>
      </c>
      <c r="G8" s="11">
        <f>C7</f>
        <v/>
      </c>
      <c r="H8" s="11">
        <f>IF(OR(G8="",A8="Savings"),"",C8-G8-F8)</f>
        <v/>
      </c>
      <c r="I8" s="45">
        <f>IF(OR(H8="",G8=0), "", H8/G8)</f>
        <v/>
      </c>
    </row>
    <row r="9">
      <c r="A9" s="5" t="inlineStr">
        <is>
          <t>Core MSCI World</t>
        </is>
      </c>
      <c r="B9" s="28" t="n">
        <v>46143</v>
      </c>
      <c r="C9" s="11">
        <f>SUMIFS(Month_End!$D:$D,Month_End!$A:$A,B9,Month_End!$B:$B,A9)</f>
        <v/>
      </c>
      <c r="D9" s="11">
        <f>SUMIFS(Transactions_PAC!$H:$H,Transactions_PAC!$B:$B,B9,Transactions_PAC!$C:$C,A9)</f>
        <v/>
      </c>
      <c r="E9" s="11">
        <f>SUMIFS(Transactions_Manual!$E:$E,Transactions_Manual!$B:$B,B9,Transactions_Manual!$C:$C,A9)</f>
        <v/>
      </c>
      <c r="F9" s="11">
        <f>D9+E9</f>
        <v/>
      </c>
      <c r="G9" s="11">
        <f>C8</f>
        <v/>
      </c>
      <c r="H9" s="11">
        <f>IF(OR(G9="",A9="Savings"),"",C9-G9-F9)</f>
        <v/>
      </c>
      <c r="I9" s="45">
        <f>IF(OR(H9="",G9=0), "", H9/G9)</f>
        <v/>
      </c>
    </row>
    <row r="10">
      <c r="A10" s="5" t="inlineStr">
        <is>
          <t>Core MSCI World</t>
        </is>
      </c>
      <c r="B10" s="28" t="n">
        <v>46174</v>
      </c>
      <c r="C10" s="11">
        <f>SUMIFS(Month_End!$D:$D,Month_End!$A:$A,B10,Month_End!$B:$B,A10)</f>
        <v/>
      </c>
      <c r="D10" s="11">
        <f>SUMIFS(Transactions_PAC!$H:$H,Transactions_PAC!$B:$B,B10,Transactions_PAC!$C:$C,A10)</f>
        <v/>
      </c>
      <c r="E10" s="11">
        <f>SUMIFS(Transactions_Manual!$E:$E,Transactions_Manual!$B:$B,B10,Transactions_Manual!$C:$C,A10)</f>
        <v/>
      </c>
      <c r="F10" s="11">
        <f>D10+E10</f>
        <v/>
      </c>
      <c r="G10" s="11">
        <f>C9</f>
        <v/>
      </c>
      <c r="H10" s="11">
        <f>IF(OR(G10="",A10="Savings"),"",C10-G10-F10)</f>
        <v/>
      </c>
      <c r="I10" s="45">
        <f>IF(OR(H10="",G10=0), "", H10/G10)</f>
        <v/>
      </c>
    </row>
    <row r="11">
      <c r="A11" s="5" t="inlineStr">
        <is>
          <t>Core MSCI World</t>
        </is>
      </c>
      <c r="B11" s="28" t="n">
        <v>46204</v>
      </c>
      <c r="C11" s="11">
        <f>SUMIFS(Month_End!$D:$D,Month_End!$A:$A,B11,Month_End!$B:$B,A11)</f>
        <v/>
      </c>
      <c r="D11" s="11">
        <f>SUMIFS(Transactions_PAC!$H:$H,Transactions_PAC!$B:$B,B11,Transactions_PAC!$C:$C,A11)</f>
        <v/>
      </c>
      <c r="E11" s="11">
        <f>SUMIFS(Transactions_Manual!$E:$E,Transactions_Manual!$B:$B,B11,Transactions_Manual!$C:$C,A11)</f>
        <v/>
      </c>
      <c r="F11" s="11">
        <f>D11+E11</f>
        <v/>
      </c>
      <c r="G11" s="11">
        <f>C10</f>
        <v/>
      </c>
      <c r="H11" s="11">
        <f>IF(OR(G11="",A11="Savings"),"",C11-G11-F11)</f>
        <v/>
      </c>
      <c r="I11" s="45">
        <f>IF(OR(H11="",G11=0), "", H11/G11)</f>
        <v/>
      </c>
    </row>
    <row r="12">
      <c r="A12" s="5" t="inlineStr">
        <is>
          <t>Core MSCI World</t>
        </is>
      </c>
      <c r="B12" s="28" t="n">
        <v>46235</v>
      </c>
      <c r="C12" s="11">
        <f>SUMIFS(Month_End!$D:$D,Month_End!$A:$A,B12,Month_End!$B:$B,A12)</f>
        <v/>
      </c>
      <c r="D12" s="11">
        <f>SUMIFS(Transactions_PAC!$H:$H,Transactions_PAC!$B:$B,B12,Transactions_PAC!$C:$C,A12)</f>
        <v/>
      </c>
      <c r="E12" s="11">
        <f>SUMIFS(Transactions_Manual!$E:$E,Transactions_Manual!$B:$B,B12,Transactions_Manual!$C:$C,A12)</f>
        <v/>
      </c>
      <c r="F12" s="11">
        <f>D12+E12</f>
        <v/>
      </c>
      <c r="G12" s="11">
        <f>C11</f>
        <v/>
      </c>
      <c r="H12" s="11">
        <f>IF(OR(G12="",A12="Savings"),"",C12-G12-F12)</f>
        <v/>
      </c>
      <c r="I12" s="45">
        <f>IF(OR(H12="",G12=0), "", H12/G12)</f>
        <v/>
      </c>
    </row>
    <row r="13">
      <c r="A13" s="5" t="inlineStr">
        <is>
          <t>Core MSCI World</t>
        </is>
      </c>
      <c r="B13" s="28" t="n">
        <v>46266</v>
      </c>
      <c r="C13" s="11">
        <f>SUMIFS(Month_End!$D:$D,Month_End!$A:$A,B13,Month_End!$B:$B,A13)</f>
        <v/>
      </c>
      <c r="D13" s="11">
        <f>SUMIFS(Transactions_PAC!$H:$H,Transactions_PAC!$B:$B,B13,Transactions_PAC!$C:$C,A13)</f>
        <v/>
      </c>
      <c r="E13" s="11">
        <f>SUMIFS(Transactions_Manual!$E:$E,Transactions_Manual!$B:$B,B13,Transactions_Manual!$C:$C,A13)</f>
        <v/>
      </c>
      <c r="F13" s="11">
        <f>D13+E13</f>
        <v/>
      </c>
      <c r="G13" s="11">
        <f>C12</f>
        <v/>
      </c>
      <c r="H13" s="11">
        <f>IF(OR(G13="",A13="Savings"),"",C13-G13-F13)</f>
        <v/>
      </c>
      <c r="I13" s="45">
        <f>IF(OR(H13="",G13=0), "", H13/G13)</f>
        <v/>
      </c>
    </row>
    <row r="14">
      <c r="A14" s="5" t="inlineStr">
        <is>
          <t>Core MSCI World</t>
        </is>
      </c>
      <c r="B14" s="28" t="n">
        <v>46296</v>
      </c>
      <c r="C14" s="11">
        <f>SUMIFS(Month_End!$D:$D,Month_End!$A:$A,B14,Month_End!$B:$B,A14)</f>
        <v/>
      </c>
      <c r="D14" s="11">
        <f>SUMIFS(Transactions_PAC!$H:$H,Transactions_PAC!$B:$B,B14,Transactions_PAC!$C:$C,A14)</f>
        <v/>
      </c>
      <c r="E14" s="11">
        <f>SUMIFS(Transactions_Manual!$E:$E,Transactions_Manual!$B:$B,B14,Transactions_Manual!$C:$C,A14)</f>
        <v/>
      </c>
      <c r="F14" s="11">
        <f>D14+E14</f>
        <v/>
      </c>
      <c r="G14" s="11">
        <f>C13</f>
        <v/>
      </c>
      <c r="H14" s="11">
        <f>IF(OR(G14="",A14="Savings"),"",C14-G14-F14)</f>
        <v/>
      </c>
      <c r="I14" s="45">
        <f>IF(OR(H14="",G14=0), "", H14/G14)</f>
        <v/>
      </c>
    </row>
    <row r="15">
      <c r="A15" s="5" t="inlineStr">
        <is>
          <t>Core MSCI World</t>
        </is>
      </c>
      <c r="B15" s="28" t="n">
        <v>46327</v>
      </c>
      <c r="C15" s="11">
        <f>SUMIFS(Month_End!$D:$D,Month_End!$A:$A,B15,Month_End!$B:$B,A15)</f>
        <v/>
      </c>
      <c r="D15" s="11">
        <f>SUMIFS(Transactions_PAC!$H:$H,Transactions_PAC!$B:$B,B15,Transactions_PAC!$C:$C,A15)</f>
        <v/>
      </c>
      <c r="E15" s="11">
        <f>SUMIFS(Transactions_Manual!$E:$E,Transactions_Manual!$B:$B,B15,Transactions_Manual!$C:$C,A15)</f>
        <v/>
      </c>
      <c r="F15" s="11">
        <f>D15+E15</f>
        <v/>
      </c>
      <c r="G15" s="11">
        <f>C14</f>
        <v/>
      </c>
      <c r="H15" s="11">
        <f>IF(OR(G15="",A15="Savings"),"",C15-G15-F15)</f>
        <v/>
      </c>
      <c r="I15" s="45">
        <f>IF(OR(H15="",G15=0), "", H15/G15)</f>
        <v/>
      </c>
    </row>
    <row r="16">
      <c r="A16" s="5" t="inlineStr">
        <is>
          <t>Core MSCI World</t>
        </is>
      </c>
      <c r="B16" s="28" t="n">
        <v>46357</v>
      </c>
      <c r="C16" s="11">
        <f>SUMIFS(Month_End!$D:$D,Month_End!$A:$A,B16,Month_End!$B:$B,A16)</f>
        <v/>
      </c>
      <c r="D16" s="11">
        <f>SUMIFS(Transactions_PAC!$H:$H,Transactions_PAC!$B:$B,B16,Transactions_PAC!$C:$C,A16)</f>
        <v/>
      </c>
      <c r="E16" s="11">
        <f>SUMIFS(Transactions_Manual!$E:$E,Transactions_Manual!$B:$B,B16,Transactions_Manual!$C:$C,A16)</f>
        <v/>
      </c>
      <c r="F16" s="11">
        <f>D16+E16</f>
        <v/>
      </c>
      <c r="G16" s="11">
        <f>C15</f>
        <v/>
      </c>
      <c r="H16" s="11">
        <f>IF(OR(G16="",A16="Savings"),"",C16-G16-F16)</f>
        <v/>
      </c>
      <c r="I16" s="45">
        <f>IF(OR(H16="",G16=0), "", H16/G16)</f>
        <v/>
      </c>
    </row>
    <row r="17">
      <c r="A17" s="5" t="inlineStr">
        <is>
          <t>Core MSCI World</t>
        </is>
      </c>
      <c r="B17" s="28" t="n">
        <v>46388</v>
      </c>
      <c r="C17" s="11">
        <f>SUMIFS(Month_End!$D:$D,Month_End!$A:$A,B17,Month_End!$B:$B,A17)</f>
        <v/>
      </c>
      <c r="D17" s="11">
        <f>SUMIFS(Transactions_PAC!$H:$H,Transactions_PAC!$B:$B,B17,Transactions_PAC!$C:$C,A17)</f>
        <v/>
      </c>
      <c r="E17" s="11">
        <f>SUMIFS(Transactions_Manual!$E:$E,Transactions_Manual!$B:$B,B17,Transactions_Manual!$C:$C,A17)</f>
        <v/>
      </c>
      <c r="F17" s="11">
        <f>D17+E17</f>
        <v/>
      </c>
      <c r="G17" s="11">
        <f>C16</f>
        <v/>
      </c>
      <c r="H17" s="11">
        <f>IF(OR(G17="",A17="Savings"),"",C17-G17-F17)</f>
        <v/>
      </c>
      <c r="I17" s="45">
        <f>IF(OR(H17="",G17=0), "", H17/G17)</f>
        <v/>
      </c>
    </row>
    <row r="18">
      <c r="A18" s="5" t="inlineStr">
        <is>
          <t>Core MSCI World</t>
        </is>
      </c>
      <c r="B18" s="28" t="n">
        <v>46419</v>
      </c>
      <c r="C18" s="11">
        <f>SUMIFS(Month_End!$D:$D,Month_End!$A:$A,B18,Month_End!$B:$B,A18)</f>
        <v/>
      </c>
      <c r="D18" s="11">
        <f>SUMIFS(Transactions_PAC!$H:$H,Transactions_PAC!$B:$B,B18,Transactions_PAC!$C:$C,A18)</f>
        <v/>
      </c>
      <c r="E18" s="11">
        <f>SUMIFS(Transactions_Manual!$E:$E,Transactions_Manual!$B:$B,B18,Transactions_Manual!$C:$C,A18)</f>
        <v/>
      </c>
      <c r="F18" s="11">
        <f>D18+E18</f>
        <v/>
      </c>
      <c r="G18" s="11">
        <f>C17</f>
        <v/>
      </c>
      <c r="H18" s="11">
        <f>IF(OR(G18="",A18="Savings"),"",C18-G18-F18)</f>
        <v/>
      </c>
      <c r="I18" s="45">
        <f>IF(OR(H18="",G18=0), "", H18/G18)</f>
        <v/>
      </c>
    </row>
    <row r="19">
      <c r="A19" s="5" t="inlineStr">
        <is>
          <t>Core MSCI World</t>
        </is>
      </c>
      <c r="B19" s="28" t="n">
        <v>46447</v>
      </c>
      <c r="C19" s="11">
        <f>SUMIFS(Month_End!$D:$D,Month_End!$A:$A,B19,Month_End!$B:$B,A19)</f>
        <v/>
      </c>
      <c r="D19" s="11">
        <f>SUMIFS(Transactions_PAC!$H:$H,Transactions_PAC!$B:$B,B19,Transactions_PAC!$C:$C,A19)</f>
        <v/>
      </c>
      <c r="E19" s="11">
        <f>SUMIFS(Transactions_Manual!$E:$E,Transactions_Manual!$B:$B,B19,Transactions_Manual!$C:$C,A19)</f>
        <v/>
      </c>
      <c r="F19" s="11">
        <f>D19+E19</f>
        <v/>
      </c>
      <c r="G19" s="11">
        <f>C18</f>
        <v/>
      </c>
      <c r="H19" s="11">
        <f>IF(OR(G19="",A19="Savings"),"",C19-G19-F19)</f>
        <v/>
      </c>
      <c r="I19" s="45">
        <f>IF(OR(H19="",G19=0), "", H19/G19)</f>
        <v/>
      </c>
    </row>
    <row r="20">
      <c r="A20" s="5" t="inlineStr">
        <is>
          <t>Core MSCI World</t>
        </is>
      </c>
      <c r="B20" s="28" t="n">
        <v>46478</v>
      </c>
      <c r="C20" s="11">
        <f>SUMIFS(Month_End!$D:$D,Month_End!$A:$A,B20,Month_End!$B:$B,A20)</f>
        <v/>
      </c>
      <c r="D20" s="11">
        <f>SUMIFS(Transactions_PAC!$H:$H,Transactions_PAC!$B:$B,B20,Transactions_PAC!$C:$C,A20)</f>
        <v/>
      </c>
      <c r="E20" s="11">
        <f>SUMIFS(Transactions_Manual!$E:$E,Transactions_Manual!$B:$B,B20,Transactions_Manual!$C:$C,A20)</f>
        <v/>
      </c>
      <c r="F20" s="11">
        <f>D20+E20</f>
        <v/>
      </c>
      <c r="G20" s="11">
        <f>C19</f>
        <v/>
      </c>
      <c r="H20" s="11">
        <f>IF(OR(G20="",A20="Savings"),"",C20-G20-F20)</f>
        <v/>
      </c>
      <c r="I20" s="45">
        <f>IF(OR(H20="",G20=0), "", H20/G20)</f>
        <v/>
      </c>
    </row>
    <row r="21">
      <c r="A21" s="5" t="inlineStr">
        <is>
          <t>Core MSCI World</t>
        </is>
      </c>
      <c r="B21" s="28" t="n">
        <v>46508</v>
      </c>
      <c r="C21" s="11">
        <f>SUMIFS(Month_End!$D:$D,Month_End!$A:$A,B21,Month_End!$B:$B,A21)</f>
        <v/>
      </c>
      <c r="D21" s="11">
        <f>SUMIFS(Transactions_PAC!$H:$H,Transactions_PAC!$B:$B,B21,Transactions_PAC!$C:$C,A21)</f>
        <v/>
      </c>
      <c r="E21" s="11">
        <f>SUMIFS(Transactions_Manual!$E:$E,Transactions_Manual!$B:$B,B21,Transactions_Manual!$C:$C,A21)</f>
        <v/>
      </c>
      <c r="F21" s="11">
        <f>D21+E21</f>
        <v/>
      </c>
      <c r="G21" s="11">
        <f>C20</f>
        <v/>
      </c>
      <c r="H21" s="11">
        <f>IF(OR(G21="",A21="Savings"),"",C21-G21-F21)</f>
        <v/>
      </c>
      <c r="I21" s="45">
        <f>IF(OR(H21="",G21=0), "", H21/G21)</f>
        <v/>
      </c>
    </row>
    <row r="22">
      <c r="A22" s="5" t="inlineStr">
        <is>
          <t>Core MSCI World</t>
        </is>
      </c>
      <c r="B22" s="28" t="n">
        <v>46539</v>
      </c>
      <c r="C22" s="11">
        <f>SUMIFS(Month_End!$D:$D,Month_End!$A:$A,B22,Month_End!$B:$B,A22)</f>
        <v/>
      </c>
      <c r="D22" s="11">
        <f>SUMIFS(Transactions_PAC!$H:$H,Transactions_PAC!$B:$B,B22,Transactions_PAC!$C:$C,A22)</f>
        <v/>
      </c>
      <c r="E22" s="11">
        <f>SUMIFS(Transactions_Manual!$E:$E,Transactions_Manual!$B:$B,B22,Transactions_Manual!$C:$C,A22)</f>
        <v/>
      </c>
      <c r="F22" s="11">
        <f>D22+E22</f>
        <v/>
      </c>
      <c r="G22" s="11">
        <f>C21</f>
        <v/>
      </c>
      <c r="H22" s="11">
        <f>IF(OR(G22="",A22="Savings"),"",C22-G22-F22)</f>
        <v/>
      </c>
      <c r="I22" s="45">
        <f>IF(OR(H22="",G22=0), "", H22/G22)</f>
        <v/>
      </c>
    </row>
    <row r="23">
      <c r="A23" s="5" t="inlineStr">
        <is>
          <t>Core MSCI World</t>
        </is>
      </c>
      <c r="B23" s="28" t="n">
        <v>46569</v>
      </c>
      <c r="C23" s="11">
        <f>SUMIFS(Month_End!$D:$D,Month_End!$A:$A,B23,Month_End!$B:$B,A23)</f>
        <v/>
      </c>
      <c r="D23" s="11">
        <f>SUMIFS(Transactions_PAC!$H:$H,Transactions_PAC!$B:$B,B23,Transactions_PAC!$C:$C,A23)</f>
        <v/>
      </c>
      <c r="E23" s="11">
        <f>SUMIFS(Transactions_Manual!$E:$E,Transactions_Manual!$B:$B,B23,Transactions_Manual!$C:$C,A23)</f>
        <v/>
      </c>
      <c r="F23" s="11">
        <f>D23+E23</f>
        <v/>
      </c>
      <c r="G23" s="11">
        <f>C22</f>
        <v/>
      </c>
      <c r="H23" s="11">
        <f>IF(OR(G23="",A23="Savings"),"",C23-G23-F23)</f>
        <v/>
      </c>
      <c r="I23" s="45">
        <f>IF(OR(H23="",G23=0), "", H23/G23)</f>
        <v/>
      </c>
    </row>
    <row r="24">
      <c r="A24" s="5" t="inlineStr">
        <is>
          <t>Core MSCI World</t>
        </is>
      </c>
      <c r="B24" s="28" t="n">
        <v>46600</v>
      </c>
      <c r="C24" s="11">
        <f>SUMIFS(Month_End!$D:$D,Month_End!$A:$A,B24,Month_End!$B:$B,A24)</f>
        <v/>
      </c>
      <c r="D24" s="11">
        <f>SUMIFS(Transactions_PAC!$H:$H,Transactions_PAC!$B:$B,B24,Transactions_PAC!$C:$C,A24)</f>
        <v/>
      </c>
      <c r="E24" s="11">
        <f>SUMIFS(Transactions_Manual!$E:$E,Transactions_Manual!$B:$B,B24,Transactions_Manual!$C:$C,A24)</f>
        <v/>
      </c>
      <c r="F24" s="11">
        <f>D24+E24</f>
        <v/>
      </c>
      <c r="G24" s="11">
        <f>C23</f>
        <v/>
      </c>
      <c r="H24" s="11">
        <f>IF(OR(G24="",A24="Savings"),"",C24-G24-F24)</f>
        <v/>
      </c>
      <c r="I24" s="45">
        <f>IF(OR(H24="",G24=0), "", H24/G24)</f>
        <v/>
      </c>
    </row>
    <row r="25">
      <c r="A25" s="5" t="inlineStr">
        <is>
          <t>Core MSCI World</t>
        </is>
      </c>
      <c r="B25" s="28" t="n">
        <v>46631</v>
      </c>
      <c r="C25" s="11">
        <f>SUMIFS(Month_End!$D:$D,Month_End!$A:$A,B25,Month_End!$B:$B,A25)</f>
        <v/>
      </c>
      <c r="D25" s="11">
        <f>SUMIFS(Transactions_PAC!$H:$H,Transactions_PAC!$B:$B,B25,Transactions_PAC!$C:$C,A25)</f>
        <v/>
      </c>
      <c r="E25" s="11">
        <f>SUMIFS(Transactions_Manual!$E:$E,Transactions_Manual!$B:$B,B25,Transactions_Manual!$C:$C,A25)</f>
        <v/>
      </c>
      <c r="F25" s="11">
        <f>D25+E25</f>
        <v/>
      </c>
      <c r="G25" s="11">
        <f>C24</f>
        <v/>
      </c>
      <c r="H25" s="11">
        <f>IF(OR(G25="",A25="Savings"),"",C25-G25-F25)</f>
        <v/>
      </c>
      <c r="I25" s="45">
        <f>IF(OR(H25="",G25=0), "", H25/G25)</f>
        <v/>
      </c>
    </row>
    <row r="26">
      <c r="A26" s="5" t="inlineStr">
        <is>
          <t>Core MSCI World</t>
        </is>
      </c>
      <c r="B26" s="28" t="n">
        <v>46661</v>
      </c>
      <c r="C26" s="11">
        <f>SUMIFS(Month_End!$D:$D,Month_End!$A:$A,B26,Month_End!$B:$B,A26)</f>
        <v/>
      </c>
      <c r="D26" s="11">
        <f>SUMIFS(Transactions_PAC!$H:$H,Transactions_PAC!$B:$B,B26,Transactions_PAC!$C:$C,A26)</f>
        <v/>
      </c>
      <c r="E26" s="11">
        <f>SUMIFS(Transactions_Manual!$E:$E,Transactions_Manual!$B:$B,B26,Transactions_Manual!$C:$C,A26)</f>
        <v/>
      </c>
      <c r="F26" s="11">
        <f>D26+E26</f>
        <v/>
      </c>
      <c r="G26" s="11">
        <f>C25</f>
        <v/>
      </c>
      <c r="H26" s="11">
        <f>IF(OR(G26="",A26="Savings"),"",C26-G26-F26)</f>
        <v/>
      </c>
      <c r="I26" s="45">
        <f>IF(OR(H26="",G26=0), "", H26/G26)</f>
        <v/>
      </c>
    </row>
    <row r="27">
      <c r="A27" s="5" t="inlineStr">
        <is>
          <t>Core MSCI World</t>
        </is>
      </c>
      <c r="B27" s="28" t="n">
        <v>46692</v>
      </c>
      <c r="C27" s="11">
        <f>SUMIFS(Month_End!$D:$D,Month_End!$A:$A,B27,Month_End!$B:$B,A27)</f>
        <v/>
      </c>
      <c r="D27" s="11">
        <f>SUMIFS(Transactions_PAC!$H:$H,Transactions_PAC!$B:$B,B27,Transactions_PAC!$C:$C,A27)</f>
        <v/>
      </c>
      <c r="E27" s="11">
        <f>SUMIFS(Transactions_Manual!$E:$E,Transactions_Manual!$B:$B,B27,Transactions_Manual!$C:$C,A27)</f>
        <v/>
      </c>
      <c r="F27" s="11">
        <f>D27+E27</f>
        <v/>
      </c>
      <c r="G27" s="11">
        <f>C26</f>
        <v/>
      </c>
      <c r="H27" s="11">
        <f>IF(OR(G27="",A27="Savings"),"",C27-G27-F27)</f>
        <v/>
      </c>
      <c r="I27" s="45">
        <f>IF(OR(H27="",G27=0), "", H27/G27)</f>
        <v/>
      </c>
    </row>
    <row r="28">
      <c r="A28" s="5" t="inlineStr">
        <is>
          <t>Core MSCI World</t>
        </is>
      </c>
      <c r="B28" s="28" t="n">
        <v>46722</v>
      </c>
      <c r="C28" s="11">
        <f>SUMIFS(Month_End!$D:$D,Month_End!$A:$A,B28,Month_End!$B:$B,A28)</f>
        <v/>
      </c>
      <c r="D28" s="11">
        <f>SUMIFS(Transactions_PAC!$H:$H,Transactions_PAC!$B:$B,B28,Transactions_PAC!$C:$C,A28)</f>
        <v/>
      </c>
      <c r="E28" s="11">
        <f>SUMIFS(Transactions_Manual!$E:$E,Transactions_Manual!$B:$B,B28,Transactions_Manual!$C:$C,A28)</f>
        <v/>
      </c>
      <c r="F28" s="11">
        <f>D28+E28</f>
        <v/>
      </c>
      <c r="G28" s="11">
        <f>C27</f>
        <v/>
      </c>
      <c r="H28" s="11">
        <f>IF(OR(G28="",A28="Savings"),"",C28-G28-F28)</f>
        <v/>
      </c>
      <c r="I28" s="45">
        <f>IF(OR(H28="",G28=0), "", H28/G28)</f>
        <v/>
      </c>
    </row>
    <row r="29">
      <c r="A29" s="5" t="inlineStr">
        <is>
          <t>Core MSCI World</t>
        </is>
      </c>
      <c r="B29" s="28" t="n">
        <v>46753</v>
      </c>
      <c r="C29" s="11">
        <f>SUMIFS(Month_End!$D:$D,Month_End!$A:$A,B29,Month_End!$B:$B,A29)</f>
        <v/>
      </c>
      <c r="D29" s="11">
        <f>SUMIFS(Transactions_PAC!$H:$H,Transactions_PAC!$B:$B,B29,Transactions_PAC!$C:$C,A29)</f>
        <v/>
      </c>
      <c r="E29" s="11">
        <f>SUMIFS(Transactions_Manual!$E:$E,Transactions_Manual!$B:$B,B29,Transactions_Manual!$C:$C,A29)</f>
        <v/>
      </c>
      <c r="F29" s="11">
        <f>D29+E29</f>
        <v/>
      </c>
      <c r="G29" s="11">
        <f>C28</f>
        <v/>
      </c>
      <c r="H29" s="11">
        <f>IF(OR(G29="",A29="Savings"),"",C29-G29-F29)</f>
        <v/>
      </c>
      <c r="I29" s="45">
        <f>IF(OR(H29="",G29=0), "", H29/G29)</f>
        <v/>
      </c>
    </row>
    <row r="30">
      <c r="A30" s="5" t="inlineStr">
        <is>
          <t>Core MSCI World</t>
        </is>
      </c>
      <c r="B30" s="28" t="n">
        <v>46784</v>
      </c>
      <c r="C30" s="11">
        <f>SUMIFS(Month_End!$D:$D,Month_End!$A:$A,B30,Month_End!$B:$B,A30)</f>
        <v/>
      </c>
      <c r="D30" s="11">
        <f>SUMIFS(Transactions_PAC!$H:$H,Transactions_PAC!$B:$B,B30,Transactions_PAC!$C:$C,A30)</f>
        <v/>
      </c>
      <c r="E30" s="11">
        <f>SUMIFS(Transactions_Manual!$E:$E,Transactions_Manual!$B:$B,B30,Transactions_Manual!$C:$C,A30)</f>
        <v/>
      </c>
      <c r="F30" s="11">
        <f>D30+E30</f>
        <v/>
      </c>
      <c r="G30" s="11">
        <f>C29</f>
        <v/>
      </c>
      <c r="H30" s="11">
        <f>IF(OR(G30="",A30="Savings"),"",C30-G30-F30)</f>
        <v/>
      </c>
      <c r="I30" s="45">
        <f>IF(OR(H30="",G30=0), "", H30/G30)</f>
        <v/>
      </c>
    </row>
    <row r="31">
      <c r="A31" s="5" t="inlineStr">
        <is>
          <t>Core MSCI World</t>
        </is>
      </c>
      <c r="B31" s="28" t="n">
        <v>46813</v>
      </c>
      <c r="C31" s="11">
        <f>SUMIFS(Month_End!$D:$D,Month_End!$A:$A,B31,Month_End!$B:$B,A31)</f>
        <v/>
      </c>
      <c r="D31" s="11">
        <f>SUMIFS(Transactions_PAC!$H:$H,Transactions_PAC!$B:$B,B31,Transactions_PAC!$C:$C,A31)</f>
        <v/>
      </c>
      <c r="E31" s="11">
        <f>SUMIFS(Transactions_Manual!$E:$E,Transactions_Manual!$B:$B,B31,Transactions_Manual!$C:$C,A31)</f>
        <v/>
      </c>
      <c r="F31" s="11">
        <f>D31+E31</f>
        <v/>
      </c>
      <c r="G31" s="11">
        <f>C30</f>
        <v/>
      </c>
      <c r="H31" s="11">
        <f>IF(OR(G31="",A31="Savings"),"",C31-G31-F31)</f>
        <v/>
      </c>
      <c r="I31" s="45">
        <f>IF(OR(H31="",G31=0), "", H31/G31)</f>
        <v/>
      </c>
    </row>
    <row r="32">
      <c r="A32" s="5" t="inlineStr">
        <is>
          <t>Core MSCI World</t>
        </is>
      </c>
      <c r="B32" s="28" t="n">
        <v>46844</v>
      </c>
      <c r="C32" s="11">
        <f>SUMIFS(Month_End!$D:$D,Month_End!$A:$A,B32,Month_End!$B:$B,A32)</f>
        <v/>
      </c>
      <c r="D32" s="11">
        <f>SUMIFS(Transactions_PAC!$H:$H,Transactions_PAC!$B:$B,B32,Transactions_PAC!$C:$C,A32)</f>
        <v/>
      </c>
      <c r="E32" s="11">
        <f>SUMIFS(Transactions_Manual!$E:$E,Transactions_Manual!$B:$B,B32,Transactions_Manual!$C:$C,A32)</f>
        <v/>
      </c>
      <c r="F32" s="11">
        <f>D32+E32</f>
        <v/>
      </c>
      <c r="G32" s="11">
        <f>C31</f>
        <v/>
      </c>
      <c r="H32" s="11">
        <f>IF(OR(G32="",A32="Savings"),"",C32-G32-F32)</f>
        <v/>
      </c>
      <c r="I32" s="45">
        <f>IF(OR(H32="",G32=0), "", H32/G32)</f>
        <v/>
      </c>
    </row>
    <row r="33">
      <c r="A33" s="5" t="inlineStr">
        <is>
          <t>Core MSCI World</t>
        </is>
      </c>
      <c r="B33" s="28" t="n">
        <v>46874</v>
      </c>
      <c r="C33" s="11">
        <f>SUMIFS(Month_End!$D:$D,Month_End!$A:$A,B33,Month_End!$B:$B,A33)</f>
        <v/>
      </c>
      <c r="D33" s="11">
        <f>SUMIFS(Transactions_PAC!$H:$H,Transactions_PAC!$B:$B,B33,Transactions_PAC!$C:$C,A33)</f>
        <v/>
      </c>
      <c r="E33" s="11">
        <f>SUMIFS(Transactions_Manual!$E:$E,Transactions_Manual!$B:$B,B33,Transactions_Manual!$C:$C,A33)</f>
        <v/>
      </c>
      <c r="F33" s="11">
        <f>D33+E33</f>
        <v/>
      </c>
      <c r="G33" s="11">
        <f>C32</f>
        <v/>
      </c>
      <c r="H33" s="11">
        <f>IF(OR(G33="",A33="Savings"),"",C33-G33-F33)</f>
        <v/>
      </c>
      <c r="I33" s="45">
        <f>IF(OR(H33="",G33=0), "", H33/G33)</f>
        <v/>
      </c>
    </row>
    <row r="34">
      <c r="A34" s="5" t="inlineStr">
        <is>
          <t>Core MSCI World</t>
        </is>
      </c>
      <c r="B34" s="28" t="n">
        <v>46905</v>
      </c>
      <c r="C34" s="11">
        <f>SUMIFS(Month_End!$D:$D,Month_End!$A:$A,B34,Month_End!$B:$B,A34)</f>
        <v/>
      </c>
      <c r="D34" s="11">
        <f>SUMIFS(Transactions_PAC!$H:$H,Transactions_PAC!$B:$B,B34,Transactions_PAC!$C:$C,A34)</f>
        <v/>
      </c>
      <c r="E34" s="11">
        <f>SUMIFS(Transactions_Manual!$E:$E,Transactions_Manual!$B:$B,B34,Transactions_Manual!$C:$C,A34)</f>
        <v/>
      </c>
      <c r="F34" s="11">
        <f>D34+E34</f>
        <v/>
      </c>
      <c r="G34" s="11">
        <f>C33</f>
        <v/>
      </c>
      <c r="H34" s="11">
        <f>IF(OR(G34="",A34="Savings"),"",C34-G34-F34)</f>
        <v/>
      </c>
      <c r="I34" s="45">
        <f>IF(OR(H34="",G34=0), "", H34/G34)</f>
        <v/>
      </c>
    </row>
    <row r="35">
      <c r="A35" s="5" t="inlineStr">
        <is>
          <t>Core MSCI World</t>
        </is>
      </c>
      <c r="B35" s="28" t="n">
        <v>46935</v>
      </c>
      <c r="C35" s="11">
        <f>SUMIFS(Month_End!$D:$D,Month_End!$A:$A,B35,Month_End!$B:$B,A35)</f>
        <v/>
      </c>
      <c r="D35" s="11">
        <f>SUMIFS(Transactions_PAC!$H:$H,Transactions_PAC!$B:$B,B35,Transactions_PAC!$C:$C,A35)</f>
        <v/>
      </c>
      <c r="E35" s="11">
        <f>SUMIFS(Transactions_Manual!$E:$E,Transactions_Manual!$B:$B,B35,Transactions_Manual!$C:$C,A35)</f>
        <v/>
      </c>
      <c r="F35" s="11">
        <f>D35+E35</f>
        <v/>
      </c>
      <c r="G35" s="11">
        <f>C34</f>
        <v/>
      </c>
      <c r="H35" s="11">
        <f>IF(OR(G35="",A35="Savings"),"",C35-G35-F35)</f>
        <v/>
      </c>
      <c r="I35" s="45">
        <f>IF(OR(H35="",G35=0), "", H35/G35)</f>
        <v/>
      </c>
    </row>
    <row r="36">
      <c r="A36" s="5" t="inlineStr">
        <is>
          <t>Core MSCI World</t>
        </is>
      </c>
      <c r="B36" s="28" t="n">
        <v>46966</v>
      </c>
      <c r="C36" s="11">
        <f>SUMIFS(Month_End!$D:$D,Month_End!$A:$A,B36,Month_End!$B:$B,A36)</f>
        <v/>
      </c>
      <c r="D36" s="11">
        <f>SUMIFS(Transactions_PAC!$H:$H,Transactions_PAC!$B:$B,B36,Transactions_PAC!$C:$C,A36)</f>
        <v/>
      </c>
      <c r="E36" s="11">
        <f>SUMIFS(Transactions_Manual!$E:$E,Transactions_Manual!$B:$B,B36,Transactions_Manual!$C:$C,A36)</f>
        <v/>
      </c>
      <c r="F36" s="11">
        <f>D36+E36</f>
        <v/>
      </c>
      <c r="G36" s="11">
        <f>C35</f>
        <v/>
      </c>
      <c r="H36" s="11">
        <f>IF(OR(G36="",A36="Savings"),"",C36-G36-F36)</f>
        <v/>
      </c>
      <c r="I36" s="45">
        <f>IF(OR(H36="",G36=0), "", H36/G36)</f>
        <v/>
      </c>
    </row>
    <row r="37">
      <c r="A37" s="5" t="inlineStr">
        <is>
          <t>Core MSCI World</t>
        </is>
      </c>
      <c r="B37" s="28" t="n">
        <v>46997</v>
      </c>
      <c r="C37" s="11">
        <f>SUMIFS(Month_End!$D:$D,Month_End!$A:$A,B37,Month_End!$B:$B,A37)</f>
        <v/>
      </c>
      <c r="D37" s="11">
        <f>SUMIFS(Transactions_PAC!$H:$H,Transactions_PAC!$B:$B,B37,Transactions_PAC!$C:$C,A37)</f>
        <v/>
      </c>
      <c r="E37" s="11">
        <f>SUMIFS(Transactions_Manual!$E:$E,Transactions_Manual!$B:$B,B37,Transactions_Manual!$C:$C,A37)</f>
        <v/>
      </c>
      <c r="F37" s="11">
        <f>D37+E37</f>
        <v/>
      </c>
      <c r="G37" s="11">
        <f>C36</f>
        <v/>
      </c>
      <c r="H37" s="11">
        <f>IF(OR(G37="",A37="Savings"),"",C37-G37-F37)</f>
        <v/>
      </c>
      <c r="I37" s="45">
        <f>IF(OR(H37="",G37=0), "", H37/G37)</f>
        <v/>
      </c>
    </row>
    <row r="38">
      <c r="A38" s="5" t="inlineStr">
        <is>
          <t>Core MSCI World</t>
        </is>
      </c>
      <c r="B38" s="28" t="n">
        <v>47027</v>
      </c>
      <c r="C38" s="11">
        <f>SUMIFS(Month_End!$D:$D,Month_End!$A:$A,B38,Month_End!$B:$B,A38)</f>
        <v/>
      </c>
      <c r="D38" s="11">
        <f>SUMIFS(Transactions_PAC!$H:$H,Transactions_PAC!$B:$B,B38,Transactions_PAC!$C:$C,A38)</f>
        <v/>
      </c>
      <c r="E38" s="11">
        <f>SUMIFS(Transactions_Manual!$E:$E,Transactions_Manual!$B:$B,B38,Transactions_Manual!$C:$C,A38)</f>
        <v/>
      </c>
      <c r="F38" s="11">
        <f>D38+E38</f>
        <v/>
      </c>
      <c r="G38" s="11">
        <f>C37</f>
        <v/>
      </c>
      <c r="H38" s="11">
        <f>IF(OR(G38="",A38="Savings"),"",C38-G38-F38)</f>
        <v/>
      </c>
      <c r="I38" s="45">
        <f>IF(OR(H38="",G38=0), "", H38/G38)</f>
        <v/>
      </c>
    </row>
    <row r="39">
      <c r="A39" s="5" t="inlineStr">
        <is>
          <t>Core MSCI World</t>
        </is>
      </c>
      <c r="B39" s="28" t="n">
        <v>47058</v>
      </c>
      <c r="C39" s="11">
        <f>SUMIFS(Month_End!$D:$D,Month_End!$A:$A,B39,Month_End!$B:$B,A39)</f>
        <v/>
      </c>
      <c r="D39" s="11">
        <f>SUMIFS(Transactions_PAC!$H:$H,Transactions_PAC!$B:$B,B39,Transactions_PAC!$C:$C,A39)</f>
        <v/>
      </c>
      <c r="E39" s="11">
        <f>SUMIFS(Transactions_Manual!$E:$E,Transactions_Manual!$B:$B,B39,Transactions_Manual!$C:$C,A39)</f>
        <v/>
      </c>
      <c r="F39" s="11">
        <f>D39+E39</f>
        <v/>
      </c>
      <c r="G39" s="11">
        <f>C38</f>
        <v/>
      </c>
      <c r="H39" s="11">
        <f>IF(OR(G39="",A39="Savings"),"",C39-G39-F39)</f>
        <v/>
      </c>
      <c r="I39" s="45">
        <f>IF(OR(H39="",G39=0), "", H39/G39)</f>
        <v/>
      </c>
    </row>
    <row r="40">
      <c r="A40" s="5" t="inlineStr">
        <is>
          <t>Core MSCI World</t>
        </is>
      </c>
      <c r="B40" s="28" t="n">
        <v>47088</v>
      </c>
      <c r="C40" s="11">
        <f>SUMIFS(Month_End!$D:$D,Month_End!$A:$A,B40,Month_End!$B:$B,A40)</f>
        <v/>
      </c>
      <c r="D40" s="11">
        <f>SUMIFS(Transactions_PAC!$H:$H,Transactions_PAC!$B:$B,B40,Transactions_PAC!$C:$C,A40)</f>
        <v/>
      </c>
      <c r="E40" s="11">
        <f>SUMIFS(Transactions_Manual!$E:$E,Transactions_Manual!$B:$B,B40,Transactions_Manual!$C:$C,A40)</f>
        <v/>
      </c>
      <c r="F40" s="11">
        <f>D40+E40</f>
        <v/>
      </c>
      <c r="G40" s="11">
        <f>C39</f>
        <v/>
      </c>
      <c r="H40" s="11">
        <f>IF(OR(G40="",A40="Savings"),"",C40-G40-F40)</f>
        <v/>
      </c>
      <c r="I40" s="45">
        <f>IF(OR(H40="",G40=0), "", H40/G40)</f>
        <v/>
      </c>
    </row>
    <row r="41">
      <c r="A41" s="5" t="inlineStr">
        <is>
          <t>AI &amp; Big Data</t>
        </is>
      </c>
      <c r="B41" s="28" t="n">
        <v>45931</v>
      </c>
      <c r="C41" s="11">
        <f>SUMIFS(Month_End!$D:$D,Month_End!$A:$A,B41,Month_End!$B:$B,A41)</f>
        <v/>
      </c>
      <c r="D41" s="11">
        <f>SUMIFS(Transactions_PAC!$H:$H,Transactions_PAC!$B:$B,B41,Transactions_PAC!$C:$C,A41)</f>
        <v/>
      </c>
      <c r="E41" s="11">
        <f>SUMIFS(Transactions_Manual!$E:$E,Transactions_Manual!$B:$B,B41,Transactions_Manual!$C:$C,A41)</f>
        <v/>
      </c>
      <c r="F41" s="11">
        <f>D41+E41</f>
        <v/>
      </c>
      <c r="G41" s="11" t="inlineStr"/>
      <c r="H41" s="11">
        <f>IF(OR(G41="",A41="Savings"),"",C41-G41-F41)</f>
        <v/>
      </c>
      <c r="I41" s="45">
        <f>IF(OR(H41="",G41=0), "", H41/G41)</f>
        <v/>
      </c>
    </row>
    <row r="42">
      <c r="A42" s="5" t="inlineStr">
        <is>
          <t>AI &amp; Big Data</t>
        </is>
      </c>
      <c r="B42" s="28" t="n">
        <v>45962</v>
      </c>
      <c r="C42" s="11">
        <f>SUMIFS(Month_End!$D:$D,Month_End!$A:$A,B42,Month_End!$B:$B,A42)</f>
        <v/>
      </c>
      <c r="D42" s="11">
        <f>SUMIFS(Transactions_PAC!$H:$H,Transactions_PAC!$B:$B,B42,Transactions_PAC!$C:$C,A42)</f>
        <v/>
      </c>
      <c r="E42" s="11">
        <f>SUMIFS(Transactions_Manual!$E:$E,Transactions_Manual!$B:$B,B42,Transactions_Manual!$C:$C,A42)</f>
        <v/>
      </c>
      <c r="F42" s="11">
        <f>D42+E42</f>
        <v/>
      </c>
      <c r="G42" s="11">
        <f>C41</f>
        <v/>
      </c>
      <c r="H42" s="11">
        <f>IF(OR(G42="",A42="Savings"),"",C42-G42-F42)</f>
        <v/>
      </c>
      <c r="I42" s="45">
        <f>IF(OR(H42="",G42=0), "", H42/G42)</f>
        <v/>
      </c>
    </row>
    <row r="43">
      <c r="A43" s="5" t="inlineStr">
        <is>
          <t>AI &amp; Big Data</t>
        </is>
      </c>
      <c r="B43" s="28" t="n">
        <v>45992</v>
      </c>
      <c r="C43" s="11">
        <f>SUMIFS(Month_End!$D:$D,Month_End!$A:$A,B43,Month_End!$B:$B,A43)</f>
        <v/>
      </c>
      <c r="D43" s="11">
        <f>SUMIFS(Transactions_PAC!$H:$H,Transactions_PAC!$B:$B,B43,Transactions_PAC!$C:$C,A43)</f>
        <v/>
      </c>
      <c r="E43" s="11">
        <f>SUMIFS(Transactions_Manual!$E:$E,Transactions_Manual!$B:$B,B43,Transactions_Manual!$C:$C,A43)</f>
        <v/>
      </c>
      <c r="F43" s="11">
        <f>D43+E43</f>
        <v/>
      </c>
      <c r="G43" s="11">
        <f>C42</f>
        <v/>
      </c>
      <c r="H43" s="11">
        <f>IF(OR(G43="",A43="Savings"),"",C43-G43-F43)</f>
        <v/>
      </c>
      <c r="I43" s="45">
        <f>IF(OR(H43="",G43=0), "", H43/G43)</f>
        <v/>
      </c>
    </row>
    <row r="44">
      <c r="A44" s="5" t="inlineStr">
        <is>
          <t>AI &amp; Big Data</t>
        </is>
      </c>
      <c r="B44" s="28" t="n">
        <v>46023</v>
      </c>
      <c r="C44" s="11">
        <f>SUMIFS(Month_End!$D:$D,Month_End!$A:$A,B44,Month_End!$B:$B,A44)</f>
        <v/>
      </c>
      <c r="D44" s="11">
        <f>SUMIFS(Transactions_PAC!$H:$H,Transactions_PAC!$B:$B,B44,Transactions_PAC!$C:$C,A44)</f>
        <v/>
      </c>
      <c r="E44" s="11">
        <f>SUMIFS(Transactions_Manual!$E:$E,Transactions_Manual!$B:$B,B44,Transactions_Manual!$C:$C,A44)</f>
        <v/>
      </c>
      <c r="F44" s="11">
        <f>D44+E44</f>
        <v/>
      </c>
      <c r="G44" s="11">
        <f>C43</f>
        <v/>
      </c>
      <c r="H44" s="11">
        <f>IF(OR(G44="",A44="Savings"),"",C44-G44-F44)</f>
        <v/>
      </c>
      <c r="I44" s="45">
        <f>IF(OR(H44="",G44=0), "", H44/G44)</f>
        <v/>
      </c>
    </row>
    <row r="45">
      <c r="A45" s="5" t="inlineStr">
        <is>
          <t>AI &amp; Big Data</t>
        </is>
      </c>
      <c r="B45" s="28" t="n">
        <v>46054</v>
      </c>
      <c r="C45" s="11">
        <f>SUMIFS(Month_End!$D:$D,Month_End!$A:$A,B45,Month_End!$B:$B,A45)</f>
        <v/>
      </c>
      <c r="D45" s="11">
        <f>SUMIFS(Transactions_PAC!$H:$H,Transactions_PAC!$B:$B,B45,Transactions_PAC!$C:$C,A45)</f>
        <v/>
      </c>
      <c r="E45" s="11">
        <f>SUMIFS(Transactions_Manual!$E:$E,Transactions_Manual!$B:$B,B45,Transactions_Manual!$C:$C,A45)</f>
        <v/>
      </c>
      <c r="F45" s="11">
        <f>D45+E45</f>
        <v/>
      </c>
      <c r="G45" s="11">
        <f>C44</f>
        <v/>
      </c>
      <c r="H45" s="11">
        <f>IF(OR(G45="",A45="Savings"),"",C45-G45-F45)</f>
        <v/>
      </c>
      <c r="I45" s="45">
        <f>IF(OR(H45="",G45=0), "", H45/G45)</f>
        <v/>
      </c>
    </row>
    <row r="46">
      <c r="A46" s="5" t="inlineStr">
        <is>
          <t>AI &amp; Big Data</t>
        </is>
      </c>
      <c r="B46" s="28" t="n">
        <v>46082</v>
      </c>
      <c r="C46" s="11">
        <f>SUMIFS(Month_End!$D:$D,Month_End!$A:$A,B46,Month_End!$B:$B,A46)</f>
        <v/>
      </c>
      <c r="D46" s="11">
        <f>SUMIFS(Transactions_PAC!$H:$H,Transactions_PAC!$B:$B,B46,Transactions_PAC!$C:$C,A46)</f>
        <v/>
      </c>
      <c r="E46" s="11">
        <f>SUMIFS(Transactions_Manual!$E:$E,Transactions_Manual!$B:$B,B46,Transactions_Manual!$C:$C,A46)</f>
        <v/>
      </c>
      <c r="F46" s="11">
        <f>D46+E46</f>
        <v/>
      </c>
      <c r="G46" s="11">
        <f>C45</f>
        <v/>
      </c>
      <c r="H46" s="11">
        <f>IF(OR(G46="",A46="Savings"),"",C46-G46-F46)</f>
        <v/>
      </c>
      <c r="I46" s="45">
        <f>IF(OR(H46="",G46=0), "", H46/G46)</f>
        <v/>
      </c>
    </row>
    <row r="47">
      <c r="A47" s="5" t="inlineStr">
        <is>
          <t>AI &amp; Big Data</t>
        </is>
      </c>
      <c r="B47" s="28" t="n">
        <v>46113</v>
      </c>
      <c r="C47" s="11">
        <f>SUMIFS(Month_End!$D:$D,Month_End!$A:$A,B47,Month_End!$B:$B,A47)</f>
        <v/>
      </c>
      <c r="D47" s="11">
        <f>SUMIFS(Transactions_PAC!$H:$H,Transactions_PAC!$B:$B,B47,Transactions_PAC!$C:$C,A47)</f>
        <v/>
      </c>
      <c r="E47" s="11">
        <f>SUMIFS(Transactions_Manual!$E:$E,Transactions_Manual!$B:$B,B47,Transactions_Manual!$C:$C,A47)</f>
        <v/>
      </c>
      <c r="F47" s="11">
        <f>D47+E47</f>
        <v/>
      </c>
      <c r="G47" s="11">
        <f>C46</f>
        <v/>
      </c>
      <c r="H47" s="11">
        <f>IF(OR(G47="",A47="Savings"),"",C47-G47-F47)</f>
        <v/>
      </c>
      <c r="I47" s="45">
        <f>IF(OR(H47="",G47=0), "", H47/G47)</f>
        <v/>
      </c>
    </row>
    <row r="48">
      <c r="A48" s="5" t="inlineStr">
        <is>
          <t>AI &amp; Big Data</t>
        </is>
      </c>
      <c r="B48" s="28" t="n">
        <v>46143</v>
      </c>
      <c r="C48" s="11">
        <f>SUMIFS(Month_End!$D:$D,Month_End!$A:$A,B48,Month_End!$B:$B,A48)</f>
        <v/>
      </c>
      <c r="D48" s="11">
        <f>SUMIFS(Transactions_PAC!$H:$H,Transactions_PAC!$B:$B,B48,Transactions_PAC!$C:$C,A48)</f>
        <v/>
      </c>
      <c r="E48" s="11">
        <f>SUMIFS(Transactions_Manual!$E:$E,Transactions_Manual!$B:$B,B48,Transactions_Manual!$C:$C,A48)</f>
        <v/>
      </c>
      <c r="F48" s="11">
        <f>D48+E48</f>
        <v/>
      </c>
      <c r="G48" s="11">
        <f>C47</f>
        <v/>
      </c>
      <c r="H48" s="11">
        <f>IF(OR(G48="",A48="Savings"),"",C48-G48-F48)</f>
        <v/>
      </c>
      <c r="I48" s="45">
        <f>IF(OR(H48="",G48=0), "", H48/G48)</f>
        <v/>
      </c>
    </row>
    <row r="49">
      <c r="A49" s="5" t="inlineStr">
        <is>
          <t>AI &amp; Big Data</t>
        </is>
      </c>
      <c r="B49" s="28" t="n">
        <v>46174</v>
      </c>
      <c r="C49" s="11">
        <f>SUMIFS(Month_End!$D:$D,Month_End!$A:$A,B49,Month_End!$B:$B,A49)</f>
        <v/>
      </c>
      <c r="D49" s="11">
        <f>SUMIFS(Transactions_PAC!$H:$H,Transactions_PAC!$B:$B,B49,Transactions_PAC!$C:$C,A49)</f>
        <v/>
      </c>
      <c r="E49" s="11">
        <f>SUMIFS(Transactions_Manual!$E:$E,Transactions_Manual!$B:$B,B49,Transactions_Manual!$C:$C,A49)</f>
        <v/>
      </c>
      <c r="F49" s="11">
        <f>D49+E49</f>
        <v/>
      </c>
      <c r="G49" s="11">
        <f>C48</f>
        <v/>
      </c>
      <c r="H49" s="11">
        <f>IF(OR(G49="",A49="Savings"),"",C49-G49-F49)</f>
        <v/>
      </c>
      <c r="I49" s="45">
        <f>IF(OR(H49="",G49=0), "", H49/G49)</f>
        <v/>
      </c>
    </row>
    <row r="50">
      <c r="A50" s="5" t="inlineStr">
        <is>
          <t>AI &amp; Big Data</t>
        </is>
      </c>
      <c r="B50" s="28" t="n">
        <v>46204</v>
      </c>
      <c r="C50" s="11">
        <f>SUMIFS(Month_End!$D:$D,Month_End!$A:$A,B50,Month_End!$B:$B,A50)</f>
        <v/>
      </c>
      <c r="D50" s="11">
        <f>SUMIFS(Transactions_PAC!$H:$H,Transactions_PAC!$B:$B,B50,Transactions_PAC!$C:$C,A50)</f>
        <v/>
      </c>
      <c r="E50" s="11">
        <f>SUMIFS(Transactions_Manual!$E:$E,Transactions_Manual!$B:$B,B50,Transactions_Manual!$C:$C,A50)</f>
        <v/>
      </c>
      <c r="F50" s="11">
        <f>D50+E50</f>
        <v/>
      </c>
      <c r="G50" s="11">
        <f>C49</f>
        <v/>
      </c>
      <c r="H50" s="11">
        <f>IF(OR(G50="",A50="Savings"),"",C50-G50-F50)</f>
        <v/>
      </c>
      <c r="I50" s="45">
        <f>IF(OR(H50="",G50=0), "", H50/G50)</f>
        <v/>
      </c>
    </row>
    <row r="51">
      <c r="A51" s="5" t="inlineStr">
        <is>
          <t>AI &amp; Big Data</t>
        </is>
      </c>
      <c r="B51" s="28" t="n">
        <v>46235</v>
      </c>
      <c r="C51" s="11">
        <f>SUMIFS(Month_End!$D:$D,Month_End!$A:$A,B51,Month_End!$B:$B,A51)</f>
        <v/>
      </c>
      <c r="D51" s="11">
        <f>SUMIFS(Transactions_PAC!$H:$H,Transactions_PAC!$B:$B,B51,Transactions_PAC!$C:$C,A51)</f>
        <v/>
      </c>
      <c r="E51" s="11">
        <f>SUMIFS(Transactions_Manual!$E:$E,Transactions_Manual!$B:$B,B51,Transactions_Manual!$C:$C,A51)</f>
        <v/>
      </c>
      <c r="F51" s="11">
        <f>D51+E51</f>
        <v/>
      </c>
      <c r="G51" s="11">
        <f>C50</f>
        <v/>
      </c>
      <c r="H51" s="11">
        <f>IF(OR(G51="",A51="Savings"),"",C51-G51-F51)</f>
        <v/>
      </c>
      <c r="I51" s="45">
        <f>IF(OR(H51="",G51=0), "", H51/G51)</f>
        <v/>
      </c>
    </row>
    <row r="52">
      <c r="A52" s="5" t="inlineStr">
        <is>
          <t>AI &amp; Big Data</t>
        </is>
      </c>
      <c r="B52" s="28" t="n">
        <v>46266</v>
      </c>
      <c r="C52" s="11">
        <f>SUMIFS(Month_End!$D:$D,Month_End!$A:$A,B52,Month_End!$B:$B,A52)</f>
        <v/>
      </c>
      <c r="D52" s="11">
        <f>SUMIFS(Transactions_PAC!$H:$H,Transactions_PAC!$B:$B,B52,Transactions_PAC!$C:$C,A52)</f>
        <v/>
      </c>
      <c r="E52" s="11">
        <f>SUMIFS(Transactions_Manual!$E:$E,Transactions_Manual!$B:$B,B52,Transactions_Manual!$C:$C,A52)</f>
        <v/>
      </c>
      <c r="F52" s="11">
        <f>D52+E52</f>
        <v/>
      </c>
      <c r="G52" s="11">
        <f>C51</f>
        <v/>
      </c>
      <c r="H52" s="11">
        <f>IF(OR(G52="",A52="Savings"),"",C52-G52-F52)</f>
        <v/>
      </c>
      <c r="I52" s="45">
        <f>IF(OR(H52="",G52=0), "", H52/G52)</f>
        <v/>
      </c>
    </row>
    <row r="53">
      <c r="A53" s="5" t="inlineStr">
        <is>
          <t>AI &amp; Big Data</t>
        </is>
      </c>
      <c r="B53" s="28" t="n">
        <v>46296</v>
      </c>
      <c r="C53" s="11">
        <f>SUMIFS(Month_End!$D:$D,Month_End!$A:$A,B53,Month_End!$B:$B,A53)</f>
        <v/>
      </c>
      <c r="D53" s="11">
        <f>SUMIFS(Transactions_PAC!$H:$H,Transactions_PAC!$B:$B,B53,Transactions_PAC!$C:$C,A53)</f>
        <v/>
      </c>
      <c r="E53" s="11">
        <f>SUMIFS(Transactions_Manual!$E:$E,Transactions_Manual!$B:$B,B53,Transactions_Manual!$C:$C,A53)</f>
        <v/>
      </c>
      <c r="F53" s="11">
        <f>D53+E53</f>
        <v/>
      </c>
      <c r="G53" s="11">
        <f>C52</f>
        <v/>
      </c>
      <c r="H53" s="11">
        <f>IF(OR(G53="",A53="Savings"),"",C53-G53-F53)</f>
        <v/>
      </c>
      <c r="I53" s="45">
        <f>IF(OR(H53="",G53=0), "", H53/G53)</f>
        <v/>
      </c>
    </row>
    <row r="54">
      <c r="A54" s="5" t="inlineStr">
        <is>
          <t>AI &amp; Big Data</t>
        </is>
      </c>
      <c r="B54" s="28" t="n">
        <v>46327</v>
      </c>
      <c r="C54" s="11">
        <f>SUMIFS(Month_End!$D:$D,Month_End!$A:$A,B54,Month_End!$B:$B,A54)</f>
        <v/>
      </c>
      <c r="D54" s="11">
        <f>SUMIFS(Transactions_PAC!$H:$H,Transactions_PAC!$B:$B,B54,Transactions_PAC!$C:$C,A54)</f>
        <v/>
      </c>
      <c r="E54" s="11">
        <f>SUMIFS(Transactions_Manual!$E:$E,Transactions_Manual!$B:$B,B54,Transactions_Manual!$C:$C,A54)</f>
        <v/>
      </c>
      <c r="F54" s="11">
        <f>D54+E54</f>
        <v/>
      </c>
      <c r="G54" s="11">
        <f>C53</f>
        <v/>
      </c>
      <c r="H54" s="11">
        <f>IF(OR(G54="",A54="Savings"),"",C54-G54-F54)</f>
        <v/>
      </c>
      <c r="I54" s="45">
        <f>IF(OR(H54="",G54=0), "", H54/G54)</f>
        <v/>
      </c>
    </row>
    <row r="55">
      <c r="A55" s="5" t="inlineStr">
        <is>
          <t>AI &amp; Big Data</t>
        </is>
      </c>
      <c r="B55" s="28" t="n">
        <v>46357</v>
      </c>
      <c r="C55" s="11">
        <f>SUMIFS(Month_End!$D:$D,Month_End!$A:$A,B55,Month_End!$B:$B,A55)</f>
        <v/>
      </c>
      <c r="D55" s="11">
        <f>SUMIFS(Transactions_PAC!$H:$H,Transactions_PAC!$B:$B,B55,Transactions_PAC!$C:$C,A55)</f>
        <v/>
      </c>
      <c r="E55" s="11">
        <f>SUMIFS(Transactions_Manual!$E:$E,Transactions_Manual!$B:$B,B55,Transactions_Manual!$C:$C,A55)</f>
        <v/>
      </c>
      <c r="F55" s="11">
        <f>D55+E55</f>
        <v/>
      </c>
      <c r="G55" s="11">
        <f>C54</f>
        <v/>
      </c>
      <c r="H55" s="11">
        <f>IF(OR(G55="",A55="Savings"),"",C55-G55-F55)</f>
        <v/>
      </c>
      <c r="I55" s="45">
        <f>IF(OR(H55="",G55=0), "", H55/G55)</f>
        <v/>
      </c>
    </row>
    <row r="56">
      <c r="A56" s="5" t="inlineStr">
        <is>
          <t>AI &amp; Big Data</t>
        </is>
      </c>
      <c r="B56" s="28" t="n">
        <v>46388</v>
      </c>
      <c r="C56" s="11">
        <f>SUMIFS(Month_End!$D:$D,Month_End!$A:$A,B56,Month_End!$B:$B,A56)</f>
        <v/>
      </c>
      <c r="D56" s="11">
        <f>SUMIFS(Transactions_PAC!$H:$H,Transactions_PAC!$B:$B,B56,Transactions_PAC!$C:$C,A56)</f>
        <v/>
      </c>
      <c r="E56" s="11">
        <f>SUMIFS(Transactions_Manual!$E:$E,Transactions_Manual!$B:$B,B56,Transactions_Manual!$C:$C,A56)</f>
        <v/>
      </c>
      <c r="F56" s="11">
        <f>D56+E56</f>
        <v/>
      </c>
      <c r="G56" s="11">
        <f>C55</f>
        <v/>
      </c>
      <c r="H56" s="11">
        <f>IF(OR(G56="",A56="Savings"),"",C56-G56-F56)</f>
        <v/>
      </c>
      <c r="I56" s="45">
        <f>IF(OR(H56="",G56=0), "", H56/G56)</f>
        <v/>
      </c>
    </row>
    <row r="57">
      <c r="A57" s="5" t="inlineStr">
        <is>
          <t>AI &amp; Big Data</t>
        </is>
      </c>
      <c r="B57" s="28" t="n">
        <v>46419</v>
      </c>
      <c r="C57" s="11">
        <f>SUMIFS(Month_End!$D:$D,Month_End!$A:$A,B57,Month_End!$B:$B,A57)</f>
        <v/>
      </c>
      <c r="D57" s="11">
        <f>SUMIFS(Transactions_PAC!$H:$H,Transactions_PAC!$B:$B,B57,Transactions_PAC!$C:$C,A57)</f>
        <v/>
      </c>
      <c r="E57" s="11">
        <f>SUMIFS(Transactions_Manual!$E:$E,Transactions_Manual!$B:$B,B57,Transactions_Manual!$C:$C,A57)</f>
        <v/>
      </c>
      <c r="F57" s="11">
        <f>D57+E57</f>
        <v/>
      </c>
      <c r="G57" s="11">
        <f>C56</f>
        <v/>
      </c>
      <c r="H57" s="11">
        <f>IF(OR(G57="",A57="Savings"),"",C57-G57-F57)</f>
        <v/>
      </c>
      <c r="I57" s="45">
        <f>IF(OR(H57="",G57=0), "", H57/G57)</f>
        <v/>
      </c>
    </row>
    <row r="58">
      <c r="A58" s="5" t="inlineStr">
        <is>
          <t>AI &amp; Big Data</t>
        </is>
      </c>
      <c r="B58" s="28" t="n">
        <v>46447</v>
      </c>
      <c r="C58" s="11">
        <f>SUMIFS(Month_End!$D:$D,Month_End!$A:$A,B58,Month_End!$B:$B,A58)</f>
        <v/>
      </c>
      <c r="D58" s="11">
        <f>SUMIFS(Transactions_PAC!$H:$H,Transactions_PAC!$B:$B,B58,Transactions_PAC!$C:$C,A58)</f>
        <v/>
      </c>
      <c r="E58" s="11">
        <f>SUMIFS(Transactions_Manual!$E:$E,Transactions_Manual!$B:$B,B58,Transactions_Manual!$C:$C,A58)</f>
        <v/>
      </c>
      <c r="F58" s="11">
        <f>D58+E58</f>
        <v/>
      </c>
      <c r="G58" s="11">
        <f>C57</f>
        <v/>
      </c>
      <c r="H58" s="11">
        <f>IF(OR(G58="",A58="Savings"),"",C58-G58-F58)</f>
        <v/>
      </c>
      <c r="I58" s="45">
        <f>IF(OR(H58="",G58=0), "", H58/G58)</f>
        <v/>
      </c>
    </row>
    <row r="59">
      <c r="A59" s="5" t="inlineStr">
        <is>
          <t>AI &amp; Big Data</t>
        </is>
      </c>
      <c r="B59" s="28" t="n">
        <v>46478</v>
      </c>
      <c r="C59" s="11">
        <f>SUMIFS(Month_End!$D:$D,Month_End!$A:$A,B59,Month_End!$B:$B,A59)</f>
        <v/>
      </c>
      <c r="D59" s="11">
        <f>SUMIFS(Transactions_PAC!$H:$H,Transactions_PAC!$B:$B,B59,Transactions_PAC!$C:$C,A59)</f>
        <v/>
      </c>
      <c r="E59" s="11">
        <f>SUMIFS(Transactions_Manual!$E:$E,Transactions_Manual!$B:$B,B59,Transactions_Manual!$C:$C,A59)</f>
        <v/>
      </c>
      <c r="F59" s="11">
        <f>D59+E59</f>
        <v/>
      </c>
      <c r="G59" s="11">
        <f>C58</f>
        <v/>
      </c>
      <c r="H59" s="11">
        <f>IF(OR(G59="",A59="Savings"),"",C59-G59-F59)</f>
        <v/>
      </c>
      <c r="I59" s="45">
        <f>IF(OR(H59="",G59=0), "", H59/G59)</f>
        <v/>
      </c>
    </row>
    <row r="60">
      <c r="A60" s="5" t="inlineStr">
        <is>
          <t>AI &amp; Big Data</t>
        </is>
      </c>
      <c r="B60" s="28" t="n">
        <v>46508</v>
      </c>
      <c r="C60" s="11">
        <f>SUMIFS(Month_End!$D:$D,Month_End!$A:$A,B60,Month_End!$B:$B,A60)</f>
        <v/>
      </c>
      <c r="D60" s="11">
        <f>SUMIFS(Transactions_PAC!$H:$H,Transactions_PAC!$B:$B,B60,Transactions_PAC!$C:$C,A60)</f>
        <v/>
      </c>
      <c r="E60" s="11">
        <f>SUMIFS(Transactions_Manual!$E:$E,Transactions_Manual!$B:$B,B60,Transactions_Manual!$C:$C,A60)</f>
        <v/>
      </c>
      <c r="F60" s="11">
        <f>D60+E60</f>
        <v/>
      </c>
      <c r="G60" s="11">
        <f>C59</f>
        <v/>
      </c>
      <c r="H60" s="11">
        <f>IF(OR(G60="",A60="Savings"),"",C60-G60-F60)</f>
        <v/>
      </c>
      <c r="I60" s="45">
        <f>IF(OR(H60="",G60=0), "", H60/G60)</f>
        <v/>
      </c>
    </row>
    <row r="61">
      <c r="A61" s="5" t="inlineStr">
        <is>
          <t>AI &amp; Big Data</t>
        </is>
      </c>
      <c r="B61" s="28" t="n">
        <v>46539</v>
      </c>
      <c r="C61" s="11">
        <f>SUMIFS(Month_End!$D:$D,Month_End!$A:$A,B61,Month_End!$B:$B,A61)</f>
        <v/>
      </c>
      <c r="D61" s="11">
        <f>SUMIFS(Transactions_PAC!$H:$H,Transactions_PAC!$B:$B,B61,Transactions_PAC!$C:$C,A61)</f>
        <v/>
      </c>
      <c r="E61" s="11">
        <f>SUMIFS(Transactions_Manual!$E:$E,Transactions_Manual!$B:$B,B61,Transactions_Manual!$C:$C,A61)</f>
        <v/>
      </c>
      <c r="F61" s="11">
        <f>D61+E61</f>
        <v/>
      </c>
      <c r="G61" s="11">
        <f>C60</f>
        <v/>
      </c>
      <c r="H61" s="11">
        <f>IF(OR(G61="",A61="Savings"),"",C61-G61-F61)</f>
        <v/>
      </c>
      <c r="I61" s="45">
        <f>IF(OR(H61="",G61=0), "", H61/G61)</f>
        <v/>
      </c>
    </row>
    <row r="62">
      <c r="A62" s="5" t="inlineStr">
        <is>
          <t>AI &amp; Big Data</t>
        </is>
      </c>
      <c r="B62" s="28" t="n">
        <v>46569</v>
      </c>
      <c r="C62" s="11">
        <f>SUMIFS(Month_End!$D:$D,Month_End!$A:$A,B62,Month_End!$B:$B,A62)</f>
        <v/>
      </c>
      <c r="D62" s="11">
        <f>SUMIFS(Transactions_PAC!$H:$H,Transactions_PAC!$B:$B,B62,Transactions_PAC!$C:$C,A62)</f>
        <v/>
      </c>
      <c r="E62" s="11">
        <f>SUMIFS(Transactions_Manual!$E:$E,Transactions_Manual!$B:$B,B62,Transactions_Manual!$C:$C,A62)</f>
        <v/>
      </c>
      <c r="F62" s="11">
        <f>D62+E62</f>
        <v/>
      </c>
      <c r="G62" s="11">
        <f>C61</f>
        <v/>
      </c>
      <c r="H62" s="11">
        <f>IF(OR(G62="",A62="Savings"),"",C62-G62-F62)</f>
        <v/>
      </c>
      <c r="I62" s="45">
        <f>IF(OR(H62="",G62=0), "", H62/G62)</f>
        <v/>
      </c>
    </row>
    <row r="63">
      <c r="A63" s="5" t="inlineStr">
        <is>
          <t>AI &amp; Big Data</t>
        </is>
      </c>
      <c r="B63" s="28" t="n">
        <v>46600</v>
      </c>
      <c r="C63" s="11">
        <f>SUMIFS(Month_End!$D:$D,Month_End!$A:$A,B63,Month_End!$B:$B,A63)</f>
        <v/>
      </c>
      <c r="D63" s="11">
        <f>SUMIFS(Transactions_PAC!$H:$H,Transactions_PAC!$B:$B,B63,Transactions_PAC!$C:$C,A63)</f>
        <v/>
      </c>
      <c r="E63" s="11">
        <f>SUMIFS(Transactions_Manual!$E:$E,Transactions_Manual!$B:$B,B63,Transactions_Manual!$C:$C,A63)</f>
        <v/>
      </c>
      <c r="F63" s="11">
        <f>D63+E63</f>
        <v/>
      </c>
      <c r="G63" s="11">
        <f>C62</f>
        <v/>
      </c>
      <c r="H63" s="11">
        <f>IF(OR(G63="",A63="Savings"),"",C63-G63-F63)</f>
        <v/>
      </c>
      <c r="I63" s="45">
        <f>IF(OR(H63="",G63=0), "", H63/G63)</f>
        <v/>
      </c>
    </row>
    <row r="64">
      <c r="A64" s="5" t="inlineStr">
        <is>
          <t>AI &amp; Big Data</t>
        </is>
      </c>
      <c r="B64" s="28" t="n">
        <v>46631</v>
      </c>
      <c r="C64" s="11">
        <f>SUMIFS(Month_End!$D:$D,Month_End!$A:$A,B64,Month_End!$B:$B,A64)</f>
        <v/>
      </c>
      <c r="D64" s="11">
        <f>SUMIFS(Transactions_PAC!$H:$H,Transactions_PAC!$B:$B,B64,Transactions_PAC!$C:$C,A64)</f>
        <v/>
      </c>
      <c r="E64" s="11">
        <f>SUMIFS(Transactions_Manual!$E:$E,Transactions_Manual!$B:$B,B64,Transactions_Manual!$C:$C,A64)</f>
        <v/>
      </c>
      <c r="F64" s="11">
        <f>D64+E64</f>
        <v/>
      </c>
      <c r="G64" s="11">
        <f>C63</f>
        <v/>
      </c>
      <c r="H64" s="11">
        <f>IF(OR(G64="",A64="Savings"),"",C64-G64-F64)</f>
        <v/>
      </c>
      <c r="I64" s="45">
        <f>IF(OR(H64="",G64=0), "", H64/G64)</f>
        <v/>
      </c>
    </row>
    <row r="65">
      <c r="A65" s="5" t="inlineStr">
        <is>
          <t>AI &amp; Big Data</t>
        </is>
      </c>
      <c r="B65" s="28" t="n">
        <v>46661</v>
      </c>
      <c r="C65" s="11">
        <f>SUMIFS(Month_End!$D:$D,Month_End!$A:$A,B65,Month_End!$B:$B,A65)</f>
        <v/>
      </c>
      <c r="D65" s="11">
        <f>SUMIFS(Transactions_PAC!$H:$H,Transactions_PAC!$B:$B,B65,Transactions_PAC!$C:$C,A65)</f>
        <v/>
      </c>
      <c r="E65" s="11">
        <f>SUMIFS(Transactions_Manual!$E:$E,Transactions_Manual!$B:$B,B65,Transactions_Manual!$C:$C,A65)</f>
        <v/>
      </c>
      <c r="F65" s="11">
        <f>D65+E65</f>
        <v/>
      </c>
      <c r="G65" s="11">
        <f>C64</f>
        <v/>
      </c>
      <c r="H65" s="11">
        <f>IF(OR(G65="",A65="Savings"),"",C65-G65-F65)</f>
        <v/>
      </c>
      <c r="I65" s="45">
        <f>IF(OR(H65="",G65=0), "", H65/G65)</f>
        <v/>
      </c>
    </row>
    <row r="66">
      <c r="A66" s="5" t="inlineStr">
        <is>
          <t>AI &amp; Big Data</t>
        </is>
      </c>
      <c r="B66" s="28" t="n">
        <v>46692</v>
      </c>
      <c r="C66" s="11">
        <f>SUMIFS(Month_End!$D:$D,Month_End!$A:$A,B66,Month_End!$B:$B,A66)</f>
        <v/>
      </c>
      <c r="D66" s="11">
        <f>SUMIFS(Transactions_PAC!$H:$H,Transactions_PAC!$B:$B,B66,Transactions_PAC!$C:$C,A66)</f>
        <v/>
      </c>
      <c r="E66" s="11">
        <f>SUMIFS(Transactions_Manual!$E:$E,Transactions_Manual!$B:$B,B66,Transactions_Manual!$C:$C,A66)</f>
        <v/>
      </c>
      <c r="F66" s="11">
        <f>D66+E66</f>
        <v/>
      </c>
      <c r="G66" s="11">
        <f>C65</f>
        <v/>
      </c>
      <c r="H66" s="11">
        <f>IF(OR(G66="",A66="Savings"),"",C66-G66-F66)</f>
        <v/>
      </c>
      <c r="I66" s="45">
        <f>IF(OR(H66="",G66=0), "", H66/G66)</f>
        <v/>
      </c>
    </row>
    <row r="67">
      <c r="A67" s="5" t="inlineStr">
        <is>
          <t>AI &amp; Big Data</t>
        </is>
      </c>
      <c r="B67" s="28" t="n">
        <v>46722</v>
      </c>
      <c r="C67" s="11">
        <f>SUMIFS(Month_End!$D:$D,Month_End!$A:$A,B67,Month_End!$B:$B,A67)</f>
        <v/>
      </c>
      <c r="D67" s="11">
        <f>SUMIFS(Transactions_PAC!$H:$H,Transactions_PAC!$B:$B,B67,Transactions_PAC!$C:$C,A67)</f>
        <v/>
      </c>
      <c r="E67" s="11">
        <f>SUMIFS(Transactions_Manual!$E:$E,Transactions_Manual!$B:$B,B67,Transactions_Manual!$C:$C,A67)</f>
        <v/>
      </c>
      <c r="F67" s="11">
        <f>D67+E67</f>
        <v/>
      </c>
      <c r="G67" s="11">
        <f>C66</f>
        <v/>
      </c>
      <c r="H67" s="11">
        <f>IF(OR(G67="",A67="Savings"),"",C67-G67-F67)</f>
        <v/>
      </c>
      <c r="I67" s="45">
        <f>IF(OR(H67="",G67=0), "", H67/G67)</f>
        <v/>
      </c>
    </row>
    <row r="68">
      <c r="A68" s="5" t="inlineStr">
        <is>
          <t>AI &amp; Big Data</t>
        </is>
      </c>
      <c r="B68" s="28" t="n">
        <v>46753</v>
      </c>
      <c r="C68" s="11">
        <f>SUMIFS(Month_End!$D:$D,Month_End!$A:$A,B68,Month_End!$B:$B,A68)</f>
        <v/>
      </c>
      <c r="D68" s="11">
        <f>SUMIFS(Transactions_PAC!$H:$H,Transactions_PAC!$B:$B,B68,Transactions_PAC!$C:$C,A68)</f>
        <v/>
      </c>
      <c r="E68" s="11">
        <f>SUMIFS(Transactions_Manual!$E:$E,Transactions_Manual!$B:$B,B68,Transactions_Manual!$C:$C,A68)</f>
        <v/>
      </c>
      <c r="F68" s="11">
        <f>D68+E68</f>
        <v/>
      </c>
      <c r="G68" s="11">
        <f>C67</f>
        <v/>
      </c>
      <c r="H68" s="11">
        <f>IF(OR(G68="",A68="Savings"),"",C68-G68-F68)</f>
        <v/>
      </c>
      <c r="I68" s="45">
        <f>IF(OR(H68="",G68=0), "", H68/G68)</f>
        <v/>
      </c>
    </row>
    <row r="69">
      <c r="A69" s="5" t="inlineStr">
        <is>
          <t>AI &amp; Big Data</t>
        </is>
      </c>
      <c r="B69" s="28" t="n">
        <v>46784</v>
      </c>
      <c r="C69" s="11">
        <f>SUMIFS(Month_End!$D:$D,Month_End!$A:$A,B69,Month_End!$B:$B,A69)</f>
        <v/>
      </c>
      <c r="D69" s="11">
        <f>SUMIFS(Transactions_PAC!$H:$H,Transactions_PAC!$B:$B,B69,Transactions_PAC!$C:$C,A69)</f>
        <v/>
      </c>
      <c r="E69" s="11">
        <f>SUMIFS(Transactions_Manual!$E:$E,Transactions_Manual!$B:$B,B69,Transactions_Manual!$C:$C,A69)</f>
        <v/>
      </c>
      <c r="F69" s="11">
        <f>D69+E69</f>
        <v/>
      </c>
      <c r="G69" s="11">
        <f>C68</f>
        <v/>
      </c>
      <c r="H69" s="11">
        <f>IF(OR(G69="",A69="Savings"),"",C69-G69-F69)</f>
        <v/>
      </c>
      <c r="I69" s="45">
        <f>IF(OR(H69="",G69=0), "", H69/G69)</f>
        <v/>
      </c>
    </row>
    <row r="70">
      <c r="A70" s="5" t="inlineStr">
        <is>
          <t>AI &amp; Big Data</t>
        </is>
      </c>
      <c r="B70" s="28" t="n">
        <v>46813</v>
      </c>
      <c r="C70" s="11">
        <f>SUMIFS(Month_End!$D:$D,Month_End!$A:$A,B70,Month_End!$B:$B,A70)</f>
        <v/>
      </c>
      <c r="D70" s="11">
        <f>SUMIFS(Transactions_PAC!$H:$H,Transactions_PAC!$B:$B,B70,Transactions_PAC!$C:$C,A70)</f>
        <v/>
      </c>
      <c r="E70" s="11">
        <f>SUMIFS(Transactions_Manual!$E:$E,Transactions_Manual!$B:$B,B70,Transactions_Manual!$C:$C,A70)</f>
        <v/>
      </c>
      <c r="F70" s="11">
        <f>D70+E70</f>
        <v/>
      </c>
      <c r="G70" s="11">
        <f>C69</f>
        <v/>
      </c>
      <c r="H70" s="11">
        <f>IF(OR(G70="",A70="Savings"),"",C70-G70-F70)</f>
        <v/>
      </c>
      <c r="I70" s="45">
        <f>IF(OR(H70="",G70=0), "", H70/G70)</f>
        <v/>
      </c>
    </row>
    <row r="71">
      <c r="A71" s="5" t="inlineStr">
        <is>
          <t>AI &amp; Big Data</t>
        </is>
      </c>
      <c r="B71" s="28" t="n">
        <v>46844</v>
      </c>
      <c r="C71" s="11">
        <f>SUMIFS(Month_End!$D:$D,Month_End!$A:$A,B71,Month_End!$B:$B,A71)</f>
        <v/>
      </c>
      <c r="D71" s="11">
        <f>SUMIFS(Transactions_PAC!$H:$H,Transactions_PAC!$B:$B,B71,Transactions_PAC!$C:$C,A71)</f>
        <v/>
      </c>
      <c r="E71" s="11">
        <f>SUMIFS(Transactions_Manual!$E:$E,Transactions_Manual!$B:$B,B71,Transactions_Manual!$C:$C,A71)</f>
        <v/>
      </c>
      <c r="F71" s="11">
        <f>D71+E71</f>
        <v/>
      </c>
      <c r="G71" s="11">
        <f>C70</f>
        <v/>
      </c>
      <c r="H71" s="11">
        <f>IF(OR(G71="",A71="Savings"),"",C71-G71-F71)</f>
        <v/>
      </c>
      <c r="I71" s="45">
        <f>IF(OR(H71="",G71=0), "", H71/G71)</f>
        <v/>
      </c>
    </row>
    <row r="72">
      <c r="A72" s="5" t="inlineStr">
        <is>
          <t>AI &amp; Big Data</t>
        </is>
      </c>
      <c r="B72" s="28" t="n">
        <v>46874</v>
      </c>
      <c r="C72" s="11">
        <f>SUMIFS(Month_End!$D:$D,Month_End!$A:$A,B72,Month_End!$B:$B,A72)</f>
        <v/>
      </c>
      <c r="D72" s="11">
        <f>SUMIFS(Transactions_PAC!$H:$H,Transactions_PAC!$B:$B,B72,Transactions_PAC!$C:$C,A72)</f>
        <v/>
      </c>
      <c r="E72" s="11">
        <f>SUMIFS(Transactions_Manual!$E:$E,Transactions_Manual!$B:$B,B72,Transactions_Manual!$C:$C,A72)</f>
        <v/>
      </c>
      <c r="F72" s="11">
        <f>D72+E72</f>
        <v/>
      </c>
      <c r="G72" s="11">
        <f>C71</f>
        <v/>
      </c>
      <c r="H72" s="11">
        <f>IF(OR(G72="",A72="Savings"),"",C72-G72-F72)</f>
        <v/>
      </c>
      <c r="I72" s="45">
        <f>IF(OR(H72="",G72=0), "", H72/G72)</f>
        <v/>
      </c>
    </row>
    <row r="73">
      <c r="A73" s="5" t="inlineStr">
        <is>
          <t>AI &amp; Big Data</t>
        </is>
      </c>
      <c r="B73" s="28" t="n">
        <v>46905</v>
      </c>
      <c r="C73" s="11">
        <f>SUMIFS(Month_End!$D:$D,Month_End!$A:$A,B73,Month_End!$B:$B,A73)</f>
        <v/>
      </c>
      <c r="D73" s="11">
        <f>SUMIFS(Transactions_PAC!$H:$H,Transactions_PAC!$B:$B,B73,Transactions_PAC!$C:$C,A73)</f>
        <v/>
      </c>
      <c r="E73" s="11">
        <f>SUMIFS(Transactions_Manual!$E:$E,Transactions_Manual!$B:$B,B73,Transactions_Manual!$C:$C,A73)</f>
        <v/>
      </c>
      <c r="F73" s="11">
        <f>D73+E73</f>
        <v/>
      </c>
      <c r="G73" s="11">
        <f>C72</f>
        <v/>
      </c>
      <c r="H73" s="11">
        <f>IF(OR(G73="",A73="Savings"),"",C73-G73-F73)</f>
        <v/>
      </c>
      <c r="I73" s="45">
        <f>IF(OR(H73="",G73=0), "", H73/G73)</f>
        <v/>
      </c>
    </row>
    <row r="74">
      <c r="A74" s="5" t="inlineStr">
        <is>
          <t>AI &amp; Big Data</t>
        </is>
      </c>
      <c r="B74" s="28" t="n">
        <v>46935</v>
      </c>
      <c r="C74" s="11">
        <f>SUMIFS(Month_End!$D:$D,Month_End!$A:$A,B74,Month_End!$B:$B,A74)</f>
        <v/>
      </c>
      <c r="D74" s="11">
        <f>SUMIFS(Transactions_PAC!$H:$H,Transactions_PAC!$B:$B,B74,Transactions_PAC!$C:$C,A74)</f>
        <v/>
      </c>
      <c r="E74" s="11">
        <f>SUMIFS(Transactions_Manual!$E:$E,Transactions_Manual!$B:$B,B74,Transactions_Manual!$C:$C,A74)</f>
        <v/>
      </c>
      <c r="F74" s="11">
        <f>D74+E74</f>
        <v/>
      </c>
      <c r="G74" s="11">
        <f>C73</f>
        <v/>
      </c>
      <c r="H74" s="11">
        <f>IF(OR(G74="",A74="Savings"),"",C74-G74-F74)</f>
        <v/>
      </c>
      <c r="I74" s="45">
        <f>IF(OR(H74="",G74=0), "", H74/G74)</f>
        <v/>
      </c>
    </row>
    <row r="75">
      <c r="A75" s="5" t="inlineStr">
        <is>
          <t>AI &amp; Big Data</t>
        </is>
      </c>
      <c r="B75" s="28" t="n">
        <v>46966</v>
      </c>
      <c r="C75" s="11">
        <f>SUMIFS(Month_End!$D:$D,Month_End!$A:$A,B75,Month_End!$B:$B,A75)</f>
        <v/>
      </c>
      <c r="D75" s="11">
        <f>SUMIFS(Transactions_PAC!$H:$H,Transactions_PAC!$B:$B,B75,Transactions_PAC!$C:$C,A75)</f>
        <v/>
      </c>
      <c r="E75" s="11">
        <f>SUMIFS(Transactions_Manual!$E:$E,Transactions_Manual!$B:$B,B75,Transactions_Manual!$C:$C,A75)</f>
        <v/>
      </c>
      <c r="F75" s="11">
        <f>D75+E75</f>
        <v/>
      </c>
      <c r="G75" s="11">
        <f>C74</f>
        <v/>
      </c>
      <c r="H75" s="11">
        <f>IF(OR(G75="",A75="Savings"),"",C75-G75-F75)</f>
        <v/>
      </c>
      <c r="I75" s="45">
        <f>IF(OR(H75="",G75=0), "", H75/G75)</f>
        <v/>
      </c>
    </row>
    <row r="76">
      <c r="A76" s="5" t="inlineStr">
        <is>
          <t>AI &amp; Big Data</t>
        </is>
      </c>
      <c r="B76" s="28" t="n">
        <v>46997</v>
      </c>
      <c r="C76" s="11">
        <f>SUMIFS(Month_End!$D:$D,Month_End!$A:$A,B76,Month_End!$B:$B,A76)</f>
        <v/>
      </c>
      <c r="D76" s="11">
        <f>SUMIFS(Transactions_PAC!$H:$H,Transactions_PAC!$B:$B,B76,Transactions_PAC!$C:$C,A76)</f>
        <v/>
      </c>
      <c r="E76" s="11">
        <f>SUMIFS(Transactions_Manual!$E:$E,Transactions_Manual!$B:$B,B76,Transactions_Manual!$C:$C,A76)</f>
        <v/>
      </c>
      <c r="F76" s="11">
        <f>D76+E76</f>
        <v/>
      </c>
      <c r="G76" s="11">
        <f>C75</f>
        <v/>
      </c>
      <c r="H76" s="11">
        <f>IF(OR(G76="",A76="Savings"),"",C76-G76-F76)</f>
        <v/>
      </c>
      <c r="I76" s="45">
        <f>IF(OR(H76="",G76=0), "", H76/G76)</f>
        <v/>
      </c>
    </row>
    <row r="77">
      <c r="A77" s="5" t="inlineStr">
        <is>
          <t>AI &amp; Big Data</t>
        </is>
      </c>
      <c r="B77" s="28" t="n">
        <v>47027</v>
      </c>
      <c r="C77" s="11">
        <f>SUMIFS(Month_End!$D:$D,Month_End!$A:$A,B77,Month_End!$B:$B,A77)</f>
        <v/>
      </c>
      <c r="D77" s="11">
        <f>SUMIFS(Transactions_PAC!$H:$H,Transactions_PAC!$B:$B,B77,Transactions_PAC!$C:$C,A77)</f>
        <v/>
      </c>
      <c r="E77" s="11">
        <f>SUMIFS(Transactions_Manual!$E:$E,Transactions_Manual!$B:$B,B77,Transactions_Manual!$C:$C,A77)</f>
        <v/>
      </c>
      <c r="F77" s="11">
        <f>D77+E77</f>
        <v/>
      </c>
      <c r="G77" s="11">
        <f>C76</f>
        <v/>
      </c>
      <c r="H77" s="11">
        <f>IF(OR(G77="",A77="Savings"),"",C77-G77-F77)</f>
        <v/>
      </c>
      <c r="I77" s="45">
        <f>IF(OR(H77="",G77=0), "", H77/G77)</f>
        <v/>
      </c>
    </row>
    <row r="78">
      <c r="A78" s="5" t="inlineStr">
        <is>
          <t>AI &amp; Big Data</t>
        </is>
      </c>
      <c r="B78" s="28" t="n">
        <v>47058</v>
      </c>
      <c r="C78" s="11">
        <f>SUMIFS(Month_End!$D:$D,Month_End!$A:$A,B78,Month_End!$B:$B,A78)</f>
        <v/>
      </c>
      <c r="D78" s="11">
        <f>SUMIFS(Transactions_PAC!$H:$H,Transactions_PAC!$B:$B,B78,Transactions_PAC!$C:$C,A78)</f>
        <v/>
      </c>
      <c r="E78" s="11">
        <f>SUMIFS(Transactions_Manual!$E:$E,Transactions_Manual!$B:$B,B78,Transactions_Manual!$C:$C,A78)</f>
        <v/>
      </c>
      <c r="F78" s="11">
        <f>D78+E78</f>
        <v/>
      </c>
      <c r="G78" s="11">
        <f>C77</f>
        <v/>
      </c>
      <c r="H78" s="11">
        <f>IF(OR(G78="",A78="Savings"),"",C78-G78-F78)</f>
        <v/>
      </c>
      <c r="I78" s="45">
        <f>IF(OR(H78="",G78=0), "", H78/G78)</f>
        <v/>
      </c>
    </row>
    <row r="79">
      <c r="A79" s="5" t="inlineStr">
        <is>
          <t>AI &amp; Big Data</t>
        </is>
      </c>
      <c r="B79" s="28" t="n">
        <v>47088</v>
      </c>
      <c r="C79" s="11">
        <f>SUMIFS(Month_End!$D:$D,Month_End!$A:$A,B79,Month_End!$B:$B,A79)</f>
        <v/>
      </c>
      <c r="D79" s="11">
        <f>SUMIFS(Transactions_PAC!$H:$H,Transactions_PAC!$B:$B,B79,Transactions_PAC!$C:$C,A79)</f>
        <v/>
      </c>
      <c r="E79" s="11">
        <f>SUMIFS(Transactions_Manual!$E:$E,Transactions_Manual!$B:$B,B79,Transactions_Manual!$C:$C,A79)</f>
        <v/>
      </c>
      <c r="F79" s="11">
        <f>D79+E79</f>
        <v/>
      </c>
      <c r="G79" s="11">
        <f>C78</f>
        <v/>
      </c>
      <c r="H79" s="11">
        <f>IF(OR(G79="",A79="Savings"),"",C79-G79-F79)</f>
        <v/>
      </c>
      <c r="I79" s="45">
        <f>IF(OR(H79="",G79=0), "", H79/G79)</f>
        <v/>
      </c>
    </row>
    <row r="80">
      <c r="A80" s="5" t="inlineStr">
        <is>
          <t>Physical Gold</t>
        </is>
      </c>
      <c r="B80" s="28" t="n">
        <v>45931</v>
      </c>
      <c r="C80" s="11">
        <f>SUMIFS(Month_End!$D:$D,Month_End!$A:$A,B80,Month_End!$B:$B,A80)</f>
        <v/>
      </c>
      <c r="D80" s="11">
        <f>SUMIFS(Transactions_PAC!$H:$H,Transactions_PAC!$B:$B,B80,Transactions_PAC!$C:$C,A80)</f>
        <v/>
      </c>
      <c r="E80" s="11">
        <f>SUMIFS(Transactions_Manual!$E:$E,Transactions_Manual!$B:$B,B80,Transactions_Manual!$C:$C,A80)</f>
        <v/>
      </c>
      <c r="F80" s="11">
        <f>D80+E80</f>
        <v/>
      </c>
      <c r="G80" s="11" t="inlineStr"/>
      <c r="H80" s="11">
        <f>IF(OR(G80="",A80="Savings"),"",C80-G80-F80)</f>
        <v/>
      </c>
      <c r="I80" s="45">
        <f>IF(OR(H80="",G80=0), "", H80/G80)</f>
        <v/>
      </c>
    </row>
    <row r="81">
      <c r="A81" s="5" t="inlineStr">
        <is>
          <t>Physical Gold</t>
        </is>
      </c>
      <c r="B81" s="28" t="n">
        <v>45962</v>
      </c>
      <c r="C81" s="11">
        <f>SUMIFS(Month_End!$D:$D,Month_End!$A:$A,B81,Month_End!$B:$B,A81)</f>
        <v/>
      </c>
      <c r="D81" s="11">
        <f>SUMIFS(Transactions_PAC!$H:$H,Transactions_PAC!$B:$B,B81,Transactions_PAC!$C:$C,A81)</f>
        <v/>
      </c>
      <c r="E81" s="11">
        <f>SUMIFS(Transactions_Manual!$E:$E,Transactions_Manual!$B:$B,B81,Transactions_Manual!$C:$C,A81)</f>
        <v/>
      </c>
      <c r="F81" s="11">
        <f>D81+E81</f>
        <v/>
      </c>
      <c r="G81" s="11">
        <f>C80</f>
        <v/>
      </c>
      <c r="H81" s="11">
        <f>IF(OR(G81="",A81="Savings"),"",C81-G81-F81)</f>
        <v/>
      </c>
      <c r="I81" s="45">
        <f>IF(OR(H81="",G81=0), "", H81/G81)</f>
        <v/>
      </c>
    </row>
    <row r="82">
      <c r="A82" s="5" t="inlineStr">
        <is>
          <t>Physical Gold</t>
        </is>
      </c>
      <c r="B82" s="28" t="n">
        <v>45992</v>
      </c>
      <c r="C82" s="11">
        <f>SUMIFS(Month_End!$D:$D,Month_End!$A:$A,B82,Month_End!$B:$B,A82)</f>
        <v/>
      </c>
      <c r="D82" s="11">
        <f>SUMIFS(Transactions_PAC!$H:$H,Transactions_PAC!$B:$B,B82,Transactions_PAC!$C:$C,A82)</f>
        <v/>
      </c>
      <c r="E82" s="11">
        <f>SUMIFS(Transactions_Manual!$E:$E,Transactions_Manual!$B:$B,B82,Transactions_Manual!$C:$C,A82)</f>
        <v/>
      </c>
      <c r="F82" s="11">
        <f>D82+E82</f>
        <v/>
      </c>
      <c r="G82" s="11">
        <f>C81</f>
        <v/>
      </c>
      <c r="H82" s="11">
        <f>IF(OR(G82="",A82="Savings"),"",C82-G82-F82)</f>
        <v/>
      </c>
      <c r="I82" s="45">
        <f>IF(OR(H82="",G82=0), "", H82/G82)</f>
        <v/>
      </c>
    </row>
    <row r="83">
      <c r="A83" s="5" t="inlineStr">
        <is>
          <t>Physical Gold</t>
        </is>
      </c>
      <c r="B83" s="28" t="n">
        <v>46023</v>
      </c>
      <c r="C83" s="11">
        <f>SUMIFS(Month_End!$D:$D,Month_End!$A:$A,B83,Month_End!$B:$B,A83)</f>
        <v/>
      </c>
      <c r="D83" s="11">
        <f>SUMIFS(Transactions_PAC!$H:$H,Transactions_PAC!$B:$B,B83,Transactions_PAC!$C:$C,A83)</f>
        <v/>
      </c>
      <c r="E83" s="11">
        <f>SUMIFS(Transactions_Manual!$E:$E,Transactions_Manual!$B:$B,B83,Transactions_Manual!$C:$C,A83)</f>
        <v/>
      </c>
      <c r="F83" s="11">
        <f>D83+E83</f>
        <v/>
      </c>
      <c r="G83" s="11">
        <f>C82</f>
        <v/>
      </c>
      <c r="H83" s="11">
        <f>IF(OR(G83="",A83="Savings"),"",C83-G83-F83)</f>
        <v/>
      </c>
      <c r="I83" s="45">
        <f>IF(OR(H83="",G83=0), "", H83/G83)</f>
        <v/>
      </c>
    </row>
    <row r="84">
      <c r="A84" s="5" t="inlineStr">
        <is>
          <t>Physical Gold</t>
        </is>
      </c>
      <c r="B84" s="28" t="n">
        <v>46054</v>
      </c>
      <c r="C84" s="11">
        <f>SUMIFS(Month_End!$D:$D,Month_End!$A:$A,B84,Month_End!$B:$B,A84)</f>
        <v/>
      </c>
      <c r="D84" s="11">
        <f>SUMIFS(Transactions_PAC!$H:$H,Transactions_PAC!$B:$B,B84,Transactions_PAC!$C:$C,A84)</f>
        <v/>
      </c>
      <c r="E84" s="11">
        <f>SUMIFS(Transactions_Manual!$E:$E,Transactions_Manual!$B:$B,B84,Transactions_Manual!$C:$C,A84)</f>
        <v/>
      </c>
      <c r="F84" s="11">
        <f>D84+E84</f>
        <v/>
      </c>
      <c r="G84" s="11">
        <f>C83</f>
        <v/>
      </c>
      <c r="H84" s="11">
        <f>IF(OR(G84="",A84="Savings"),"",C84-G84-F84)</f>
        <v/>
      </c>
      <c r="I84" s="45">
        <f>IF(OR(H84="",G84=0), "", H84/G84)</f>
        <v/>
      </c>
    </row>
    <row r="85">
      <c r="A85" s="5" t="inlineStr">
        <is>
          <t>Physical Gold</t>
        </is>
      </c>
      <c r="B85" s="28" t="n">
        <v>46082</v>
      </c>
      <c r="C85" s="11">
        <f>SUMIFS(Month_End!$D:$D,Month_End!$A:$A,B85,Month_End!$B:$B,A85)</f>
        <v/>
      </c>
      <c r="D85" s="11">
        <f>SUMIFS(Transactions_PAC!$H:$H,Transactions_PAC!$B:$B,B85,Transactions_PAC!$C:$C,A85)</f>
        <v/>
      </c>
      <c r="E85" s="11">
        <f>SUMIFS(Transactions_Manual!$E:$E,Transactions_Manual!$B:$B,B85,Transactions_Manual!$C:$C,A85)</f>
        <v/>
      </c>
      <c r="F85" s="11">
        <f>D85+E85</f>
        <v/>
      </c>
      <c r="G85" s="11">
        <f>C84</f>
        <v/>
      </c>
      <c r="H85" s="11">
        <f>IF(OR(G85="",A85="Savings"),"",C85-G85-F85)</f>
        <v/>
      </c>
      <c r="I85" s="45">
        <f>IF(OR(H85="",G85=0), "", H85/G85)</f>
        <v/>
      </c>
    </row>
    <row r="86">
      <c r="A86" s="5" t="inlineStr">
        <is>
          <t>Physical Gold</t>
        </is>
      </c>
      <c r="B86" s="28" t="n">
        <v>46113</v>
      </c>
      <c r="C86" s="11">
        <f>SUMIFS(Month_End!$D:$D,Month_End!$A:$A,B86,Month_End!$B:$B,A86)</f>
        <v/>
      </c>
      <c r="D86" s="11">
        <f>SUMIFS(Transactions_PAC!$H:$H,Transactions_PAC!$B:$B,B86,Transactions_PAC!$C:$C,A86)</f>
        <v/>
      </c>
      <c r="E86" s="11">
        <f>SUMIFS(Transactions_Manual!$E:$E,Transactions_Manual!$B:$B,B86,Transactions_Manual!$C:$C,A86)</f>
        <v/>
      </c>
      <c r="F86" s="11">
        <f>D86+E86</f>
        <v/>
      </c>
      <c r="G86" s="11">
        <f>C85</f>
        <v/>
      </c>
      <c r="H86" s="11">
        <f>IF(OR(G86="",A86="Savings"),"",C86-G86-F86)</f>
        <v/>
      </c>
      <c r="I86" s="45">
        <f>IF(OR(H86="",G86=0), "", H86/G86)</f>
        <v/>
      </c>
    </row>
    <row r="87">
      <c r="A87" s="5" t="inlineStr">
        <is>
          <t>Physical Gold</t>
        </is>
      </c>
      <c r="B87" s="28" t="n">
        <v>46143</v>
      </c>
      <c r="C87" s="11">
        <f>SUMIFS(Month_End!$D:$D,Month_End!$A:$A,B87,Month_End!$B:$B,A87)</f>
        <v/>
      </c>
      <c r="D87" s="11">
        <f>SUMIFS(Transactions_PAC!$H:$H,Transactions_PAC!$B:$B,B87,Transactions_PAC!$C:$C,A87)</f>
        <v/>
      </c>
      <c r="E87" s="11">
        <f>SUMIFS(Transactions_Manual!$E:$E,Transactions_Manual!$B:$B,B87,Transactions_Manual!$C:$C,A87)</f>
        <v/>
      </c>
      <c r="F87" s="11">
        <f>D87+E87</f>
        <v/>
      </c>
      <c r="G87" s="11">
        <f>C86</f>
        <v/>
      </c>
      <c r="H87" s="11">
        <f>IF(OR(G87="",A87="Savings"),"",C87-G87-F87)</f>
        <v/>
      </c>
      <c r="I87" s="45">
        <f>IF(OR(H87="",G87=0), "", H87/G87)</f>
        <v/>
      </c>
    </row>
    <row r="88">
      <c r="A88" s="5" t="inlineStr">
        <is>
          <t>Physical Gold</t>
        </is>
      </c>
      <c r="B88" s="28" t="n">
        <v>46174</v>
      </c>
      <c r="C88" s="11">
        <f>SUMIFS(Month_End!$D:$D,Month_End!$A:$A,B88,Month_End!$B:$B,A88)</f>
        <v/>
      </c>
      <c r="D88" s="11">
        <f>SUMIFS(Transactions_PAC!$H:$H,Transactions_PAC!$B:$B,B88,Transactions_PAC!$C:$C,A88)</f>
        <v/>
      </c>
      <c r="E88" s="11">
        <f>SUMIFS(Transactions_Manual!$E:$E,Transactions_Manual!$B:$B,B88,Transactions_Manual!$C:$C,A88)</f>
        <v/>
      </c>
      <c r="F88" s="11">
        <f>D88+E88</f>
        <v/>
      </c>
      <c r="G88" s="11">
        <f>C87</f>
        <v/>
      </c>
      <c r="H88" s="11">
        <f>IF(OR(G88="",A88="Savings"),"",C88-G88-F88)</f>
        <v/>
      </c>
      <c r="I88" s="45">
        <f>IF(OR(H88="",G88=0), "", H88/G88)</f>
        <v/>
      </c>
    </row>
    <row r="89">
      <c r="A89" s="5" t="inlineStr">
        <is>
          <t>Physical Gold</t>
        </is>
      </c>
      <c r="B89" s="28" t="n">
        <v>46204</v>
      </c>
      <c r="C89" s="11">
        <f>SUMIFS(Month_End!$D:$D,Month_End!$A:$A,B89,Month_End!$B:$B,A89)</f>
        <v/>
      </c>
      <c r="D89" s="11">
        <f>SUMIFS(Transactions_PAC!$H:$H,Transactions_PAC!$B:$B,B89,Transactions_PAC!$C:$C,A89)</f>
        <v/>
      </c>
      <c r="E89" s="11">
        <f>SUMIFS(Transactions_Manual!$E:$E,Transactions_Manual!$B:$B,B89,Transactions_Manual!$C:$C,A89)</f>
        <v/>
      </c>
      <c r="F89" s="11">
        <f>D89+E89</f>
        <v/>
      </c>
      <c r="G89" s="11">
        <f>C88</f>
        <v/>
      </c>
      <c r="H89" s="11">
        <f>IF(OR(G89="",A89="Savings"),"",C89-G89-F89)</f>
        <v/>
      </c>
      <c r="I89" s="45">
        <f>IF(OR(H89="",G89=0), "", H89/G89)</f>
        <v/>
      </c>
    </row>
    <row r="90">
      <c r="A90" s="5" t="inlineStr">
        <is>
          <t>Physical Gold</t>
        </is>
      </c>
      <c r="B90" s="28" t="n">
        <v>46235</v>
      </c>
      <c r="C90" s="11">
        <f>SUMIFS(Month_End!$D:$D,Month_End!$A:$A,B90,Month_End!$B:$B,A90)</f>
        <v/>
      </c>
      <c r="D90" s="11">
        <f>SUMIFS(Transactions_PAC!$H:$H,Transactions_PAC!$B:$B,B90,Transactions_PAC!$C:$C,A90)</f>
        <v/>
      </c>
      <c r="E90" s="11">
        <f>SUMIFS(Transactions_Manual!$E:$E,Transactions_Manual!$B:$B,B90,Transactions_Manual!$C:$C,A90)</f>
        <v/>
      </c>
      <c r="F90" s="11">
        <f>D90+E90</f>
        <v/>
      </c>
      <c r="G90" s="11">
        <f>C89</f>
        <v/>
      </c>
      <c r="H90" s="11">
        <f>IF(OR(G90="",A90="Savings"),"",C90-G90-F90)</f>
        <v/>
      </c>
      <c r="I90" s="45">
        <f>IF(OR(H90="",G90=0), "", H90/G90)</f>
        <v/>
      </c>
    </row>
    <row r="91">
      <c r="A91" s="5" t="inlineStr">
        <is>
          <t>Physical Gold</t>
        </is>
      </c>
      <c r="B91" s="28" t="n">
        <v>46266</v>
      </c>
      <c r="C91" s="11">
        <f>SUMIFS(Month_End!$D:$D,Month_End!$A:$A,B91,Month_End!$B:$B,A91)</f>
        <v/>
      </c>
      <c r="D91" s="11">
        <f>SUMIFS(Transactions_PAC!$H:$H,Transactions_PAC!$B:$B,B91,Transactions_PAC!$C:$C,A91)</f>
        <v/>
      </c>
      <c r="E91" s="11">
        <f>SUMIFS(Transactions_Manual!$E:$E,Transactions_Manual!$B:$B,B91,Transactions_Manual!$C:$C,A91)</f>
        <v/>
      </c>
      <c r="F91" s="11">
        <f>D91+E91</f>
        <v/>
      </c>
      <c r="G91" s="11">
        <f>C90</f>
        <v/>
      </c>
      <c r="H91" s="11">
        <f>IF(OR(G91="",A91="Savings"),"",C91-G91-F91)</f>
        <v/>
      </c>
      <c r="I91" s="45">
        <f>IF(OR(H91="",G91=0), "", H91/G91)</f>
        <v/>
      </c>
    </row>
    <row r="92">
      <c r="A92" s="5" t="inlineStr">
        <is>
          <t>Physical Gold</t>
        </is>
      </c>
      <c r="B92" s="28" t="n">
        <v>46296</v>
      </c>
      <c r="C92" s="11">
        <f>SUMIFS(Month_End!$D:$D,Month_End!$A:$A,B92,Month_End!$B:$B,A92)</f>
        <v/>
      </c>
      <c r="D92" s="11">
        <f>SUMIFS(Transactions_PAC!$H:$H,Transactions_PAC!$B:$B,B92,Transactions_PAC!$C:$C,A92)</f>
        <v/>
      </c>
      <c r="E92" s="11">
        <f>SUMIFS(Transactions_Manual!$E:$E,Transactions_Manual!$B:$B,B92,Transactions_Manual!$C:$C,A92)</f>
        <v/>
      </c>
      <c r="F92" s="11">
        <f>D92+E92</f>
        <v/>
      </c>
      <c r="G92" s="11">
        <f>C91</f>
        <v/>
      </c>
      <c r="H92" s="11">
        <f>IF(OR(G92="",A92="Savings"),"",C92-G92-F92)</f>
        <v/>
      </c>
      <c r="I92" s="45">
        <f>IF(OR(H92="",G92=0), "", H92/G92)</f>
        <v/>
      </c>
    </row>
    <row r="93">
      <c r="A93" s="5" t="inlineStr">
        <is>
          <t>Physical Gold</t>
        </is>
      </c>
      <c r="B93" s="28" t="n">
        <v>46327</v>
      </c>
      <c r="C93" s="11">
        <f>SUMIFS(Month_End!$D:$D,Month_End!$A:$A,B93,Month_End!$B:$B,A93)</f>
        <v/>
      </c>
      <c r="D93" s="11">
        <f>SUMIFS(Transactions_PAC!$H:$H,Transactions_PAC!$B:$B,B93,Transactions_PAC!$C:$C,A93)</f>
        <v/>
      </c>
      <c r="E93" s="11">
        <f>SUMIFS(Transactions_Manual!$E:$E,Transactions_Manual!$B:$B,B93,Transactions_Manual!$C:$C,A93)</f>
        <v/>
      </c>
      <c r="F93" s="11">
        <f>D93+E93</f>
        <v/>
      </c>
      <c r="G93" s="11">
        <f>C92</f>
        <v/>
      </c>
      <c r="H93" s="11">
        <f>IF(OR(G93="",A93="Savings"),"",C93-G93-F93)</f>
        <v/>
      </c>
      <c r="I93" s="45">
        <f>IF(OR(H93="",G93=0), "", H93/G93)</f>
        <v/>
      </c>
    </row>
    <row r="94">
      <c r="A94" s="5" t="inlineStr">
        <is>
          <t>Physical Gold</t>
        </is>
      </c>
      <c r="B94" s="28" t="n">
        <v>46357</v>
      </c>
      <c r="C94" s="11">
        <f>SUMIFS(Month_End!$D:$D,Month_End!$A:$A,B94,Month_End!$B:$B,A94)</f>
        <v/>
      </c>
      <c r="D94" s="11">
        <f>SUMIFS(Transactions_PAC!$H:$H,Transactions_PAC!$B:$B,B94,Transactions_PAC!$C:$C,A94)</f>
        <v/>
      </c>
      <c r="E94" s="11">
        <f>SUMIFS(Transactions_Manual!$E:$E,Transactions_Manual!$B:$B,B94,Transactions_Manual!$C:$C,A94)</f>
        <v/>
      </c>
      <c r="F94" s="11">
        <f>D94+E94</f>
        <v/>
      </c>
      <c r="G94" s="11">
        <f>C93</f>
        <v/>
      </c>
      <c r="H94" s="11">
        <f>IF(OR(G94="",A94="Savings"),"",C94-G94-F94)</f>
        <v/>
      </c>
      <c r="I94" s="45">
        <f>IF(OR(H94="",G94=0), "", H94/G94)</f>
        <v/>
      </c>
    </row>
    <row r="95">
      <c r="A95" s="5" t="inlineStr">
        <is>
          <t>Physical Gold</t>
        </is>
      </c>
      <c r="B95" s="28" t="n">
        <v>46388</v>
      </c>
      <c r="C95" s="11">
        <f>SUMIFS(Month_End!$D:$D,Month_End!$A:$A,B95,Month_End!$B:$B,A95)</f>
        <v/>
      </c>
      <c r="D95" s="11">
        <f>SUMIFS(Transactions_PAC!$H:$H,Transactions_PAC!$B:$B,B95,Transactions_PAC!$C:$C,A95)</f>
        <v/>
      </c>
      <c r="E95" s="11">
        <f>SUMIFS(Transactions_Manual!$E:$E,Transactions_Manual!$B:$B,B95,Transactions_Manual!$C:$C,A95)</f>
        <v/>
      </c>
      <c r="F95" s="11">
        <f>D95+E95</f>
        <v/>
      </c>
      <c r="G95" s="11">
        <f>C94</f>
        <v/>
      </c>
      <c r="H95" s="11">
        <f>IF(OR(G95="",A95="Savings"),"",C95-G95-F95)</f>
        <v/>
      </c>
      <c r="I95" s="45">
        <f>IF(OR(H95="",G95=0), "", H95/G95)</f>
        <v/>
      </c>
    </row>
    <row r="96">
      <c r="A96" s="5" t="inlineStr">
        <is>
          <t>Physical Gold</t>
        </is>
      </c>
      <c r="B96" s="28" t="n">
        <v>46419</v>
      </c>
      <c r="C96" s="11">
        <f>SUMIFS(Month_End!$D:$D,Month_End!$A:$A,B96,Month_End!$B:$B,A96)</f>
        <v/>
      </c>
      <c r="D96" s="11">
        <f>SUMIFS(Transactions_PAC!$H:$H,Transactions_PAC!$B:$B,B96,Transactions_PAC!$C:$C,A96)</f>
        <v/>
      </c>
      <c r="E96" s="11">
        <f>SUMIFS(Transactions_Manual!$E:$E,Transactions_Manual!$B:$B,B96,Transactions_Manual!$C:$C,A96)</f>
        <v/>
      </c>
      <c r="F96" s="11">
        <f>D96+E96</f>
        <v/>
      </c>
      <c r="G96" s="11">
        <f>C95</f>
        <v/>
      </c>
      <c r="H96" s="11">
        <f>IF(OR(G96="",A96="Savings"),"",C96-G96-F96)</f>
        <v/>
      </c>
      <c r="I96" s="45">
        <f>IF(OR(H96="",G96=0), "", H96/G96)</f>
        <v/>
      </c>
    </row>
    <row r="97">
      <c r="A97" s="5" t="inlineStr">
        <is>
          <t>Physical Gold</t>
        </is>
      </c>
      <c r="B97" s="28" t="n">
        <v>46447</v>
      </c>
      <c r="C97" s="11">
        <f>SUMIFS(Month_End!$D:$D,Month_End!$A:$A,B97,Month_End!$B:$B,A97)</f>
        <v/>
      </c>
      <c r="D97" s="11">
        <f>SUMIFS(Transactions_PAC!$H:$H,Transactions_PAC!$B:$B,B97,Transactions_PAC!$C:$C,A97)</f>
        <v/>
      </c>
      <c r="E97" s="11">
        <f>SUMIFS(Transactions_Manual!$E:$E,Transactions_Manual!$B:$B,B97,Transactions_Manual!$C:$C,A97)</f>
        <v/>
      </c>
      <c r="F97" s="11">
        <f>D97+E97</f>
        <v/>
      </c>
      <c r="G97" s="11">
        <f>C96</f>
        <v/>
      </c>
      <c r="H97" s="11">
        <f>IF(OR(G97="",A97="Savings"),"",C97-G97-F97)</f>
        <v/>
      </c>
      <c r="I97" s="45">
        <f>IF(OR(H97="",G97=0), "", H97/G97)</f>
        <v/>
      </c>
    </row>
    <row r="98">
      <c r="A98" s="5" t="inlineStr">
        <is>
          <t>Physical Gold</t>
        </is>
      </c>
      <c r="B98" s="28" t="n">
        <v>46478</v>
      </c>
      <c r="C98" s="11">
        <f>SUMIFS(Month_End!$D:$D,Month_End!$A:$A,B98,Month_End!$B:$B,A98)</f>
        <v/>
      </c>
      <c r="D98" s="11">
        <f>SUMIFS(Transactions_PAC!$H:$H,Transactions_PAC!$B:$B,B98,Transactions_PAC!$C:$C,A98)</f>
        <v/>
      </c>
      <c r="E98" s="11">
        <f>SUMIFS(Transactions_Manual!$E:$E,Transactions_Manual!$B:$B,B98,Transactions_Manual!$C:$C,A98)</f>
        <v/>
      </c>
      <c r="F98" s="11">
        <f>D98+E98</f>
        <v/>
      </c>
      <c r="G98" s="11">
        <f>C97</f>
        <v/>
      </c>
      <c r="H98" s="11">
        <f>IF(OR(G98="",A98="Savings"),"",C98-G98-F98)</f>
        <v/>
      </c>
      <c r="I98" s="45">
        <f>IF(OR(H98="",G98=0), "", H98/G98)</f>
        <v/>
      </c>
    </row>
    <row r="99">
      <c r="A99" s="5" t="inlineStr">
        <is>
          <t>Physical Gold</t>
        </is>
      </c>
      <c r="B99" s="28" t="n">
        <v>46508</v>
      </c>
      <c r="C99" s="11">
        <f>SUMIFS(Month_End!$D:$D,Month_End!$A:$A,B99,Month_End!$B:$B,A99)</f>
        <v/>
      </c>
      <c r="D99" s="11">
        <f>SUMIFS(Transactions_PAC!$H:$H,Transactions_PAC!$B:$B,B99,Transactions_PAC!$C:$C,A99)</f>
        <v/>
      </c>
      <c r="E99" s="11">
        <f>SUMIFS(Transactions_Manual!$E:$E,Transactions_Manual!$B:$B,B99,Transactions_Manual!$C:$C,A99)</f>
        <v/>
      </c>
      <c r="F99" s="11">
        <f>D99+E99</f>
        <v/>
      </c>
      <c r="G99" s="11">
        <f>C98</f>
        <v/>
      </c>
      <c r="H99" s="11">
        <f>IF(OR(G99="",A99="Savings"),"",C99-G99-F99)</f>
        <v/>
      </c>
      <c r="I99" s="45">
        <f>IF(OR(H99="",G99=0), "", H99/G99)</f>
        <v/>
      </c>
    </row>
    <row r="100">
      <c r="A100" s="5" t="inlineStr">
        <is>
          <t>Physical Gold</t>
        </is>
      </c>
      <c r="B100" s="28" t="n">
        <v>46539</v>
      </c>
      <c r="C100" s="11">
        <f>SUMIFS(Month_End!$D:$D,Month_End!$A:$A,B100,Month_End!$B:$B,A100)</f>
        <v/>
      </c>
      <c r="D100" s="11">
        <f>SUMIFS(Transactions_PAC!$H:$H,Transactions_PAC!$B:$B,B100,Transactions_PAC!$C:$C,A100)</f>
        <v/>
      </c>
      <c r="E100" s="11">
        <f>SUMIFS(Transactions_Manual!$E:$E,Transactions_Manual!$B:$B,B100,Transactions_Manual!$C:$C,A100)</f>
        <v/>
      </c>
      <c r="F100" s="11">
        <f>D100+E100</f>
        <v/>
      </c>
      <c r="G100" s="11">
        <f>C99</f>
        <v/>
      </c>
      <c r="H100" s="11">
        <f>IF(OR(G100="",A100="Savings"),"",C100-G100-F100)</f>
        <v/>
      </c>
      <c r="I100" s="45">
        <f>IF(OR(H100="",G100=0), "", H100/G100)</f>
        <v/>
      </c>
    </row>
    <row r="101">
      <c r="A101" s="5" t="inlineStr">
        <is>
          <t>Physical Gold</t>
        </is>
      </c>
      <c r="B101" s="28" t="n">
        <v>46569</v>
      </c>
      <c r="C101" s="11">
        <f>SUMIFS(Month_End!$D:$D,Month_End!$A:$A,B101,Month_End!$B:$B,A101)</f>
        <v/>
      </c>
      <c r="D101" s="11">
        <f>SUMIFS(Transactions_PAC!$H:$H,Transactions_PAC!$B:$B,B101,Transactions_PAC!$C:$C,A101)</f>
        <v/>
      </c>
      <c r="E101" s="11">
        <f>SUMIFS(Transactions_Manual!$E:$E,Transactions_Manual!$B:$B,B101,Transactions_Manual!$C:$C,A101)</f>
        <v/>
      </c>
      <c r="F101" s="11">
        <f>D101+E101</f>
        <v/>
      </c>
      <c r="G101" s="11">
        <f>C100</f>
        <v/>
      </c>
      <c r="H101" s="11">
        <f>IF(OR(G101="",A101="Savings"),"",C101-G101-F101)</f>
        <v/>
      </c>
      <c r="I101" s="45">
        <f>IF(OR(H101="",G101=0), "", H101/G101)</f>
        <v/>
      </c>
    </row>
    <row r="102">
      <c r="A102" s="5" t="inlineStr">
        <is>
          <t>Physical Gold</t>
        </is>
      </c>
      <c r="B102" s="28" t="n">
        <v>46600</v>
      </c>
      <c r="C102" s="11">
        <f>SUMIFS(Month_End!$D:$D,Month_End!$A:$A,B102,Month_End!$B:$B,A102)</f>
        <v/>
      </c>
      <c r="D102" s="11">
        <f>SUMIFS(Transactions_PAC!$H:$H,Transactions_PAC!$B:$B,B102,Transactions_PAC!$C:$C,A102)</f>
        <v/>
      </c>
      <c r="E102" s="11">
        <f>SUMIFS(Transactions_Manual!$E:$E,Transactions_Manual!$B:$B,B102,Transactions_Manual!$C:$C,A102)</f>
        <v/>
      </c>
      <c r="F102" s="11">
        <f>D102+E102</f>
        <v/>
      </c>
      <c r="G102" s="11">
        <f>C101</f>
        <v/>
      </c>
      <c r="H102" s="11">
        <f>IF(OR(G102="",A102="Savings"),"",C102-G102-F102)</f>
        <v/>
      </c>
      <c r="I102" s="45">
        <f>IF(OR(H102="",G102=0), "", H102/G102)</f>
        <v/>
      </c>
    </row>
    <row r="103">
      <c r="A103" s="5" t="inlineStr">
        <is>
          <t>Physical Gold</t>
        </is>
      </c>
      <c r="B103" s="28" t="n">
        <v>46631</v>
      </c>
      <c r="C103" s="11">
        <f>SUMIFS(Month_End!$D:$D,Month_End!$A:$A,B103,Month_End!$B:$B,A103)</f>
        <v/>
      </c>
      <c r="D103" s="11">
        <f>SUMIFS(Transactions_PAC!$H:$H,Transactions_PAC!$B:$B,B103,Transactions_PAC!$C:$C,A103)</f>
        <v/>
      </c>
      <c r="E103" s="11">
        <f>SUMIFS(Transactions_Manual!$E:$E,Transactions_Manual!$B:$B,B103,Transactions_Manual!$C:$C,A103)</f>
        <v/>
      </c>
      <c r="F103" s="11">
        <f>D103+E103</f>
        <v/>
      </c>
      <c r="G103" s="11">
        <f>C102</f>
        <v/>
      </c>
      <c r="H103" s="11">
        <f>IF(OR(G103="",A103="Savings"),"",C103-G103-F103)</f>
        <v/>
      </c>
      <c r="I103" s="45">
        <f>IF(OR(H103="",G103=0), "", H103/G103)</f>
        <v/>
      </c>
    </row>
    <row r="104">
      <c r="A104" s="5" t="inlineStr">
        <is>
          <t>Physical Gold</t>
        </is>
      </c>
      <c r="B104" s="28" t="n">
        <v>46661</v>
      </c>
      <c r="C104" s="11">
        <f>SUMIFS(Month_End!$D:$D,Month_End!$A:$A,B104,Month_End!$B:$B,A104)</f>
        <v/>
      </c>
      <c r="D104" s="11">
        <f>SUMIFS(Transactions_PAC!$H:$H,Transactions_PAC!$B:$B,B104,Transactions_PAC!$C:$C,A104)</f>
        <v/>
      </c>
      <c r="E104" s="11">
        <f>SUMIFS(Transactions_Manual!$E:$E,Transactions_Manual!$B:$B,B104,Transactions_Manual!$C:$C,A104)</f>
        <v/>
      </c>
      <c r="F104" s="11">
        <f>D104+E104</f>
        <v/>
      </c>
      <c r="G104" s="11">
        <f>C103</f>
        <v/>
      </c>
      <c r="H104" s="11">
        <f>IF(OR(G104="",A104="Savings"),"",C104-G104-F104)</f>
        <v/>
      </c>
      <c r="I104" s="45">
        <f>IF(OR(H104="",G104=0), "", H104/G104)</f>
        <v/>
      </c>
    </row>
    <row r="105">
      <c r="A105" s="5" t="inlineStr">
        <is>
          <t>Physical Gold</t>
        </is>
      </c>
      <c r="B105" s="28" t="n">
        <v>46692</v>
      </c>
      <c r="C105" s="11">
        <f>SUMIFS(Month_End!$D:$D,Month_End!$A:$A,B105,Month_End!$B:$B,A105)</f>
        <v/>
      </c>
      <c r="D105" s="11">
        <f>SUMIFS(Transactions_PAC!$H:$H,Transactions_PAC!$B:$B,B105,Transactions_PAC!$C:$C,A105)</f>
        <v/>
      </c>
      <c r="E105" s="11">
        <f>SUMIFS(Transactions_Manual!$E:$E,Transactions_Manual!$B:$B,B105,Transactions_Manual!$C:$C,A105)</f>
        <v/>
      </c>
      <c r="F105" s="11">
        <f>D105+E105</f>
        <v/>
      </c>
      <c r="G105" s="11">
        <f>C104</f>
        <v/>
      </c>
      <c r="H105" s="11">
        <f>IF(OR(G105="",A105="Savings"),"",C105-G105-F105)</f>
        <v/>
      </c>
      <c r="I105" s="45">
        <f>IF(OR(H105="",G105=0), "", H105/G105)</f>
        <v/>
      </c>
    </row>
    <row r="106">
      <c r="A106" s="5" t="inlineStr">
        <is>
          <t>Physical Gold</t>
        </is>
      </c>
      <c r="B106" s="28" t="n">
        <v>46722</v>
      </c>
      <c r="C106" s="11">
        <f>SUMIFS(Month_End!$D:$D,Month_End!$A:$A,B106,Month_End!$B:$B,A106)</f>
        <v/>
      </c>
      <c r="D106" s="11">
        <f>SUMIFS(Transactions_PAC!$H:$H,Transactions_PAC!$B:$B,B106,Transactions_PAC!$C:$C,A106)</f>
        <v/>
      </c>
      <c r="E106" s="11">
        <f>SUMIFS(Transactions_Manual!$E:$E,Transactions_Manual!$B:$B,B106,Transactions_Manual!$C:$C,A106)</f>
        <v/>
      </c>
      <c r="F106" s="11">
        <f>D106+E106</f>
        <v/>
      </c>
      <c r="G106" s="11">
        <f>C105</f>
        <v/>
      </c>
      <c r="H106" s="11">
        <f>IF(OR(G106="",A106="Savings"),"",C106-G106-F106)</f>
        <v/>
      </c>
      <c r="I106" s="45">
        <f>IF(OR(H106="",G106=0), "", H106/G106)</f>
        <v/>
      </c>
    </row>
    <row r="107">
      <c r="A107" s="5" t="inlineStr">
        <is>
          <t>Physical Gold</t>
        </is>
      </c>
      <c r="B107" s="28" t="n">
        <v>46753</v>
      </c>
      <c r="C107" s="11">
        <f>SUMIFS(Month_End!$D:$D,Month_End!$A:$A,B107,Month_End!$B:$B,A107)</f>
        <v/>
      </c>
      <c r="D107" s="11">
        <f>SUMIFS(Transactions_PAC!$H:$H,Transactions_PAC!$B:$B,B107,Transactions_PAC!$C:$C,A107)</f>
        <v/>
      </c>
      <c r="E107" s="11">
        <f>SUMIFS(Transactions_Manual!$E:$E,Transactions_Manual!$B:$B,B107,Transactions_Manual!$C:$C,A107)</f>
        <v/>
      </c>
      <c r="F107" s="11">
        <f>D107+E107</f>
        <v/>
      </c>
      <c r="G107" s="11">
        <f>C106</f>
        <v/>
      </c>
      <c r="H107" s="11">
        <f>IF(OR(G107="",A107="Savings"),"",C107-G107-F107)</f>
        <v/>
      </c>
      <c r="I107" s="45">
        <f>IF(OR(H107="",G107=0), "", H107/G107)</f>
        <v/>
      </c>
    </row>
    <row r="108">
      <c r="A108" s="5" t="inlineStr">
        <is>
          <t>Physical Gold</t>
        </is>
      </c>
      <c r="B108" s="28" t="n">
        <v>46784</v>
      </c>
      <c r="C108" s="11">
        <f>SUMIFS(Month_End!$D:$D,Month_End!$A:$A,B108,Month_End!$B:$B,A108)</f>
        <v/>
      </c>
      <c r="D108" s="11">
        <f>SUMIFS(Transactions_PAC!$H:$H,Transactions_PAC!$B:$B,B108,Transactions_PAC!$C:$C,A108)</f>
        <v/>
      </c>
      <c r="E108" s="11">
        <f>SUMIFS(Transactions_Manual!$E:$E,Transactions_Manual!$B:$B,B108,Transactions_Manual!$C:$C,A108)</f>
        <v/>
      </c>
      <c r="F108" s="11">
        <f>D108+E108</f>
        <v/>
      </c>
      <c r="G108" s="11">
        <f>C107</f>
        <v/>
      </c>
      <c r="H108" s="11">
        <f>IF(OR(G108="",A108="Savings"),"",C108-G108-F108)</f>
        <v/>
      </c>
      <c r="I108" s="45">
        <f>IF(OR(H108="",G108=0), "", H108/G108)</f>
        <v/>
      </c>
    </row>
    <row r="109">
      <c r="A109" s="5" t="inlineStr">
        <is>
          <t>Physical Gold</t>
        </is>
      </c>
      <c r="B109" s="28" t="n">
        <v>46813</v>
      </c>
      <c r="C109" s="11">
        <f>SUMIFS(Month_End!$D:$D,Month_End!$A:$A,B109,Month_End!$B:$B,A109)</f>
        <v/>
      </c>
      <c r="D109" s="11">
        <f>SUMIFS(Transactions_PAC!$H:$H,Transactions_PAC!$B:$B,B109,Transactions_PAC!$C:$C,A109)</f>
        <v/>
      </c>
      <c r="E109" s="11">
        <f>SUMIFS(Transactions_Manual!$E:$E,Transactions_Manual!$B:$B,B109,Transactions_Manual!$C:$C,A109)</f>
        <v/>
      </c>
      <c r="F109" s="11">
        <f>D109+E109</f>
        <v/>
      </c>
      <c r="G109" s="11">
        <f>C108</f>
        <v/>
      </c>
      <c r="H109" s="11">
        <f>IF(OR(G109="",A109="Savings"),"",C109-G109-F109)</f>
        <v/>
      </c>
      <c r="I109" s="45">
        <f>IF(OR(H109="",G109=0), "", H109/G109)</f>
        <v/>
      </c>
    </row>
    <row r="110">
      <c r="A110" s="5" t="inlineStr">
        <is>
          <t>Physical Gold</t>
        </is>
      </c>
      <c r="B110" s="28" t="n">
        <v>46844</v>
      </c>
      <c r="C110" s="11">
        <f>SUMIFS(Month_End!$D:$D,Month_End!$A:$A,B110,Month_End!$B:$B,A110)</f>
        <v/>
      </c>
      <c r="D110" s="11">
        <f>SUMIFS(Transactions_PAC!$H:$H,Transactions_PAC!$B:$B,B110,Transactions_PAC!$C:$C,A110)</f>
        <v/>
      </c>
      <c r="E110" s="11">
        <f>SUMIFS(Transactions_Manual!$E:$E,Transactions_Manual!$B:$B,B110,Transactions_Manual!$C:$C,A110)</f>
        <v/>
      </c>
      <c r="F110" s="11">
        <f>D110+E110</f>
        <v/>
      </c>
      <c r="G110" s="11">
        <f>C109</f>
        <v/>
      </c>
      <c r="H110" s="11">
        <f>IF(OR(G110="",A110="Savings"),"",C110-G110-F110)</f>
        <v/>
      </c>
      <c r="I110" s="45">
        <f>IF(OR(H110="",G110=0), "", H110/G110)</f>
        <v/>
      </c>
    </row>
    <row r="111">
      <c r="A111" s="5" t="inlineStr">
        <is>
          <t>Physical Gold</t>
        </is>
      </c>
      <c r="B111" s="28" t="n">
        <v>46874</v>
      </c>
      <c r="C111" s="11">
        <f>SUMIFS(Month_End!$D:$D,Month_End!$A:$A,B111,Month_End!$B:$B,A111)</f>
        <v/>
      </c>
      <c r="D111" s="11">
        <f>SUMIFS(Transactions_PAC!$H:$H,Transactions_PAC!$B:$B,B111,Transactions_PAC!$C:$C,A111)</f>
        <v/>
      </c>
      <c r="E111" s="11">
        <f>SUMIFS(Transactions_Manual!$E:$E,Transactions_Manual!$B:$B,B111,Transactions_Manual!$C:$C,A111)</f>
        <v/>
      </c>
      <c r="F111" s="11">
        <f>D111+E111</f>
        <v/>
      </c>
      <c r="G111" s="11">
        <f>C110</f>
        <v/>
      </c>
      <c r="H111" s="11">
        <f>IF(OR(G111="",A111="Savings"),"",C111-G111-F111)</f>
        <v/>
      </c>
      <c r="I111" s="45">
        <f>IF(OR(H111="",G111=0), "", H111/G111)</f>
        <v/>
      </c>
    </row>
    <row r="112">
      <c r="A112" s="5" t="inlineStr">
        <is>
          <t>Physical Gold</t>
        </is>
      </c>
      <c r="B112" s="28" t="n">
        <v>46905</v>
      </c>
      <c r="C112" s="11">
        <f>SUMIFS(Month_End!$D:$D,Month_End!$A:$A,B112,Month_End!$B:$B,A112)</f>
        <v/>
      </c>
      <c r="D112" s="11">
        <f>SUMIFS(Transactions_PAC!$H:$H,Transactions_PAC!$B:$B,B112,Transactions_PAC!$C:$C,A112)</f>
        <v/>
      </c>
      <c r="E112" s="11">
        <f>SUMIFS(Transactions_Manual!$E:$E,Transactions_Manual!$B:$B,B112,Transactions_Manual!$C:$C,A112)</f>
        <v/>
      </c>
      <c r="F112" s="11">
        <f>D112+E112</f>
        <v/>
      </c>
      <c r="G112" s="11">
        <f>C111</f>
        <v/>
      </c>
      <c r="H112" s="11">
        <f>IF(OR(G112="",A112="Savings"),"",C112-G112-F112)</f>
        <v/>
      </c>
      <c r="I112" s="45">
        <f>IF(OR(H112="",G112=0), "", H112/G112)</f>
        <v/>
      </c>
    </row>
    <row r="113">
      <c r="A113" s="5" t="inlineStr">
        <is>
          <t>Physical Gold</t>
        </is>
      </c>
      <c r="B113" s="28" t="n">
        <v>46935</v>
      </c>
      <c r="C113" s="11">
        <f>SUMIFS(Month_End!$D:$D,Month_End!$A:$A,B113,Month_End!$B:$B,A113)</f>
        <v/>
      </c>
      <c r="D113" s="11">
        <f>SUMIFS(Transactions_PAC!$H:$H,Transactions_PAC!$B:$B,B113,Transactions_PAC!$C:$C,A113)</f>
        <v/>
      </c>
      <c r="E113" s="11">
        <f>SUMIFS(Transactions_Manual!$E:$E,Transactions_Manual!$B:$B,B113,Transactions_Manual!$C:$C,A113)</f>
        <v/>
      </c>
      <c r="F113" s="11">
        <f>D113+E113</f>
        <v/>
      </c>
      <c r="G113" s="11">
        <f>C112</f>
        <v/>
      </c>
      <c r="H113" s="11">
        <f>IF(OR(G113="",A113="Savings"),"",C113-G113-F113)</f>
        <v/>
      </c>
      <c r="I113" s="45">
        <f>IF(OR(H113="",G113=0), "", H113/G113)</f>
        <v/>
      </c>
    </row>
    <row r="114">
      <c r="A114" s="5" t="inlineStr">
        <is>
          <t>Physical Gold</t>
        </is>
      </c>
      <c r="B114" s="28" t="n">
        <v>46966</v>
      </c>
      <c r="C114" s="11">
        <f>SUMIFS(Month_End!$D:$D,Month_End!$A:$A,B114,Month_End!$B:$B,A114)</f>
        <v/>
      </c>
      <c r="D114" s="11">
        <f>SUMIFS(Transactions_PAC!$H:$H,Transactions_PAC!$B:$B,B114,Transactions_PAC!$C:$C,A114)</f>
        <v/>
      </c>
      <c r="E114" s="11">
        <f>SUMIFS(Transactions_Manual!$E:$E,Transactions_Manual!$B:$B,B114,Transactions_Manual!$C:$C,A114)</f>
        <v/>
      </c>
      <c r="F114" s="11">
        <f>D114+E114</f>
        <v/>
      </c>
      <c r="G114" s="11">
        <f>C113</f>
        <v/>
      </c>
      <c r="H114" s="11">
        <f>IF(OR(G114="",A114="Savings"),"",C114-G114-F114)</f>
        <v/>
      </c>
      <c r="I114" s="45">
        <f>IF(OR(H114="",G114=0), "", H114/G114)</f>
        <v/>
      </c>
    </row>
    <row r="115">
      <c r="A115" s="5" t="inlineStr">
        <is>
          <t>Physical Gold</t>
        </is>
      </c>
      <c r="B115" s="28" t="n">
        <v>46997</v>
      </c>
      <c r="C115" s="11">
        <f>SUMIFS(Month_End!$D:$D,Month_End!$A:$A,B115,Month_End!$B:$B,A115)</f>
        <v/>
      </c>
      <c r="D115" s="11">
        <f>SUMIFS(Transactions_PAC!$H:$H,Transactions_PAC!$B:$B,B115,Transactions_PAC!$C:$C,A115)</f>
        <v/>
      </c>
      <c r="E115" s="11">
        <f>SUMIFS(Transactions_Manual!$E:$E,Transactions_Manual!$B:$B,B115,Transactions_Manual!$C:$C,A115)</f>
        <v/>
      </c>
      <c r="F115" s="11">
        <f>D115+E115</f>
        <v/>
      </c>
      <c r="G115" s="11">
        <f>C114</f>
        <v/>
      </c>
      <c r="H115" s="11">
        <f>IF(OR(G115="",A115="Savings"),"",C115-G115-F115)</f>
        <v/>
      </c>
      <c r="I115" s="45">
        <f>IF(OR(H115="",G115=0), "", H115/G115)</f>
        <v/>
      </c>
    </row>
    <row r="116">
      <c r="A116" s="5" t="inlineStr">
        <is>
          <t>Physical Gold</t>
        </is>
      </c>
      <c r="B116" s="28" t="n">
        <v>47027</v>
      </c>
      <c r="C116" s="11">
        <f>SUMIFS(Month_End!$D:$D,Month_End!$A:$A,B116,Month_End!$B:$B,A116)</f>
        <v/>
      </c>
      <c r="D116" s="11">
        <f>SUMIFS(Transactions_PAC!$H:$H,Transactions_PAC!$B:$B,B116,Transactions_PAC!$C:$C,A116)</f>
        <v/>
      </c>
      <c r="E116" s="11">
        <f>SUMIFS(Transactions_Manual!$E:$E,Transactions_Manual!$B:$B,B116,Transactions_Manual!$C:$C,A116)</f>
        <v/>
      </c>
      <c r="F116" s="11">
        <f>D116+E116</f>
        <v/>
      </c>
      <c r="G116" s="11">
        <f>C115</f>
        <v/>
      </c>
      <c r="H116" s="11">
        <f>IF(OR(G116="",A116="Savings"),"",C116-G116-F116)</f>
        <v/>
      </c>
      <c r="I116" s="45">
        <f>IF(OR(H116="",G116=0), "", H116/G116)</f>
        <v/>
      </c>
    </row>
    <row r="117">
      <c r="A117" s="5" t="inlineStr">
        <is>
          <t>Physical Gold</t>
        </is>
      </c>
      <c r="B117" s="28" t="n">
        <v>47058</v>
      </c>
      <c r="C117" s="11">
        <f>SUMIFS(Month_End!$D:$D,Month_End!$A:$A,B117,Month_End!$B:$B,A117)</f>
        <v/>
      </c>
      <c r="D117" s="11">
        <f>SUMIFS(Transactions_PAC!$H:$H,Transactions_PAC!$B:$B,B117,Transactions_PAC!$C:$C,A117)</f>
        <v/>
      </c>
      <c r="E117" s="11">
        <f>SUMIFS(Transactions_Manual!$E:$E,Transactions_Manual!$B:$B,B117,Transactions_Manual!$C:$C,A117)</f>
        <v/>
      </c>
      <c r="F117" s="11">
        <f>D117+E117</f>
        <v/>
      </c>
      <c r="G117" s="11">
        <f>C116</f>
        <v/>
      </c>
      <c r="H117" s="11">
        <f>IF(OR(G117="",A117="Savings"),"",C117-G117-F117)</f>
        <v/>
      </c>
      <c r="I117" s="45">
        <f>IF(OR(H117="",G117=0), "", H117/G117)</f>
        <v/>
      </c>
    </row>
    <row r="118">
      <c r="A118" s="5" t="inlineStr">
        <is>
          <t>Physical Gold</t>
        </is>
      </c>
      <c r="B118" s="28" t="n">
        <v>47088</v>
      </c>
      <c r="C118" s="11">
        <f>SUMIFS(Month_End!$D:$D,Month_End!$A:$A,B118,Month_End!$B:$B,A118)</f>
        <v/>
      </c>
      <c r="D118" s="11">
        <f>SUMIFS(Transactions_PAC!$H:$H,Transactions_PAC!$B:$B,B118,Transactions_PAC!$C:$C,A118)</f>
        <v/>
      </c>
      <c r="E118" s="11">
        <f>SUMIFS(Transactions_Manual!$E:$E,Transactions_Manual!$B:$B,B118,Transactions_Manual!$C:$C,A118)</f>
        <v/>
      </c>
      <c r="F118" s="11">
        <f>D118+E118</f>
        <v/>
      </c>
      <c r="G118" s="11">
        <f>C117</f>
        <v/>
      </c>
      <c r="H118" s="11">
        <f>IF(OR(G118="",A118="Savings"),"",C118-G118-F118)</f>
        <v/>
      </c>
      <c r="I118" s="45">
        <f>IF(OR(H118="",G118=0), "", H118/G118)</f>
        <v/>
      </c>
    </row>
    <row r="119">
      <c r="A119" s="5" t="inlineStr">
        <is>
          <t>Global Gov Bond</t>
        </is>
      </c>
      <c r="B119" s="28" t="n">
        <v>45931</v>
      </c>
      <c r="C119" s="11">
        <f>SUMIFS(Month_End!$D:$D,Month_End!$A:$A,B119,Month_End!$B:$B,A119)</f>
        <v/>
      </c>
      <c r="D119" s="11">
        <f>SUMIFS(Transactions_PAC!$H:$H,Transactions_PAC!$B:$B,B119,Transactions_PAC!$C:$C,A119)</f>
        <v/>
      </c>
      <c r="E119" s="11">
        <f>SUMIFS(Transactions_Manual!$E:$E,Transactions_Manual!$B:$B,B119,Transactions_Manual!$C:$C,A119)</f>
        <v/>
      </c>
      <c r="F119" s="11">
        <f>D119+E119</f>
        <v/>
      </c>
      <c r="G119" s="11" t="inlineStr"/>
      <c r="H119" s="11">
        <f>IF(OR(G119="",A119="Savings"),"",C119-G119-F119)</f>
        <v/>
      </c>
      <c r="I119" s="45">
        <f>IF(OR(H119="",G119=0), "", H119/G119)</f>
        <v/>
      </c>
    </row>
    <row r="120">
      <c r="A120" s="5" t="inlineStr">
        <is>
          <t>Global Gov Bond</t>
        </is>
      </c>
      <c r="B120" s="28" t="n">
        <v>45962</v>
      </c>
      <c r="C120" s="11">
        <f>SUMIFS(Month_End!$D:$D,Month_End!$A:$A,B120,Month_End!$B:$B,A120)</f>
        <v/>
      </c>
      <c r="D120" s="11">
        <f>SUMIFS(Transactions_PAC!$H:$H,Transactions_PAC!$B:$B,B120,Transactions_PAC!$C:$C,A120)</f>
        <v/>
      </c>
      <c r="E120" s="11">
        <f>SUMIFS(Transactions_Manual!$E:$E,Transactions_Manual!$B:$B,B120,Transactions_Manual!$C:$C,A120)</f>
        <v/>
      </c>
      <c r="F120" s="11">
        <f>D120+E120</f>
        <v/>
      </c>
      <c r="G120" s="11">
        <f>C119</f>
        <v/>
      </c>
      <c r="H120" s="11">
        <f>IF(OR(G120="",A120="Savings"),"",C120-G120-F120)</f>
        <v/>
      </c>
      <c r="I120" s="45">
        <f>IF(OR(H120="",G120=0), "", H120/G120)</f>
        <v/>
      </c>
    </row>
    <row r="121">
      <c r="A121" s="5" t="inlineStr">
        <is>
          <t>Global Gov Bond</t>
        </is>
      </c>
      <c r="B121" s="28" t="n">
        <v>45992</v>
      </c>
      <c r="C121" s="11">
        <f>SUMIFS(Month_End!$D:$D,Month_End!$A:$A,B121,Month_End!$B:$B,A121)</f>
        <v/>
      </c>
      <c r="D121" s="11">
        <f>SUMIFS(Transactions_PAC!$H:$H,Transactions_PAC!$B:$B,B121,Transactions_PAC!$C:$C,A121)</f>
        <v/>
      </c>
      <c r="E121" s="11">
        <f>SUMIFS(Transactions_Manual!$E:$E,Transactions_Manual!$B:$B,B121,Transactions_Manual!$C:$C,A121)</f>
        <v/>
      </c>
      <c r="F121" s="11">
        <f>D121+E121</f>
        <v/>
      </c>
      <c r="G121" s="11">
        <f>C120</f>
        <v/>
      </c>
      <c r="H121" s="11">
        <f>IF(OR(G121="",A121="Savings"),"",C121-G121-F121)</f>
        <v/>
      </c>
      <c r="I121" s="45">
        <f>IF(OR(H121="",G121=0), "", H121/G121)</f>
        <v/>
      </c>
    </row>
    <row r="122">
      <c r="A122" s="5" t="inlineStr">
        <is>
          <t>Global Gov Bond</t>
        </is>
      </c>
      <c r="B122" s="28" t="n">
        <v>46023</v>
      </c>
      <c r="C122" s="11">
        <f>SUMIFS(Month_End!$D:$D,Month_End!$A:$A,B122,Month_End!$B:$B,A122)</f>
        <v/>
      </c>
      <c r="D122" s="11">
        <f>SUMIFS(Transactions_PAC!$H:$H,Transactions_PAC!$B:$B,B122,Transactions_PAC!$C:$C,A122)</f>
        <v/>
      </c>
      <c r="E122" s="11">
        <f>SUMIFS(Transactions_Manual!$E:$E,Transactions_Manual!$B:$B,B122,Transactions_Manual!$C:$C,A122)</f>
        <v/>
      </c>
      <c r="F122" s="11">
        <f>D122+E122</f>
        <v/>
      </c>
      <c r="G122" s="11">
        <f>C121</f>
        <v/>
      </c>
      <c r="H122" s="11">
        <f>IF(OR(G122="",A122="Savings"),"",C122-G122-F122)</f>
        <v/>
      </c>
      <c r="I122" s="45">
        <f>IF(OR(H122="",G122=0), "", H122/G122)</f>
        <v/>
      </c>
    </row>
    <row r="123">
      <c r="A123" s="5" t="inlineStr">
        <is>
          <t>Global Gov Bond</t>
        </is>
      </c>
      <c r="B123" s="28" t="n">
        <v>46054</v>
      </c>
      <c r="C123" s="11">
        <f>SUMIFS(Month_End!$D:$D,Month_End!$A:$A,B123,Month_End!$B:$B,A123)</f>
        <v/>
      </c>
      <c r="D123" s="11">
        <f>SUMIFS(Transactions_PAC!$H:$H,Transactions_PAC!$B:$B,B123,Transactions_PAC!$C:$C,A123)</f>
        <v/>
      </c>
      <c r="E123" s="11">
        <f>SUMIFS(Transactions_Manual!$E:$E,Transactions_Manual!$B:$B,B123,Transactions_Manual!$C:$C,A123)</f>
        <v/>
      </c>
      <c r="F123" s="11">
        <f>D123+E123</f>
        <v/>
      </c>
      <c r="G123" s="11">
        <f>C122</f>
        <v/>
      </c>
      <c r="H123" s="11">
        <f>IF(OR(G123="",A123="Savings"),"",C123-G123-F123)</f>
        <v/>
      </c>
      <c r="I123" s="45">
        <f>IF(OR(H123="",G123=0), "", H123/G123)</f>
        <v/>
      </c>
    </row>
    <row r="124">
      <c r="A124" s="5" t="inlineStr">
        <is>
          <t>Global Gov Bond</t>
        </is>
      </c>
      <c r="B124" s="28" t="n">
        <v>46082</v>
      </c>
      <c r="C124" s="11">
        <f>SUMIFS(Month_End!$D:$D,Month_End!$A:$A,B124,Month_End!$B:$B,A124)</f>
        <v/>
      </c>
      <c r="D124" s="11">
        <f>SUMIFS(Transactions_PAC!$H:$H,Transactions_PAC!$B:$B,B124,Transactions_PAC!$C:$C,A124)</f>
        <v/>
      </c>
      <c r="E124" s="11">
        <f>SUMIFS(Transactions_Manual!$E:$E,Transactions_Manual!$B:$B,B124,Transactions_Manual!$C:$C,A124)</f>
        <v/>
      </c>
      <c r="F124" s="11">
        <f>D124+E124</f>
        <v/>
      </c>
      <c r="G124" s="11">
        <f>C123</f>
        <v/>
      </c>
      <c r="H124" s="11">
        <f>IF(OR(G124="",A124="Savings"),"",C124-G124-F124)</f>
        <v/>
      </c>
      <c r="I124" s="45">
        <f>IF(OR(H124="",G124=0), "", H124/G124)</f>
        <v/>
      </c>
    </row>
    <row r="125">
      <c r="A125" s="5" t="inlineStr">
        <is>
          <t>Global Gov Bond</t>
        </is>
      </c>
      <c r="B125" s="28" t="n">
        <v>46113</v>
      </c>
      <c r="C125" s="11">
        <f>SUMIFS(Month_End!$D:$D,Month_End!$A:$A,B125,Month_End!$B:$B,A125)</f>
        <v/>
      </c>
      <c r="D125" s="11">
        <f>SUMIFS(Transactions_PAC!$H:$H,Transactions_PAC!$B:$B,B125,Transactions_PAC!$C:$C,A125)</f>
        <v/>
      </c>
      <c r="E125" s="11">
        <f>SUMIFS(Transactions_Manual!$E:$E,Transactions_Manual!$B:$B,B125,Transactions_Manual!$C:$C,A125)</f>
        <v/>
      </c>
      <c r="F125" s="11">
        <f>D125+E125</f>
        <v/>
      </c>
      <c r="G125" s="11">
        <f>C124</f>
        <v/>
      </c>
      <c r="H125" s="11">
        <f>IF(OR(G125="",A125="Savings"),"",C125-G125-F125)</f>
        <v/>
      </c>
      <c r="I125" s="45">
        <f>IF(OR(H125="",G125=0), "", H125/G125)</f>
        <v/>
      </c>
    </row>
    <row r="126">
      <c r="A126" s="5" t="inlineStr">
        <is>
          <t>Global Gov Bond</t>
        </is>
      </c>
      <c r="B126" s="28" t="n">
        <v>46143</v>
      </c>
      <c r="C126" s="11">
        <f>SUMIFS(Month_End!$D:$D,Month_End!$A:$A,B126,Month_End!$B:$B,A126)</f>
        <v/>
      </c>
      <c r="D126" s="11">
        <f>SUMIFS(Transactions_PAC!$H:$H,Transactions_PAC!$B:$B,B126,Transactions_PAC!$C:$C,A126)</f>
        <v/>
      </c>
      <c r="E126" s="11">
        <f>SUMIFS(Transactions_Manual!$E:$E,Transactions_Manual!$B:$B,B126,Transactions_Manual!$C:$C,A126)</f>
        <v/>
      </c>
      <c r="F126" s="11">
        <f>D126+E126</f>
        <v/>
      </c>
      <c r="G126" s="11">
        <f>C125</f>
        <v/>
      </c>
      <c r="H126" s="11">
        <f>IF(OR(G126="",A126="Savings"),"",C126-G126-F126)</f>
        <v/>
      </c>
      <c r="I126" s="45">
        <f>IF(OR(H126="",G126=0), "", H126/G126)</f>
        <v/>
      </c>
    </row>
    <row r="127">
      <c r="A127" s="5" t="inlineStr">
        <is>
          <t>Global Gov Bond</t>
        </is>
      </c>
      <c r="B127" s="28" t="n">
        <v>46174</v>
      </c>
      <c r="C127" s="11">
        <f>SUMIFS(Month_End!$D:$D,Month_End!$A:$A,B127,Month_End!$B:$B,A127)</f>
        <v/>
      </c>
      <c r="D127" s="11">
        <f>SUMIFS(Transactions_PAC!$H:$H,Transactions_PAC!$B:$B,B127,Transactions_PAC!$C:$C,A127)</f>
        <v/>
      </c>
      <c r="E127" s="11">
        <f>SUMIFS(Transactions_Manual!$E:$E,Transactions_Manual!$B:$B,B127,Transactions_Manual!$C:$C,A127)</f>
        <v/>
      </c>
      <c r="F127" s="11">
        <f>D127+E127</f>
        <v/>
      </c>
      <c r="G127" s="11">
        <f>C126</f>
        <v/>
      </c>
      <c r="H127" s="11">
        <f>IF(OR(G127="",A127="Savings"),"",C127-G127-F127)</f>
        <v/>
      </c>
      <c r="I127" s="45">
        <f>IF(OR(H127="",G127=0), "", H127/G127)</f>
        <v/>
      </c>
    </row>
    <row r="128">
      <c r="A128" s="5" t="inlineStr">
        <is>
          <t>Global Gov Bond</t>
        </is>
      </c>
      <c r="B128" s="28" t="n">
        <v>46204</v>
      </c>
      <c r="C128" s="11">
        <f>SUMIFS(Month_End!$D:$D,Month_End!$A:$A,B128,Month_End!$B:$B,A128)</f>
        <v/>
      </c>
      <c r="D128" s="11">
        <f>SUMIFS(Transactions_PAC!$H:$H,Transactions_PAC!$B:$B,B128,Transactions_PAC!$C:$C,A128)</f>
        <v/>
      </c>
      <c r="E128" s="11">
        <f>SUMIFS(Transactions_Manual!$E:$E,Transactions_Manual!$B:$B,B128,Transactions_Manual!$C:$C,A128)</f>
        <v/>
      </c>
      <c r="F128" s="11">
        <f>D128+E128</f>
        <v/>
      </c>
      <c r="G128" s="11">
        <f>C127</f>
        <v/>
      </c>
      <c r="H128" s="11">
        <f>IF(OR(G128="",A128="Savings"),"",C128-G128-F128)</f>
        <v/>
      </c>
      <c r="I128" s="45">
        <f>IF(OR(H128="",G128=0), "", H128/G128)</f>
        <v/>
      </c>
    </row>
    <row r="129">
      <c r="A129" s="5" t="inlineStr">
        <is>
          <t>Global Gov Bond</t>
        </is>
      </c>
      <c r="B129" s="28" t="n">
        <v>46235</v>
      </c>
      <c r="C129" s="11">
        <f>SUMIFS(Month_End!$D:$D,Month_End!$A:$A,B129,Month_End!$B:$B,A129)</f>
        <v/>
      </c>
      <c r="D129" s="11">
        <f>SUMIFS(Transactions_PAC!$H:$H,Transactions_PAC!$B:$B,B129,Transactions_PAC!$C:$C,A129)</f>
        <v/>
      </c>
      <c r="E129" s="11">
        <f>SUMIFS(Transactions_Manual!$E:$E,Transactions_Manual!$B:$B,B129,Transactions_Manual!$C:$C,A129)</f>
        <v/>
      </c>
      <c r="F129" s="11">
        <f>D129+E129</f>
        <v/>
      </c>
      <c r="G129" s="11">
        <f>C128</f>
        <v/>
      </c>
      <c r="H129" s="11">
        <f>IF(OR(G129="",A129="Savings"),"",C129-G129-F129)</f>
        <v/>
      </c>
      <c r="I129" s="45">
        <f>IF(OR(H129="",G129=0), "", H129/G129)</f>
        <v/>
      </c>
    </row>
    <row r="130">
      <c r="A130" s="5" t="inlineStr">
        <is>
          <t>Global Gov Bond</t>
        </is>
      </c>
      <c r="B130" s="28" t="n">
        <v>46266</v>
      </c>
      <c r="C130" s="11">
        <f>SUMIFS(Month_End!$D:$D,Month_End!$A:$A,B130,Month_End!$B:$B,A130)</f>
        <v/>
      </c>
      <c r="D130" s="11">
        <f>SUMIFS(Transactions_PAC!$H:$H,Transactions_PAC!$B:$B,B130,Transactions_PAC!$C:$C,A130)</f>
        <v/>
      </c>
      <c r="E130" s="11">
        <f>SUMIFS(Transactions_Manual!$E:$E,Transactions_Manual!$B:$B,B130,Transactions_Manual!$C:$C,A130)</f>
        <v/>
      </c>
      <c r="F130" s="11">
        <f>D130+E130</f>
        <v/>
      </c>
      <c r="G130" s="11">
        <f>C129</f>
        <v/>
      </c>
      <c r="H130" s="11">
        <f>IF(OR(G130="",A130="Savings"),"",C130-G130-F130)</f>
        <v/>
      </c>
      <c r="I130" s="45">
        <f>IF(OR(H130="",G130=0), "", H130/G130)</f>
        <v/>
      </c>
    </row>
    <row r="131">
      <c r="A131" s="5" t="inlineStr">
        <is>
          <t>Global Gov Bond</t>
        </is>
      </c>
      <c r="B131" s="28" t="n">
        <v>46296</v>
      </c>
      <c r="C131" s="11">
        <f>SUMIFS(Month_End!$D:$D,Month_End!$A:$A,B131,Month_End!$B:$B,A131)</f>
        <v/>
      </c>
      <c r="D131" s="11">
        <f>SUMIFS(Transactions_PAC!$H:$H,Transactions_PAC!$B:$B,B131,Transactions_PAC!$C:$C,A131)</f>
        <v/>
      </c>
      <c r="E131" s="11">
        <f>SUMIFS(Transactions_Manual!$E:$E,Transactions_Manual!$B:$B,B131,Transactions_Manual!$C:$C,A131)</f>
        <v/>
      </c>
      <c r="F131" s="11">
        <f>D131+E131</f>
        <v/>
      </c>
      <c r="G131" s="11">
        <f>C130</f>
        <v/>
      </c>
      <c r="H131" s="11">
        <f>IF(OR(G131="",A131="Savings"),"",C131-G131-F131)</f>
        <v/>
      </c>
      <c r="I131" s="45">
        <f>IF(OR(H131="",G131=0), "", H131/G131)</f>
        <v/>
      </c>
    </row>
    <row r="132">
      <c r="A132" s="5" t="inlineStr">
        <is>
          <t>Global Gov Bond</t>
        </is>
      </c>
      <c r="B132" s="28" t="n">
        <v>46327</v>
      </c>
      <c r="C132" s="11">
        <f>SUMIFS(Month_End!$D:$D,Month_End!$A:$A,B132,Month_End!$B:$B,A132)</f>
        <v/>
      </c>
      <c r="D132" s="11">
        <f>SUMIFS(Transactions_PAC!$H:$H,Transactions_PAC!$B:$B,B132,Transactions_PAC!$C:$C,A132)</f>
        <v/>
      </c>
      <c r="E132" s="11">
        <f>SUMIFS(Transactions_Manual!$E:$E,Transactions_Manual!$B:$B,B132,Transactions_Manual!$C:$C,A132)</f>
        <v/>
      </c>
      <c r="F132" s="11">
        <f>D132+E132</f>
        <v/>
      </c>
      <c r="G132" s="11">
        <f>C131</f>
        <v/>
      </c>
      <c r="H132" s="11">
        <f>IF(OR(G132="",A132="Savings"),"",C132-G132-F132)</f>
        <v/>
      </c>
      <c r="I132" s="45">
        <f>IF(OR(H132="",G132=0), "", H132/G132)</f>
        <v/>
      </c>
    </row>
    <row r="133">
      <c r="A133" s="5" t="inlineStr">
        <is>
          <t>Global Gov Bond</t>
        </is>
      </c>
      <c r="B133" s="28" t="n">
        <v>46357</v>
      </c>
      <c r="C133" s="11">
        <f>SUMIFS(Month_End!$D:$D,Month_End!$A:$A,B133,Month_End!$B:$B,A133)</f>
        <v/>
      </c>
      <c r="D133" s="11">
        <f>SUMIFS(Transactions_PAC!$H:$H,Transactions_PAC!$B:$B,B133,Transactions_PAC!$C:$C,A133)</f>
        <v/>
      </c>
      <c r="E133" s="11">
        <f>SUMIFS(Transactions_Manual!$E:$E,Transactions_Manual!$B:$B,B133,Transactions_Manual!$C:$C,A133)</f>
        <v/>
      </c>
      <c r="F133" s="11">
        <f>D133+E133</f>
        <v/>
      </c>
      <c r="G133" s="11">
        <f>C132</f>
        <v/>
      </c>
      <c r="H133" s="11">
        <f>IF(OR(G133="",A133="Savings"),"",C133-G133-F133)</f>
        <v/>
      </c>
      <c r="I133" s="45">
        <f>IF(OR(H133="",G133=0), "", H133/G133)</f>
        <v/>
      </c>
    </row>
    <row r="134">
      <c r="A134" s="5" t="inlineStr">
        <is>
          <t>Global Gov Bond</t>
        </is>
      </c>
      <c r="B134" s="28" t="n">
        <v>46388</v>
      </c>
      <c r="C134" s="11">
        <f>SUMIFS(Month_End!$D:$D,Month_End!$A:$A,B134,Month_End!$B:$B,A134)</f>
        <v/>
      </c>
      <c r="D134" s="11">
        <f>SUMIFS(Transactions_PAC!$H:$H,Transactions_PAC!$B:$B,B134,Transactions_PAC!$C:$C,A134)</f>
        <v/>
      </c>
      <c r="E134" s="11">
        <f>SUMIFS(Transactions_Manual!$E:$E,Transactions_Manual!$B:$B,B134,Transactions_Manual!$C:$C,A134)</f>
        <v/>
      </c>
      <c r="F134" s="11">
        <f>D134+E134</f>
        <v/>
      </c>
      <c r="G134" s="11">
        <f>C133</f>
        <v/>
      </c>
      <c r="H134" s="11">
        <f>IF(OR(G134="",A134="Savings"),"",C134-G134-F134)</f>
        <v/>
      </c>
      <c r="I134" s="45">
        <f>IF(OR(H134="",G134=0), "", H134/G134)</f>
        <v/>
      </c>
    </row>
    <row r="135">
      <c r="A135" s="5" t="inlineStr">
        <is>
          <t>Global Gov Bond</t>
        </is>
      </c>
      <c r="B135" s="28" t="n">
        <v>46419</v>
      </c>
      <c r="C135" s="11">
        <f>SUMIFS(Month_End!$D:$D,Month_End!$A:$A,B135,Month_End!$B:$B,A135)</f>
        <v/>
      </c>
      <c r="D135" s="11">
        <f>SUMIFS(Transactions_PAC!$H:$H,Transactions_PAC!$B:$B,B135,Transactions_PAC!$C:$C,A135)</f>
        <v/>
      </c>
      <c r="E135" s="11">
        <f>SUMIFS(Transactions_Manual!$E:$E,Transactions_Manual!$B:$B,B135,Transactions_Manual!$C:$C,A135)</f>
        <v/>
      </c>
      <c r="F135" s="11">
        <f>D135+E135</f>
        <v/>
      </c>
      <c r="G135" s="11">
        <f>C134</f>
        <v/>
      </c>
      <c r="H135" s="11">
        <f>IF(OR(G135="",A135="Savings"),"",C135-G135-F135)</f>
        <v/>
      </c>
      <c r="I135" s="45">
        <f>IF(OR(H135="",G135=0), "", H135/G135)</f>
        <v/>
      </c>
    </row>
    <row r="136">
      <c r="A136" s="5" t="inlineStr">
        <is>
          <t>Global Gov Bond</t>
        </is>
      </c>
      <c r="B136" s="28" t="n">
        <v>46447</v>
      </c>
      <c r="C136" s="11">
        <f>SUMIFS(Month_End!$D:$D,Month_End!$A:$A,B136,Month_End!$B:$B,A136)</f>
        <v/>
      </c>
      <c r="D136" s="11">
        <f>SUMIFS(Transactions_PAC!$H:$H,Transactions_PAC!$B:$B,B136,Transactions_PAC!$C:$C,A136)</f>
        <v/>
      </c>
      <c r="E136" s="11">
        <f>SUMIFS(Transactions_Manual!$E:$E,Transactions_Manual!$B:$B,B136,Transactions_Manual!$C:$C,A136)</f>
        <v/>
      </c>
      <c r="F136" s="11">
        <f>D136+E136</f>
        <v/>
      </c>
      <c r="G136" s="11">
        <f>C135</f>
        <v/>
      </c>
      <c r="H136" s="11">
        <f>IF(OR(G136="",A136="Savings"),"",C136-G136-F136)</f>
        <v/>
      </c>
      <c r="I136" s="45">
        <f>IF(OR(H136="",G136=0), "", H136/G136)</f>
        <v/>
      </c>
    </row>
    <row r="137">
      <c r="A137" s="5" t="inlineStr">
        <is>
          <t>Global Gov Bond</t>
        </is>
      </c>
      <c r="B137" s="28" t="n">
        <v>46478</v>
      </c>
      <c r="C137" s="11">
        <f>SUMIFS(Month_End!$D:$D,Month_End!$A:$A,B137,Month_End!$B:$B,A137)</f>
        <v/>
      </c>
      <c r="D137" s="11">
        <f>SUMIFS(Transactions_PAC!$H:$H,Transactions_PAC!$B:$B,B137,Transactions_PAC!$C:$C,A137)</f>
        <v/>
      </c>
      <c r="E137" s="11">
        <f>SUMIFS(Transactions_Manual!$E:$E,Transactions_Manual!$B:$B,B137,Transactions_Manual!$C:$C,A137)</f>
        <v/>
      </c>
      <c r="F137" s="11">
        <f>D137+E137</f>
        <v/>
      </c>
      <c r="G137" s="11">
        <f>C136</f>
        <v/>
      </c>
      <c r="H137" s="11">
        <f>IF(OR(G137="",A137="Savings"),"",C137-G137-F137)</f>
        <v/>
      </c>
      <c r="I137" s="45">
        <f>IF(OR(H137="",G137=0), "", H137/G137)</f>
        <v/>
      </c>
    </row>
    <row r="138">
      <c r="A138" s="5" t="inlineStr">
        <is>
          <t>Global Gov Bond</t>
        </is>
      </c>
      <c r="B138" s="28" t="n">
        <v>46508</v>
      </c>
      <c r="C138" s="11">
        <f>SUMIFS(Month_End!$D:$D,Month_End!$A:$A,B138,Month_End!$B:$B,A138)</f>
        <v/>
      </c>
      <c r="D138" s="11">
        <f>SUMIFS(Transactions_PAC!$H:$H,Transactions_PAC!$B:$B,B138,Transactions_PAC!$C:$C,A138)</f>
        <v/>
      </c>
      <c r="E138" s="11">
        <f>SUMIFS(Transactions_Manual!$E:$E,Transactions_Manual!$B:$B,B138,Transactions_Manual!$C:$C,A138)</f>
        <v/>
      </c>
      <c r="F138" s="11">
        <f>D138+E138</f>
        <v/>
      </c>
      <c r="G138" s="11">
        <f>C137</f>
        <v/>
      </c>
      <c r="H138" s="11">
        <f>IF(OR(G138="",A138="Savings"),"",C138-G138-F138)</f>
        <v/>
      </c>
      <c r="I138" s="45">
        <f>IF(OR(H138="",G138=0), "", H138/G138)</f>
        <v/>
      </c>
    </row>
    <row r="139">
      <c r="A139" s="5" t="inlineStr">
        <is>
          <t>Global Gov Bond</t>
        </is>
      </c>
      <c r="B139" s="28" t="n">
        <v>46539</v>
      </c>
      <c r="C139" s="11">
        <f>SUMIFS(Month_End!$D:$D,Month_End!$A:$A,B139,Month_End!$B:$B,A139)</f>
        <v/>
      </c>
      <c r="D139" s="11">
        <f>SUMIFS(Transactions_PAC!$H:$H,Transactions_PAC!$B:$B,B139,Transactions_PAC!$C:$C,A139)</f>
        <v/>
      </c>
      <c r="E139" s="11">
        <f>SUMIFS(Transactions_Manual!$E:$E,Transactions_Manual!$B:$B,B139,Transactions_Manual!$C:$C,A139)</f>
        <v/>
      </c>
      <c r="F139" s="11">
        <f>D139+E139</f>
        <v/>
      </c>
      <c r="G139" s="11">
        <f>C138</f>
        <v/>
      </c>
      <c r="H139" s="11">
        <f>IF(OR(G139="",A139="Savings"),"",C139-G139-F139)</f>
        <v/>
      </c>
      <c r="I139" s="45">
        <f>IF(OR(H139="",G139=0), "", H139/G139)</f>
        <v/>
      </c>
    </row>
    <row r="140">
      <c r="A140" s="5" t="inlineStr">
        <is>
          <t>Global Gov Bond</t>
        </is>
      </c>
      <c r="B140" s="28" t="n">
        <v>46569</v>
      </c>
      <c r="C140" s="11">
        <f>SUMIFS(Month_End!$D:$D,Month_End!$A:$A,B140,Month_End!$B:$B,A140)</f>
        <v/>
      </c>
      <c r="D140" s="11">
        <f>SUMIFS(Transactions_PAC!$H:$H,Transactions_PAC!$B:$B,B140,Transactions_PAC!$C:$C,A140)</f>
        <v/>
      </c>
      <c r="E140" s="11">
        <f>SUMIFS(Transactions_Manual!$E:$E,Transactions_Manual!$B:$B,B140,Transactions_Manual!$C:$C,A140)</f>
        <v/>
      </c>
      <c r="F140" s="11">
        <f>D140+E140</f>
        <v/>
      </c>
      <c r="G140" s="11">
        <f>C139</f>
        <v/>
      </c>
      <c r="H140" s="11">
        <f>IF(OR(G140="",A140="Savings"),"",C140-G140-F140)</f>
        <v/>
      </c>
      <c r="I140" s="45">
        <f>IF(OR(H140="",G140=0), "", H140/G140)</f>
        <v/>
      </c>
    </row>
    <row r="141">
      <c r="A141" s="5" t="inlineStr">
        <is>
          <t>Global Gov Bond</t>
        </is>
      </c>
      <c r="B141" s="28" t="n">
        <v>46600</v>
      </c>
      <c r="C141" s="11">
        <f>SUMIFS(Month_End!$D:$D,Month_End!$A:$A,B141,Month_End!$B:$B,A141)</f>
        <v/>
      </c>
      <c r="D141" s="11">
        <f>SUMIFS(Transactions_PAC!$H:$H,Transactions_PAC!$B:$B,B141,Transactions_PAC!$C:$C,A141)</f>
        <v/>
      </c>
      <c r="E141" s="11">
        <f>SUMIFS(Transactions_Manual!$E:$E,Transactions_Manual!$B:$B,B141,Transactions_Manual!$C:$C,A141)</f>
        <v/>
      </c>
      <c r="F141" s="11">
        <f>D141+E141</f>
        <v/>
      </c>
      <c r="G141" s="11">
        <f>C140</f>
        <v/>
      </c>
      <c r="H141" s="11">
        <f>IF(OR(G141="",A141="Savings"),"",C141-G141-F141)</f>
        <v/>
      </c>
      <c r="I141" s="45">
        <f>IF(OR(H141="",G141=0), "", H141/G141)</f>
        <v/>
      </c>
    </row>
    <row r="142">
      <c r="A142" s="5" t="inlineStr">
        <is>
          <t>Global Gov Bond</t>
        </is>
      </c>
      <c r="B142" s="28" t="n">
        <v>46631</v>
      </c>
      <c r="C142" s="11">
        <f>SUMIFS(Month_End!$D:$D,Month_End!$A:$A,B142,Month_End!$B:$B,A142)</f>
        <v/>
      </c>
      <c r="D142" s="11">
        <f>SUMIFS(Transactions_PAC!$H:$H,Transactions_PAC!$B:$B,B142,Transactions_PAC!$C:$C,A142)</f>
        <v/>
      </c>
      <c r="E142" s="11">
        <f>SUMIFS(Transactions_Manual!$E:$E,Transactions_Manual!$B:$B,B142,Transactions_Manual!$C:$C,A142)</f>
        <v/>
      </c>
      <c r="F142" s="11">
        <f>D142+E142</f>
        <v/>
      </c>
      <c r="G142" s="11">
        <f>C141</f>
        <v/>
      </c>
      <c r="H142" s="11">
        <f>IF(OR(G142="",A142="Savings"),"",C142-G142-F142)</f>
        <v/>
      </c>
      <c r="I142" s="45">
        <f>IF(OR(H142="",G142=0), "", H142/G142)</f>
        <v/>
      </c>
    </row>
    <row r="143">
      <c r="A143" s="5" t="inlineStr">
        <is>
          <t>Global Gov Bond</t>
        </is>
      </c>
      <c r="B143" s="28" t="n">
        <v>46661</v>
      </c>
      <c r="C143" s="11">
        <f>SUMIFS(Month_End!$D:$D,Month_End!$A:$A,B143,Month_End!$B:$B,A143)</f>
        <v/>
      </c>
      <c r="D143" s="11">
        <f>SUMIFS(Transactions_PAC!$H:$H,Transactions_PAC!$B:$B,B143,Transactions_PAC!$C:$C,A143)</f>
        <v/>
      </c>
      <c r="E143" s="11">
        <f>SUMIFS(Transactions_Manual!$E:$E,Transactions_Manual!$B:$B,B143,Transactions_Manual!$C:$C,A143)</f>
        <v/>
      </c>
      <c r="F143" s="11">
        <f>D143+E143</f>
        <v/>
      </c>
      <c r="G143" s="11">
        <f>C142</f>
        <v/>
      </c>
      <c r="H143" s="11">
        <f>IF(OR(G143="",A143="Savings"),"",C143-G143-F143)</f>
        <v/>
      </c>
      <c r="I143" s="45">
        <f>IF(OR(H143="",G143=0), "", H143/G143)</f>
        <v/>
      </c>
    </row>
    <row r="144">
      <c r="A144" s="5" t="inlineStr">
        <is>
          <t>Global Gov Bond</t>
        </is>
      </c>
      <c r="B144" s="28" t="n">
        <v>46692</v>
      </c>
      <c r="C144" s="11">
        <f>SUMIFS(Month_End!$D:$D,Month_End!$A:$A,B144,Month_End!$B:$B,A144)</f>
        <v/>
      </c>
      <c r="D144" s="11">
        <f>SUMIFS(Transactions_PAC!$H:$H,Transactions_PAC!$B:$B,B144,Transactions_PAC!$C:$C,A144)</f>
        <v/>
      </c>
      <c r="E144" s="11">
        <f>SUMIFS(Transactions_Manual!$E:$E,Transactions_Manual!$B:$B,B144,Transactions_Manual!$C:$C,A144)</f>
        <v/>
      </c>
      <c r="F144" s="11">
        <f>D144+E144</f>
        <v/>
      </c>
      <c r="G144" s="11">
        <f>C143</f>
        <v/>
      </c>
      <c r="H144" s="11">
        <f>IF(OR(G144="",A144="Savings"),"",C144-G144-F144)</f>
        <v/>
      </c>
      <c r="I144" s="45">
        <f>IF(OR(H144="",G144=0), "", H144/G144)</f>
        <v/>
      </c>
    </row>
    <row r="145">
      <c r="A145" s="5" t="inlineStr">
        <is>
          <t>Global Gov Bond</t>
        </is>
      </c>
      <c r="B145" s="28" t="n">
        <v>46722</v>
      </c>
      <c r="C145" s="11">
        <f>SUMIFS(Month_End!$D:$D,Month_End!$A:$A,B145,Month_End!$B:$B,A145)</f>
        <v/>
      </c>
      <c r="D145" s="11">
        <f>SUMIFS(Transactions_PAC!$H:$H,Transactions_PAC!$B:$B,B145,Transactions_PAC!$C:$C,A145)</f>
        <v/>
      </c>
      <c r="E145" s="11">
        <f>SUMIFS(Transactions_Manual!$E:$E,Transactions_Manual!$B:$B,B145,Transactions_Manual!$C:$C,A145)</f>
        <v/>
      </c>
      <c r="F145" s="11">
        <f>D145+E145</f>
        <v/>
      </c>
      <c r="G145" s="11">
        <f>C144</f>
        <v/>
      </c>
      <c r="H145" s="11">
        <f>IF(OR(G145="",A145="Savings"),"",C145-G145-F145)</f>
        <v/>
      </c>
      <c r="I145" s="45">
        <f>IF(OR(H145="",G145=0), "", H145/G145)</f>
        <v/>
      </c>
    </row>
    <row r="146">
      <c r="A146" s="5" t="inlineStr">
        <is>
          <t>Global Gov Bond</t>
        </is>
      </c>
      <c r="B146" s="28" t="n">
        <v>46753</v>
      </c>
      <c r="C146" s="11">
        <f>SUMIFS(Month_End!$D:$D,Month_End!$A:$A,B146,Month_End!$B:$B,A146)</f>
        <v/>
      </c>
      <c r="D146" s="11">
        <f>SUMIFS(Transactions_PAC!$H:$H,Transactions_PAC!$B:$B,B146,Transactions_PAC!$C:$C,A146)</f>
        <v/>
      </c>
      <c r="E146" s="11">
        <f>SUMIFS(Transactions_Manual!$E:$E,Transactions_Manual!$B:$B,B146,Transactions_Manual!$C:$C,A146)</f>
        <v/>
      </c>
      <c r="F146" s="11">
        <f>D146+E146</f>
        <v/>
      </c>
      <c r="G146" s="11">
        <f>C145</f>
        <v/>
      </c>
      <c r="H146" s="11">
        <f>IF(OR(G146="",A146="Savings"),"",C146-G146-F146)</f>
        <v/>
      </c>
      <c r="I146" s="45">
        <f>IF(OR(H146="",G146=0), "", H146/G146)</f>
        <v/>
      </c>
    </row>
    <row r="147">
      <c r="A147" s="5" t="inlineStr">
        <is>
          <t>Global Gov Bond</t>
        </is>
      </c>
      <c r="B147" s="28" t="n">
        <v>46784</v>
      </c>
      <c r="C147" s="11">
        <f>SUMIFS(Month_End!$D:$D,Month_End!$A:$A,B147,Month_End!$B:$B,A147)</f>
        <v/>
      </c>
      <c r="D147" s="11">
        <f>SUMIFS(Transactions_PAC!$H:$H,Transactions_PAC!$B:$B,B147,Transactions_PAC!$C:$C,A147)</f>
        <v/>
      </c>
      <c r="E147" s="11">
        <f>SUMIFS(Transactions_Manual!$E:$E,Transactions_Manual!$B:$B,B147,Transactions_Manual!$C:$C,A147)</f>
        <v/>
      </c>
      <c r="F147" s="11">
        <f>D147+E147</f>
        <v/>
      </c>
      <c r="G147" s="11">
        <f>C146</f>
        <v/>
      </c>
      <c r="H147" s="11">
        <f>IF(OR(G147="",A147="Savings"),"",C147-G147-F147)</f>
        <v/>
      </c>
      <c r="I147" s="45">
        <f>IF(OR(H147="",G147=0), "", H147/G147)</f>
        <v/>
      </c>
    </row>
    <row r="148">
      <c r="A148" s="5" t="inlineStr">
        <is>
          <t>Global Gov Bond</t>
        </is>
      </c>
      <c r="B148" s="28" t="n">
        <v>46813</v>
      </c>
      <c r="C148" s="11">
        <f>SUMIFS(Month_End!$D:$D,Month_End!$A:$A,B148,Month_End!$B:$B,A148)</f>
        <v/>
      </c>
      <c r="D148" s="11">
        <f>SUMIFS(Transactions_PAC!$H:$H,Transactions_PAC!$B:$B,B148,Transactions_PAC!$C:$C,A148)</f>
        <v/>
      </c>
      <c r="E148" s="11">
        <f>SUMIFS(Transactions_Manual!$E:$E,Transactions_Manual!$B:$B,B148,Transactions_Manual!$C:$C,A148)</f>
        <v/>
      </c>
      <c r="F148" s="11">
        <f>D148+E148</f>
        <v/>
      </c>
      <c r="G148" s="11">
        <f>C147</f>
        <v/>
      </c>
      <c r="H148" s="11">
        <f>IF(OR(G148="",A148="Savings"),"",C148-G148-F148)</f>
        <v/>
      </c>
      <c r="I148" s="45">
        <f>IF(OR(H148="",G148=0), "", H148/G148)</f>
        <v/>
      </c>
    </row>
    <row r="149">
      <c r="A149" s="5" t="inlineStr">
        <is>
          <t>Global Gov Bond</t>
        </is>
      </c>
      <c r="B149" s="28" t="n">
        <v>46844</v>
      </c>
      <c r="C149" s="11">
        <f>SUMIFS(Month_End!$D:$D,Month_End!$A:$A,B149,Month_End!$B:$B,A149)</f>
        <v/>
      </c>
      <c r="D149" s="11">
        <f>SUMIFS(Transactions_PAC!$H:$H,Transactions_PAC!$B:$B,B149,Transactions_PAC!$C:$C,A149)</f>
        <v/>
      </c>
      <c r="E149" s="11">
        <f>SUMIFS(Transactions_Manual!$E:$E,Transactions_Manual!$B:$B,B149,Transactions_Manual!$C:$C,A149)</f>
        <v/>
      </c>
      <c r="F149" s="11">
        <f>D149+E149</f>
        <v/>
      </c>
      <c r="G149" s="11">
        <f>C148</f>
        <v/>
      </c>
      <c r="H149" s="11">
        <f>IF(OR(G149="",A149="Savings"),"",C149-G149-F149)</f>
        <v/>
      </c>
      <c r="I149" s="45">
        <f>IF(OR(H149="",G149=0), "", H149/G149)</f>
        <v/>
      </c>
    </row>
    <row r="150">
      <c r="A150" s="5" t="inlineStr">
        <is>
          <t>Global Gov Bond</t>
        </is>
      </c>
      <c r="B150" s="28" t="n">
        <v>46874</v>
      </c>
      <c r="C150" s="11">
        <f>SUMIFS(Month_End!$D:$D,Month_End!$A:$A,B150,Month_End!$B:$B,A150)</f>
        <v/>
      </c>
      <c r="D150" s="11">
        <f>SUMIFS(Transactions_PAC!$H:$H,Transactions_PAC!$B:$B,B150,Transactions_PAC!$C:$C,A150)</f>
        <v/>
      </c>
      <c r="E150" s="11">
        <f>SUMIFS(Transactions_Manual!$E:$E,Transactions_Manual!$B:$B,B150,Transactions_Manual!$C:$C,A150)</f>
        <v/>
      </c>
      <c r="F150" s="11">
        <f>D150+E150</f>
        <v/>
      </c>
      <c r="G150" s="11">
        <f>C149</f>
        <v/>
      </c>
      <c r="H150" s="11">
        <f>IF(OR(G150="",A150="Savings"),"",C150-G150-F150)</f>
        <v/>
      </c>
      <c r="I150" s="45">
        <f>IF(OR(H150="",G150=0), "", H150/G150)</f>
        <v/>
      </c>
    </row>
    <row r="151">
      <c r="A151" s="5" t="inlineStr">
        <is>
          <t>Global Gov Bond</t>
        </is>
      </c>
      <c r="B151" s="28" t="n">
        <v>46905</v>
      </c>
      <c r="C151" s="11">
        <f>SUMIFS(Month_End!$D:$D,Month_End!$A:$A,B151,Month_End!$B:$B,A151)</f>
        <v/>
      </c>
      <c r="D151" s="11">
        <f>SUMIFS(Transactions_PAC!$H:$H,Transactions_PAC!$B:$B,B151,Transactions_PAC!$C:$C,A151)</f>
        <v/>
      </c>
      <c r="E151" s="11">
        <f>SUMIFS(Transactions_Manual!$E:$E,Transactions_Manual!$B:$B,B151,Transactions_Manual!$C:$C,A151)</f>
        <v/>
      </c>
      <c r="F151" s="11">
        <f>D151+E151</f>
        <v/>
      </c>
      <c r="G151" s="11">
        <f>C150</f>
        <v/>
      </c>
      <c r="H151" s="11">
        <f>IF(OR(G151="",A151="Savings"),"",C151-G151-F151)</f>
        <v/>
      </c>
      <c r="I151" s="45">
        <f>IF(OR(H151="",G151=0), "", H151/G151)</f>
        <v/>
      </c>
    </row>
    <row r="152">
      <c r="A152" s="5" t="inlineStr">
        <is>
          <t>Global Gov Bond</t>
        </is>
      </c>
      <c r="B152" s="28" t="n">
        <v>46935</v>
      </c>
      <c r="C152" s="11">
        <f>SUMIFS(Month_End!$D:$D,Month_End!$A:$A,B152,Month_End!$B:$B,A152)</f>
        <v/>
      </c>
      <c r="D152" s="11">
        <f>SUMIFS(Transactions_PAC!$H:$H,Transactions_PAC!$B:$B,B152,Transactions_PAC!$C:$C,A152)</f>
        <v/>
      </c>
      <c r="E152" s="11">
        <f>SUMIFS(Transactions_Manual!$E:$E,Transactions_Manual!$B:$B,B152,Transactions_Manual!$C:$C,A152)</f>
        <v/>
      </c>
      <c r="F152" s="11">
        <f>D152+E152</f>
        <v/>
      </c>
      <c r="G152" s="11">
        <f>C151</f>
        <v/>
      </c>
      <c r="H152" s="11">
        <f>IF(OR(G152="",A152="Savings"),"",C152-G152-F152)</f>
        <v/>
      </c>
      <c r="I152" s="45">
        <f>IF(OR(H152="",G152=0), "", H152/G152)</f>
        <v/>
      </c>
    </row>
    <row r="153">
      <c r="A153" s="5" t="inlineStr">
        <is>
          <t>Global Gov Bond</t>
        </is>
      </c>
      <c r="B153" s="28" t="n">
        <v>46966</v>
      </c>
      <c r="C153" s="11">
        <f>SUMIFS(Month_End!$D:$D,Month_End!$A:$A,B153,Month_End!$B:$B,A153)</f>
        <v/>
      </c>
      <c r="D153" s="11">
        <f>SUMIFS(Transactions_PAC!$H:$H,Transactions_PAC!$B:$B,B153,Transactions_PAC!$C:$C,A153)</f>
        <v/>
      </c>
      <c r="E153" s="11">
        <f>SUMIFS(Transactions_Manual!$E:$E,Transactions_Manual!$B:$B,B153,Transactions_Manual!$C:$C,A153)</f>
        <v/>
      </c>
      <c r="F153" s="11">
        <f>D153+E153</f>
        <v/>
      </c>
      <c r="G153" s="11">
        <f>C152</f>
        <v/>
      </c>
      <c r="H153" s="11">
        <f>IF(OR(G153="",A153="Savings"),"",C153-G153-F153)</f>
        <v/>
      </c>
      <c r="I153" s="45">
        <f>IF(OR(H153="",G153=0), "", H153/G153)</f>
        <v/>
      </c>
    </row>
    <row r="154">
      <c r="A154" s="5" t="inlineStr">
        <is>
          <t>Global Gov Bond</t>
        </is>
      </c>
      <c r="B154" s="28" t="n">
        <v>46997</v>
      </c>
      <c r="C154" s="11">
        <f>SUMIFS(Month_End!$D:$D,Month_End!$A:$A,B154,Month_End!$B:$B,A154)</f>
        <v/>
      </c>
      <c r="D154" s="11">
        <f>SUMIFS(Transactions_PAC!$H:$H,Transactions_PAC!$B:$B,B154,Transactions_PAC!$C:$C,A154)</f>
        <v/>
      </c>
      <c r="E154" s="11">
        <f>SUMIFS(Transactions_Manual!$E:$E,Transactions_Manual!$B:$B,B154,Transactions_Manual!$C:$C,A154)</f>
        <v/>
      </c>
      <c r="F154" s="11">
        <f>D154+E154</f>
        <v/>
      </c>
      <c r="G154" s="11">
        <f>C153</f>
        <v/>
      </c>
      <c r="H154" s="11">
        <f>IF(OR(G154="",A154="Savings"),"",C154-G154-F154)</f>
        <v/>
      </c>
      <c r="I154" s="45">
        <f>IF(OR(H154="",G154=0), "", H154/G154)</f>
        <v/>
      </c>
    </row>
    <row r="155">
      <c r="A155" s="5" t="inlineStr">
        <is>
          <t>Global Gov Bond</t>
        </is>
      </c>
      <c r="B155" s="28" t="n">
        <v>47027</v>
      </c>
      <c r="C155" s="11">
        <f>SUMIFS(Month_End!$D:$D,Month_End!$A:$A,B155,Month_End!$B:$B,A155)</f>
        <v/>
      </c>
      <c r="D155" s="11">
        <f>SUMIFS(Transactions_PAC!$H:$H,Transactions_PAC!$B:$B,B155,Transactions_PAC!$C:$C,A155)</f>
        <v/>
      </c>
      <c r="E155" s="11">
        <f>SUMIFS(Transactions_Manual!$E:$E,Transactions_Manual!$B:$B,B155,Transactions_Manual!$C:$C,A155)</f>
        <v/>
      </c>
      <c r="F155" s="11">
        <f>D155+E155</f>
        <v/>
      </c>
      <c r="G155" s="11">
        <f>C154</f>
        <v/>
      </c>
      <c r="H155" s="11">
        <f>IF(OR(G155="",A155="Savings"),"",C155-G155-F155)</f>
        <v/>
      </c>
      <c r="I155" s="45">
        <f>IF(OR(H155="",G155=0), "", H155/G155)</f>
        <v/>
      </c>
    </row>
    <row r="156">
      <c r="A156" s="5" t="inlineStr">
        <is>
          <t>Global Gov Bond</t>
        </is>
      </c>
      <c r="B156" s="28" t="n">
        <v>47058</v>
      </c>
      <c r="C156" s="11">
        <f>SUMIFS(Month_End!$D:$D,Month_End!$A:$A,B156,Month_End!$B:$B,A156)</f>
        <v/>
      </c>
      <c r="D156" s="11">
        <f>SUMIFS(Transactions_PAC!$H:$H,Transactions_PAC!$B:$B,B156,Transactions_PAC!$C:$C,A156)</f>
        <v/>
      </c>
      <c r="E156" s="11">
        <f>SUMIFS(Transactions_Manual!$E:$E,Transactions_Manual!$B:$B,B156,Transactions_Manual!$C:$C,A156)</f>
        <v/>
      </c>
      <c r="F156" s="11">
        <f>D156+E156</f>
        <v/>
      </c>
      <c r="G156" s="11">
        <f>C155</f>
        <v/>
      </c>
      <c r="H156" s="11">
        <f>IF(OR(G156="",A156="Savings"),"",C156-G156-F156)</f>
        <v/>
      </c>
      <c r="I156" s="45">
        <f>IF(OR(H156="",G156=0), "", H156/G156)</f>
        <v/>
      </c>
    </row>
    <row r="157">
      <c r="A157" s="5" t="inlineStr">
        <is>
          <t>Global Gov Bond</t>
        </is>
      </c>
      <c r="B157" s="28" t="n">
        <v>47088</v>
      </c>
      <c r="C157" s="11">
        <f>SUMIFS(Month_End!$D:$D,Month_End!$A:$A,B157,Month_End!$B:$B,A157)</f>
        <v/>
      </c>
      <c r="D157" s="11">
        <f>SUMIFS(Transactions_PAC!$H:$H,Transactions_PAC!$B:$B,B157,Transactions_PAC!$C:$C,A157)</f>
        <v/>
      </c>
      <c r="E157" s="11">
        <f>SUMIFS(Transactions_Manual!$E:$E,Transactions_Manual!$B:$B,B157,Transactions_Manual!$C:$C,A157)</f>
        <v/>
      </c>
      <c r="F157" s="11">
        <f>D157+E157</f>
        <v/>
      </c>
      <c r="G157" s="11">
        <f>C156</f>
        <v/>
      </c>
      <c r="H157" s="11">
        <f>IF(OR(G157="",A157="Savings"),"",C157-G157-F157)</f>
        <v/>
      </c>
      <c r="I157" s="45">
        <f>IF(OR(H157="",G157=0), "", H157/G157)</f>
        <v/>
      </c>
    </row>
    <row r="158">
      <c r="A158" s="5" t="inlineStr">
        <is>
          <t>Core EUR Corp Bond</t>
        </is>
      </c>
      <c r="B158" s="28" t="n">
        <v>45931</v>
      </c>
      <c r="C158" s="11">
        <f>SUMIFS(Month_End!$D:$D,Month_End!$A:$A,B158,Month_End!$B:$B,A158)</f>
        <v/>
      </c>
      <c r="D158" s="11">
        <f>SUMIFS(Transactions_PAC!$H:$H,Transactions_PAC!$B:$B,B158,Transactions_PAC!$C:$C,A158)</f>
        <v/>
      </c>
      <c r="E158" s="11">
        <f>SUMIFS(Transactions_Manual!$E:$E,Transactions_Manual!$B:$B,B158,Transactions_Manual!$C:$C,A158)</f>
        <v/>
      </c>
      <c r="F158" s="11">
        <f>D158+E158</f>
        <v/>
      </c>
      <c r="G158" s="11" t="inlineStr"/>
      <c r="H158" s="11">
        <f>IF(OR(G158="",A158="Savings"),"",C158-G158-F158)</f>
        <v/>
      </c>
      <c r="I158" s="45">
        <f>IF(OR(H158="",G158=0), "", H158/G158)</f>
        <v/>
      </c>
    </row>
    <row r="159">
      <c r="A159" s="5" t="inlineStr">
        <is>
          <t>Core EUR Corp Bond</t>
        </is>
      </c>
      <c r="B159" s="28" t="n">
        <v>45962</v>
      </c>
      <c r="C159" s="11">
        <f>SUMIFS(Month_End!$D:$D,Month_End!$A:$A,B159,Month_End!$B:$B,A159)</f>
        <v/>
      </c>
      <c r="D159" s="11">
        <f>SUMIFS(Transactions_PAC!$H:$H,Transactions_PAC!$B:$B,B159,Transactions_PAC!$C:$C,A159)</f>
        <v/>
      </c>
      <c r="E159" s="11">
        <f>SUMIFS(Transactions_Manual!$E:$E,Transactions_Manual!$B:$B,B159,Transactions_Manual!$C:$C,A159)</f>
        <v/>
      </c>
      <c r="F159" s="11">
        <f>D159+E159</f>
        <v/>
      </c>
      <c r="G159" s="11">
        <f>C158</f>
        <v/>
      </c>
      <c r="H159" s="11">
        <f>IF(OR(G159="",A159="Savings"),"",C159-G159-F159)</f>
        <v/>
      </c>
      <c r="I159" s="45">
        <f>IF(OR(H159="",G159=0), "", H159/G159)</f>
        <v/>
      </c>
    </row>
    <row r="160">
      <c r="A160" s="5" t="inlineStr">
        <is>
          <t>Core EUR Corp Bond</t>
        </is>
      </c>
      <c r="B160" s="28" t="n">
        <v>45992</v>
      </c>
      <c r="C160" s="11">
        <f>SUMIFS(Month_End!$D:$D,Month_End!$A:$A,B160,Month_End!$B:$B,A160)</f>
        <v/>
      </c>
      <c r="D160" s="11">
        <f>SUMIFS(Transactions_PAC!$H:$H,Transactions_PAC!$B:$B,B160,Transactions_PAC!$C:$C,A160)</f>
        <v/>
      </c>
      <c r="E160" s="11">
        <f>SUMIFS(Transactions_Manual!$E:$E,Transactions_Manual!$B:$B,B160,Transactions_Manual!$C:$C,A160)</f>
        <v/>
      </c>
      <c r="F160" s="11">
        <f>D160+E160</f>
        <v/>
      </c>
      <c r="G160" s="11">
        <f>C159</f>
        <v/>
      </c>
      <c r="H160" s="11">
        <f>IF(OR(G160="",A160="Savings"),"",C160-G160-F160)</f>
        <v/>
      </c>
      <c r="I160" s="45">
        <f>IF(OR(H160="",G160=0), "", H160/G160)</f>
        <v/>
      </c>
    </row>
    <row r="161">
      <c r="A161" s="5" t="inlineStr">
        <is>
          <t>Core EUR Corp Bond</t>
        </is>
      </c>
      <c r="B161" s="28" t="n">
        <v>46023</v>
      </c>
      <c r="C161" s="11">
        <f>SUMIFS(Month_End!$D:$D,Month_End!$A:$A,B161,Month_End!$B:$B,A161)</f>
        <v/>
      </c>
      <c r="D161" s="11">
        <f>SUMIFS(Transactions_PAC!$H:$H,Transactions_PAC!$B:$B,B161,Transactions_PAC!$C:$C,A161)</f>
        <v/>
      </c>
      <c r="E161" s="11">
        <f>SUMIFS(Transactions_Manual!$E:$E,Transactions_Manual!$B:$B,B161,Transactions_Manual!$C:$C,A161)</f>
        <v/>
      </c>
      <c r="F161" s="11">
        <f>D161+E161</f>
        <v/>
      </c>
      <c r="G161" s="11">
        <f>C160</f>
        <v/>
      </c>
      <c r="H161" s="11">
        <f>IF(OR(G161="",A161="Savings"),"",C161-G161-F161)</f>
        <v/>
      </c>
      <c r="I161" s="45">
        <f>IF(OR(H161="",G161=0), "", H161/G161)</f>
        <v/>
      </c>
    </row>
    <row r="162">
      <c r="A162" s="5" t="inlineStr">
        <is>
          <t>Core EUR Corp Bond</t>
        </is>
      </c>
      <c r="B162" s="28" t="n">
        <v>46054</v>
      </c>
      <c r="C162" s="11">
        <f>SUMIFS(Month_End!$D:$D,Month_End!$A:$A,B162,Month_End!$B:$B,A162)</f>
        <v/>
      </c>
      <c r="D162" s="11">
        <f>SUMIFS(Transactions_PAC!$H:$H,Transactions_PAC!$B:$B,B162,Transactions_PAC!$C:$C,A162)</f>
        <v/>
      </c>
      <c r="E162" s="11">
        <f>SUMIFS(Transactions_Manual!$E:$E,Transactions_Manual!$B:$B,B162,Transactions_Manual!$C:$C,A162)</f>
        <v/>
      </c>
      <c r="F162" s="11">
        <f>D162+E162</f>
        <v/>
      </c>
      <c r="G162" s="11">
        <f>C161</f>
        <v/>
      </c>
      <c r="H162" s="11">
        <f>IF(OR(G162="",A162="Savings"),"",C162-G162-F162)</f>
        <v/>
      </c>
      <c r="I162" s="45">
        <f>IF(OR(H162="",G162=0), "", H162/G162)</f>
        <v/>
      </c>
    </row>
    <row r="163">
      <c r="A163" s="5" t="inlineStr">
        <is>
          <t>Core EUR Corp Bond</t>
        </is>
      </c>
      <c r="B163" s="28" t="n">
        <v>46082</v>
      </c>
      <c r="C163" s="11">
        <f>SUMIFS(Month_End!$D:$D,Month_End!$A:$A,B163,Month_End!$B:$B,A163)</f>
        <v/>
      </c>
      <c r="D163" s="11">
        <f>SUMIFS(Transactions_PAC!$H:$H,Transactions_PAC!$B:$B,B163,Transactions_PAC!$C:$C,A163)</f>
        <v/>
      </c>
      <c r="E163" s="11">
        <f>SUMIFS(Transactions_Manual!$E:$E,Transactions_Manual!$B:$B,B163,Transactions_Manual!$C:$C,A163)</f>
        <v/>
      </c>
      <c r="F163" s="11">
        <f>D163+E163</f>
        <v/>
      </c>
      <c r="G163" s="11">
        <f>C162</f>
        <v/>
      </c>
      <c r="H163" s="11">
        <f>IF(OR(G163="",A163="Savings"),"",C163-G163-F163)</f>
        <v/>
      </c>
      <c r="I163" s="45">
        <f>IF(OR(H163="",G163=0), "", H163/G163)</f>
        <v/>
      </c>
    </row>
    <row r="164">
      <c r="A164" s="5" t="inlineStr">
        <is>
          <t>Core EUR Corp Bond</t>
        </is>
      </c>
      <c r="B164" s="28" t="n">
        <v>46113</v>
      </c>
      <c r="C164" s="11">
        <f>SUMIFS(Month_End!$D:$D,Month_End!$A:$A,B164,Month_End!$B:$B,A164)</f>
        <v/>
      </c>
      <c r="D164" s="11">
        <f>SUMIFS(Transactions_PAC!$H:$H,Transactions_PAC!$B:$B,B164,Transactions_PAC!$C:$C,A164)</f>
        <v/>
      </c>
      <c r="E164" s="11">
        <f>SUMIFS(Transactions_Manual!$E:$E,Transactions_Manual!$B:$B,B164,Transactions_Manual!$C:$C,A164)</f>
        <v/>
      </c>
      <c r="F164" s="11">
        <f>D164+E164</f>
        <v/>
      </c>
      <c r="G164" s="11">
        <f>C163</f>
        <v/>
      </c>
      <c r="H164" s="11">
        <f>IF(OR(G164="",A164="Savings"),"",C164-G164-F164)</f>
        <v/>
      </c>
      <c r="I164" s="45">
        <f>IF(OR(H164="",G164=0), "", H164/G164)</f>
        <v/>
      </c>
    </row>
    <row r="165">
      <c r="A165" s="5" t="inlineStr">
        <is>
          <t>Core EUR Corp Bond</t>
        </is>
      </c>
      <c r="B165" s="28" t="n">
        <v>46143</v>
      </c>
      <c r="C165" s="11">
        <f>SUMIFS(Month_End!$D:$D,Month_End!$A:$A,B165,Month_End!$B:$B,A165)</f>
        <v/>
      </c>
      <c r="D165" s="11">
        <f>SUMIFS(Transactions_PAC!$H:$H,Transactions_PAC!$B:$B,B165,Transactions_PAC!$C:$C,A165)</f>
        <v/>
      </c>
      <c r="E165" s="11">
        <f>SUMIFS(Transactions_Manual!$E:$E,Transactions_Manual!$B:$B,B165,Transactions_Manual!$C:$C,A165)</f>
        <v/>
      </c>
      <c r="F165" s="11">
        <f>D165+E165</f>
        <v/>
      </c>
      <c r="G165" s="11">
        <f>C164</f>
        <v/>
      </c>
      <c r="H165" s="11">
        <f>IF(OR(G165="",A165="Savings"),"",C165-G165-F165)</f>
        <v/>
      </c>
      <c r="I165" s="45">
        <f>IF(OR(H165="",G165=0), "", H165/G165)</f>
        <v/>
      </c>
    </row>
    <row r="166">
      <c r="A166" s="5" t="inlineStr">
        <is>
          <t>Core EUR Corp Bond</t>
        </is>
      </c>
      <c r="B166" s="28" t="n">
        <v>46174</v>
      </c>
      <c r="C166" s="11">
        <f>SUMIFS(Month_End!$D:$D,Month_End!$A:$A,B166,Month_End!$B:$B,A166)</f>
        <v/>
      </c>
      <c r="D166" s="11">
        <f>SUMIFS(Transactions_PAC!$H:$H,Transactions_PAC!$B:$B,B166,Transactions_PAC!$C:$C,A166)</f>
        <v/>
      </c>
      <c r="E166" s="11">
        <f>SUMIFS(Transactions_Manual!$E:$E,Transactions_Manual!$B:$B,B166,Transactions_Manual!$C:$C,A166)</f>
        <v/>
      </c>
      <c r="F166" s="11">
        <f>D166+E166</f>
        <v/>
      </c>
      <c r="G166" s="11">
        <f>C165</f>
        <v/>
      </c>
      <c r="H166" s="11">
        <f>IF(OR(G166="",A166="Savings"),"",C166-G166-F166)</f>
        <v/>
      </c>
      <c r="I166" s="45">
        <f>IF(OR(H166="",G166=0), "", H166/G166)</f>
        <v/>
      </c>
    </row>
    <row r="167">
      <c r="A167" s="5" t="inlineStr">
        <is>
          <t>Core EUR Corp Bond</t>
        </is>
      </c>
      <c r="B167" s="28" t="n">
        <v>46204</v>
      </c>
      <c r="C167" s="11">
        <f>SUMIFS(Month_End!$D:$D,Month_End!$A:$A,B167,Month_End!$B:$B,A167)</f>
        <v/>
      </c>
      <c r="D167" s="11">
        <f>SUMIFS(Transactions_PAC!$H:$H,Transactions_PAC!$B:$B,B167,Transactions_PAC!$C:$C,A167)</f>
        <v/>
      </c>
      <c r="E167" s="11">
        <f>SUMIFS(Transactions_Manual!$E:$E,Transactions_Manual!$B:$B,B167,Transactions_Manual!$C:$C,A167)</f>
        <v/>
      </c>
      <c r="F167" s="11">
        <f>D167+E167</f>
        <v/>
      </c>
      <c r="G167" s="11">
        <f>C166</f>
        <v/>
      </c>
      <c r="H167" s="11">
        <f>IF(OR(G167="",A167="Savings"),"",C167-G167-F167)</f>
        <v/>
      </c>
      <c r="I167" s="45">
        <f>IF(OR(H167="",G167=0), "", H167/G167)</f>
        <v/>
      </c>
    </row>
    <row r="168">
      <c r="A168" s="5" t="inlineStr">
        <is>
          <t>Core EUR Corp Bond</t>
        </is>
      </c>
      <c r="B168" s="28" t="n">
        <v>46235</v>
      </c>
      <c r="C168" s="11">
        <f>SUMIFS(Month_End!$D:$D,Month_End!$A:$A,B168,Month_End!$B:$B,A168)</f>
        <v/>
      </c>
      <c r="D168" s="11">
        <f>SUMIFS(Transactions_PAC!$H:$H,Transactions_PAC!$B:$B,B168,Transactions_PAC!$C:$C,A168)</f>
        <v/>
      </c>
      <c r="E168" s="11">
        <f>SUMIFS(Transactions_Manual!$E:$E,Transactions_Manual!$B:$B,B168,Transactions_Manual!$C:$C,A168)</f>
        <v/>
      </c>
      <c r="F168" s="11">
        <f>D168+E168</f>
        <v/>
      </c>
      <c r="G168" s="11">
        <f>C167</f>
        <v/>
      </c>
      <c r="H168" s="11">
        <f>IF(OR(G168="",A168="Savings"),"",C168-G168-F168)</f>
        <v/>
      </c>
      <c r="I168" s="45">
        <f>IF(OR(H168="",G168=0), "", H168/G168)</f>
        <v/>
      </c>
    </row>
    <row r="169">
      <c r="A169" s="5" t="inlineStr">
        <is>
          <t>Core EUR Corp Bond</t>
        </is>
      </c>
      <c r="B169" s="28" t="n">
        <v>46266</v>
      </c>
      <c r="C169" s="11">
        <f>SUMIFS(Month_End!$D:$D,Month_End!$A:$A,B169,Month_End!$B:$B,A169)</f>
        <v/>
      </c>
      <c r="D169" s="11">
        <f>SUMIFS(Transactions_PAC!$H:$H,Transactions_PAC!$B:$B,B169,Transactions_PAC!$C:$C,A169)</f>
        <v/>
      </c>
      <c r="E169" s="11">
        <f>SUMIFS(Transactions_Manual!$E:$E,Transactions_Manual!$B:$B,B169,Transactions_Manual!$C:$C,A169)</f>
        <v/>
      </c>
      <c r="F169" s="11">
        <f>D169+E169</f>
        <v/>
      </c>
      <c r="G169" s="11">
        <f>C168</f>
        <v/>
      </c>
      <c r="H169" s="11">
        <f>IF(OR(G169="",A169="Savings"),"",C169-G169-F169)</f>
        <v/>
      </c>
      <c r="I169" s="45">
        <f>IF(OR(H169="",G169=0), "", H169/G169)</f>
        <v/>
      </c>
    </row>
    <row r="170">
      <c r="A170" s="5" t="inlineStr">
        <is>
          <t>Core EUR Corp Bond</t>
        </is>
      </c>
      <c r="B170" s="28" t="n">
        <v>46296</v>
      </c>
      <c r="C170" s="11">
        <f>SUMIFS(Month_End!$D:$D,Month_End!$A:$A,B170,Month_End!$B:$B,A170)</f>
        <v/>
      </c>
      <c r="D170" s="11">
        <f>SUMIFS(Transactions_PAC!$H:$H,Transactions_PAC!$B:$B,B170,Transactions_PAC!$C:$C,A170)</f>
        <v/>
      </c>
      <c r="E170" s="11">
        <f>SUMIFS(Transactions_Manual!$E:$E,Transactions_Manual!$B:$B,B170,Transactions_Manual!$C:$C,A170)</f>
        <v/>
      </c>
      <c r="F170" s="11">
        <f>D170+E170</f>
        <v/>
      </c>
      <c r="G170" s="11">
        <f>C169</f>
        <v/>
      </c>
      <c r="H170" s="11">
        <f>IF(OR(G170="",A170="Savings"),"",C170-G170-F170)</f>
        <v/>
      </c>
      <c r="I170" s="45">
        <f>IF(OR(H170="",G170=0), "", H170/G170)</f>
        <v/>
      </c>
    </row>
    <row r="171">
      <c r="A171" s="5" t="inlineStr">
        <is>
          <t>Core EUR Corp Bond</t>
        </is>
      </c>
      <c r="B171" s="28" t="n">
        <v>46327</v>
      </c>
      <c r="C171" s="11">
        <f>SUMIFS(Month_End!$D:$D,Month_End!$A:$A,B171,Month_End!$B:$B,A171)</f>
        <v/>
      </c>
      <c r="D171" s="11">
        <f>SUMIFS(Transactions_PAC!$H:$H,Transactions_PAC!$B:$B,B171,Transactions_PAC!$C:$C,A171)</f>
        <v/>
      </c>
      <c r="E171" s="11">
        <f>SUMIFS(Transactions_Manual!$E:$E,Transactions_Manual!$B:$B,B171,Transactions_Manual!$C:$C,A171)</f>
        <v/>
      </c>
      <c r="F171" s="11">
        <f>D171+E171</f>
        <v/>
      </c>
      <c r="G171" s="11">
        <f>C170</f>
        <v/>
      </c>
      <c r="H171" s="11">
        <f>IF(OR(G171="",A171="Savings"),"",C171-G171-F171)</f>
        <v/>
      </c>
      <c r="I171" s="45">
        <f>IF(OR(H171="",G171=0), "", H171/G171)</f>
        <v/>
      </c>
    </row>
    <row r="172">
      <c r="A172" s="5" t="inlineStr">
        <is>
          <t>Core EUR Corp Bond</t>
        </is>
      </c>
      <c r="B172" s="28" t="n">
        <v>46357</v>
      </c>
      <c r="C172" s="11">
        <f>SUMIFS(Month_End!$D:$D,Month_End!$A:$A,B172,Month_End!$B:$B,A172)</f>
        <v/>
      </c>
      <c r="D172" s="11">
        <f>SUMIFS(Transactions_PAC!$H:$H,Transactions_PAC!$B:$B,B172,Transactions_PAC!$C:$C,A172)</f>
        <v/>
      </c>
      <c r="E172" s="11">
        <f>SUMIFS(Transactions_Manual!$E:$E,Transactions_Manual!$B:$B,B172,Transactions_Manual!$C:$C,A172)</f>
        <v/>
      </c>
      <c r="F172" s="11">
        <f>D172+E172</f>
        <v/>
      </c>
      <c r="G172" s="11">
        <f>C171</f>
        <v/>
      </c>
      <c r="H172" s="11">
        <f>IF(OR(G172="",A172="Savings"),"",C172-G172-F172)</f>
        <v/>
      </c>
      <c r="I172" s="45">
        <f>IF(OR(H172="",G172=0), "", H172/G172)</f>
        <v/>
      </c>
    </row>
    <row r="173">
      <c r="A173" s="5" t="inlineStr">
        <is>
          <t>Core EUR Corp Bond</t>
        </is>
      </c>
      <c r="B173" s="28" t="n">
        <v>46388</v>
      </c>
      <c r="C173" s="11">
        <f>SUMIFS(Month_End!$D:$D,Month_End!$A:$A,B173,Month_End!$B:$B,A173)</f>
        <v/>
      </c>
      <c r="D173" s="11">
        <f>SUMIFS(Transactions_PAC!$H:$H,Transactions_PAC!$B:$B,B173,Transactions_PAC!$C:$C,A173)</f>
        <v/>
      </c>
      <c r="E173" s="11">
        <f>SUMIFS(Transactions_Manual!$E:$E,Transactions_Manual!$B:$B,B173,Transactions_Manual!$C:$C,A173)</f>
        <v/>
      </c>
      <c r="F173" s="11">
        <f>D173+E173</f>
        <v/>
      </c>
      <c r="G173" s="11">
        <f>C172</f>
        <v/>
      </c>
      <c r="H173" s="11">
        <f>IF(OR(G173="",A173="Savings"),"",C173-G173-F173)</f>
        <v/>
      </c>
      <c r="I173" s="45">
        <f>IF(OR(H173="",G173=0), "", H173/G173)</f>
        <v/>
      </c>
    </row>
    <row r="174">
      <c r="A174" s="5" t="inlineStr">
        <is>
          <t>Core EUR Corp Bond</t>
        </is>
      </c>
      <c r="B174" s="28" t="n">
        <v>46419</v>
      </c>
      <c r="C174" s="11">
        <f>SUMIFS(Month_End!$D:$D,Month_End!$A:$A,B174,Month_End!$B:$B,A174)</f>
        <v/>
      </c>
      <c r="D174" s="11">
        <f>SUMIFS(Transactions_PAC!$H:$H,Transactions_PAC!$B:$B,B174,Transactions_PAC!$C:$C,A174)</f>
        <v/>
      </c>
      <c r="E174" s="11">
        <f>SUMIFS(Transactions_Manual!$E:$E,Transactions_Manual!$B:$B,B174,Transactions_Manual!$C:$C,A174)</f>
        <v/>
      </c>
      <c r="F174" s="11">
        <f>D174+E174</f>
        <v/>
      </c>
      <c r="G174" s="11">
        <f>C173</f>
        <v/>
      </c>
      <c r="H174" s="11">
        <f>IF(OR(G174="",A174="Savings"),"",C174-G174-F174)</f>
        <v/>
      </c>
      <c r="I174" s="45">
        <f>IF(OR(H174="",G174=0), "", H174/G174)</f>
        <v/>
      </c>
    </row>
    <row r="175">
      <c r="A175" s="5" t="inlineStr">
        <is>
          <t>Core EUR Corp Bond</t>
        </is>
      </c>
      <c r="B175" s="28" t="n">
        <v>46447</v>
      </c>
      <c r="C175" s="11">
        <f>SUMIFS(Month_End!$D:$D,Month_End!$A:$A,B175,Month_End!$B:$B,A175)</f>
        <v/>
      </c>
      <c r="D175" s="11">
        <f>SUMIFS(Transactions_PAC!$H:$H,Transactions_PAC!$B:$B,B175,Transactions_PAC!$C:$C,A175)</f>
        <v/>
      </c>
      <c r="E175" s="11">
        <f>SUMIFS(Transactions_Manual!$E:$E,Transactions_Manual!$B:$B,B175,Transactions_Manual!$C:$C,A175)</f>
        <v/>
      </c>
      <c r="F175" s="11">
        <f>D175+E175</f>
        <v/>
      </c>
      <c r="G175" s="11">
        <f>C174</f>
        <v/>
      </c>
      <c r="H175" s="11">
        <f>IF(OR(G175="",A175="Savings"),"",C175-G175-F175)</f>
        <v/>
      </c>
      <c r="I175" s="45">
        <f>IF(OR(H175="",G175=0), "", H175/G175)</f>
        <v/>
      </c>
    </row>
    <row r="176">
      <c r="A176" s="5" t="inlineStr">
        <is>
          <t>Core EUR Corp Bond</t>
        </is>
      </c>
      <c r="B176" s="28" t="n">
        <v>46478</v>
      </c>
      <c r="C176" s="11">
        <f>SUMIFS(Month_End!$D:$D,Month_End!$A:$A,B176,Month_End!$B:$B,A176)</f>
        <v/>
      </c>
      <c r="D176" s="11">
        <f>SUMIFS(Transactions_PAC!$H:$H,Transactions_PAC!$B:$B,B176,Transactions_PAC!$C:$C,A176)</f>
        <v/>
      </c>
      <c r="E176" s="11">
        <f>SUMIFS(Transactions_Manual!$E:$E,Transactions_Manual!$B:$B,B176,Transactions_Manual!$C:$C,A176)</f>
        <v/>
      </c>
      <c r="F176" s="11">
        <f>D176+E176</f>
        <v/>
      </c>
      <c r="G176" s="11">
        <f>C175</f>
        <v/>
      </c>
      <c r="H176" s="11">
        <f>IF(OR(G176="",A176="Savings"),"",C176-G176-F176)</f>
        <v/>
      </c>
      <c r="I176" s="45">
        <f>IF(OR(H176="",G176=0), "", H176/G176)</f>
        <v/>
      </c>
    </row>
    <row r="177">
      <c r="A177" s="5" t="inlineStr">
        <is>
          <t>Core EUR Corp Bond</t>
        </is>
      </c>
      <c r="B177" s="28" t="n">
        <v>46508</v>
      </c>
      <c r="C177" s="11">
        <f>SUMIFS(Month_End!$D:$D,Month_End!$A:$A,B177,Month_End!$B:$B,A177)</f>
        <v/>
      </c>
      <c r="D177" s="11">
        <f>SUMIFS(Transactions_PAC!$H:$H,Transactions_PAC!$B:$B,B177,Transactions_PAC!$C:$C,A177)</f>
        <v/>
      </c>
      <c r="E177" s="11">
        <f>SUMIFS(Transactions_Manual!$E:$E,Transactions_Manual!$B:$B,B177,Transactions_Manual!$C:$C,A177)</f>
        <v/>
      </c>
      <c r="F177" s="11">
        <f>D177+E177</f>
        <v/>
      </c>
      <c r="G177" s="11">
        <f>C176</f>
        <v/>
      </c>
      <c r="H177" s="11">
        <f>IF(OR(G177="",A177="Savings"),"",C177-G177-F177)</f>
        <v/>
      </c>
      <c r="I177" s="45">
        <f>IF(OR(H177="",G177=0), "", H177/G177)</f>
        <v/>
      </c>
    </row>
    <row r="178">
      <c r="A178" s="5" t="inlineStr">
        <is>
          <t>Core EUR Corp Bond</t>
        </is>
      </c>
      <c r="B178" s="28" t="n">
        <v>46539</v>
      </c>
      <c r="C178" s="11">
        <f>SUMIFS(Month_End!$D:$D,Month_End!$A:$A,B178,Month_End!$B:$B,A178)</f>
        <v/>
      </c>
      <c r="D178" s="11">
        <f>SUMIFS(Transactions_PAC!$H:$H,Transactions_PAC!$B:$B,B178,Transactions_PAC!$C:$C,A178)</f>
        <v/>
      </c>
      <c r="E178" s="11">
        <f>SUMIFS(Transactions_Manual!$E:$E,Transactions_Manual!$B:$B,B178,Transactions_Manual!$C:$C,A178)</f>
        <v/>
      </c>
      <c r="F178" s="11">
        <f>D178+E178</f>
        <v/>
      </c>
      <c r="G178" s="11">
        <f>C177</f>
        <v/>
      </c>
      <c r="H178" s="11">
        <f>IF(OR(G178="",A178="Savings"),"",C178-G178-F178)</f>
        <v/>
      </c>
      <c r="I178" s="45">
        <f>IF(OR(H178="",G178=0), "", H178/G178)</f>
        <v/>
      </c>
    </row>
    <row r="179">
      <c r="A179" s="5" t="inlineStr">
        <is>
          <t>Core EUR Corp Bond</t>
        </is>
      </c>
      <c r="B179" s="28" t="n">
        <v>46569</v>
      </c>
      <c r="C179" s="11">
        <f>SUMIFS(Month_End!$D:$D,Month_End!$A:$A,B179,Month_End!$B:$B,A179)</f>
        <v/>
      </c>
      <c r="D179" s="11">
        <f>SUMIFS(Transactions_PAC!$H:$H,Transactions_PAC!$B:$B,B179,Transactions_PAC!$C:$C,A179)</f>
        <v/>
      </c>
      <c r="E179" s="11">
        <f>SUMIFS(Transactions_Manual!$E:$E,Transactions_Manual!$B:$B,B179,Transactions_Manual!$C:$C,A179)</f>
        <v/>
      </c>
      <c r="F179" s="11">
        <f>D179+E179</f>
        <v/>
      </c>
      <c r="G179" s="11">
        <f>C178</f>
        <v/>
      </c>
      <c r="H179" s="11">
        <f>IF(OR(G179="",A179="Savings"),"",C179-G179-F179)</f>
        <v/>
      </c>
      <c r="I179" s="45">
        <f>IF(OR(H179="",G179=0), "", H179/G179)</f>
        <v/>
      </c>
    </row>
    <row r="180">
      <c r="A180" s="5" t="inlineStr">
        <is>
          <t>Core EUR Corp Bond</t>
        </is>
      </c>
      <c r="B180" s="28" t="n">
        <v>46600</v>
      </c>
      <c r="C180" s="11">
        <f>SUMIFS(Month_End!$D:$D,Month_End!$A:$A,B180,Month_End!$B:$B,A180)</f>
        <v/>
      </c>
      <c r="D180" s="11">
        <f>SUMIFS(Transactions_PAC!$H:$H,Transactions_PAC!$B:$B,B180,Transactions_PAC!$C:$C,A180)</f>
        <v/>
      </c>
      <c r="E180" s="11">
        <f>SUMIFS(Transactions_Manual!$E:$E,Transactions_Manual!$B:$B,B180,Transactions_Manual!$C:$C,A180)</f>
        <v/>
      </c>
      <c r="F180" s="11">
        <f>D180+E180</f>
        <v/>
      </c>
      <c r="G180" s="11">
        <f>C179</f>
        <v/>
      </c>
      <c r="H180" s="11">
        <f>IF(OR(G180="",A180="Savings"),"",C180-G180-F180)</f>
        <v/>
      </c>
      <c r="I180" s="45">
        <f>IF(OR(H180="",G180=0), "", H180/G180)</f>
        <v/>
      </c>
    </row>
    <row r="181">
      <c r="A181" s="5" t="inlineStr">
        <is>
          <t>Core EUR Corp Bond</t>
        </is>
      </c>
      <c r="B181" s="28" t="n">
        <v>46631</v>
      </c>
      <c r="C181" s="11">
        <f>SUMIFS(Month_End!$D:$D,Month_End!$A:$A,B181,Month_End!$B:$B,A181)</f>
        <v/>
      </c>
      <c r="D181" s="11">
        <f>SUMIFS(Transactions_PAC!$H:$H,Transactions_PAC!$B:$B,B181,Transactions_PAC!$C:$C,A181)</f>
        <v/>
      </c>
      <c r="E181" s="11">
        <f>SUMIFS(Transactions_Manual!$E:$E,Transactions_Manual!$B:$B,B181,Transactions_Manual!$C:$C,A181)</f>
        <v/>
      </c>
      <c r="F181" s="11">
        <f>D181+E181</f>
        <v/>
      </c>
      <c r="G181" s="11">
        <f>C180</f>
        <v/>
      </c>
      <c r="H181" s="11">
        <f>IF(OR(G181="",A181="Savings"),"",C181-G181-F181)</f>
        <v/>
      </c>
      <c r="I181" s="45">
        <f>IF(OR(H181="",G181=0), "", H181/G181)</f>
        <v/>
      </c>
    </row>
    <row r="182">
      <c r="A182" s="5" t="inlineStr">
        <is>
          <t>Core EUR Corp Bond</t>
        </is>
      </c>
      <c r="B182" s="28" t="n">
        <v>46661</v>
      </c>
      <c r="C182" s="11">
        <f>SUMIFS(Month_End!$D:$D,Month_End!$A:$A,B182,Month_End!$B:$B,A182)</f>
        <v/>
      </c>
      <c r="D182" s="11">
        <f>SUMIFS(Transactions_PAC!$H:$H,Transactions_PAC!$B:$B,B182,Transactions_PAC!$C:$C,A182)</f>
        <v/>
      </c>
      <c r="E182" s="11">
        <f>SUMIFS(Transactions_Manual!$E:$E,Transactions_Manual!$B:$B,B182,Transactions_Manual!$C:$C,A182)</f>
        <v/>
      </c>
      <c r="F182" s="11">
        <f>D182+E182</f>
        <v/>
      </c>
      <c r="G182" s="11">
        <f>C181</f>
        <v/>
      </c>
      <c r="H182" s="11">
        <f>IF(OR(G182="",A182="Savings"),"",C182-G182-F182)</f>
        <v/>
      </c>
      <c r="I182" s="45">
        <f>IF(OR(H182="",G182=0), "", H182/G182)</f>
        <v/>
      </c>
    </row>
    <row r="183">
      <c r="A183" s="5" t="inlineStr">
        <is>
          <t>Core EUR Corp Bond</t>
        </is>
      </c>
      <c r="B183" s="28" t="n">
        <v>46692</v>
      </c>
      <c r="C183" s="11">
        <f>SUMIFS(Month_End!$D:$D,Month_End!$A:$A,B183,Month_End!$B:$B,A183)</f>
        <v/>
      </c>
      <c r="D183" s="11">
        <f>SUMIFS(Transactions_PAC!$H:$H,Transactions_PAC!$B:$B,B183,Transactions_PAC!$C:$C,A183)</f>
        <v/>
      </c>
      <c r="E183" s="11">
        <f>SUMIFS(Transactions_Manual!$E:$E,Transactions_Manual!$B:$B,B183,Transactions_Manual!$C:$C,A183)</f>
        <v/>
      </c>
      <c r="F183" s="11">
        <f>D183+E183</f>
        <v/>
      </c>
      <c r="G183" s="11">
        <f>C182</f>
        <v/>
      </c>
      <c r="H183" s="11">
        <f>IF(OR(G183="",A183="Savings"),"",C183-G183-F183)</f>
        <v/>
      </c>
      <c r="I183" s="45">
        <f>IF(OR(H183="",G183=0), "", H183/G183)</f>
        <v/>
      </c>
    </row>
    <row r="184">
      <c r="A184" s="5" t="inlineStr">
        <is>
          <t>Core EUR Corp Bond</t>
        </is>
      </c>
      <c r="B184" s="28" t="n">
        <v>46722</v>
      </c>
      <c r="C184" s="11">
        <f>SUMIFS(Month_End!$D:$D,Month_End!$A:$A,B184,Month_End!$B:$B,A184)</f>
        <v/>
      </c>
      <c r="D184" s="11">
        <f>SUMIFS(Transactions_PAC!$H:$H,Transactions_PAC!$B:$B,B184,Transactions_PAC!$C:$C,A184)</f>
        <v/>
      </c>
      <c r="E184" s="11">
        <f>SUMIFS(Transactions_Manual!$E:$E,Transactions_Manual!$B:$B,B184,Transactions_Manual!$C:$C,A184)</f>
        <v/>
      </c>
      <c r="F184" s="11">
        <f>D184+E184</f>
        <v/>
      </c>
      <c r="G184" s="11">
        <f>C183</f>
        <v/>
      </c>
      <c r="H184" s="11">
        <f>IF(OR(G184="",A184="Savings"),"",C184-G184-F184)</f>
        <v/>
      </c>
      <c r="I184" s="45">
        <f>IF(OR(H184="",G184=0), "", H184/G184)</f>
        <v/>
      </c>
    </row>
    <row r="185">
      <c r="A185" s="5" t="inlineStr">
        <is>
          <t>Core EUR Corp Bond</t>
        </is>
      </c>
      <c r="B185" s="28" t="n">
        <v>46753</v>
      </c>
      <c r="C185" s="11">
        <f>SUMIFS(Month_End!$D:$D,Month_End!$A:$A,B185,Month_End!$B:$B,A185)</f>
        <v/>
      </c>
      <c r="D185" s="11">
        <f>SUMIFS(Transactions_PAC!$H:$H,Transactions_PAC!$B:$B,B185,Transactions_PAC!$C:$C,A185)</f>
        <v/>
      </c>
      <c r="E185" s="11">
        <f>SUMIFS(Transactions_Manual!$E:$E,Transactions_Manual!$B:$B,B185,Transactions_Manual!$C:$C,A185)</f>
        <v/>
      </c>
      <c r="F185" s="11">
        <f>D185+E185</f>
        <v/>
      </c>
      <c r="G185" s="11">
        <f>C184</f>
        <v/>
      </c>
      <c r="H185" s="11">
        <f>IF(OR(G185="",A185="Savings"),"",C185-G185-F185)</f>
        <v/>
      </c>
      <c r="I185" s="45">
        <f>IF(OR(H185="",G185=0), "", H185/G185)</f>
        <v/>
      </c>
    </row>
    <row r="186">
      <c r="A186" s="5" t="inlineStr">
        <is>
          <t>Core EUR Corp Bond</t>
        </is>
      </c>
      <c r="B186" s="28" t="n">
        <v>46784</v>
      </c>
      <c r="C186" s="11">
        <f>SUMIFS(Month_End!$D:$D,Month_End!$A:$A,B186,Month_End!$B:$B,A186)</f>
        <v/>
      </c>
      <c r="D186" s="11">
        <f>SUMIFS(Transactions_PAC!$H:$H,Transactions_PAC!$B:$B,B186,Transactions_PAC!$C:$C,A186)</f>
        <v/>
      </c>
      <c r="E186" s="11">
        <f>SUMIFS(Transactions_Manual!$E:$E,Transactions_Manual!$B:$B,B186,Transactions_Manual!$C:$C,A186)</f>
        <v/>
      </c>
      <c r="F186" s="11">
        <f>D186+E186</f>
        <v/>
      </c>
      <c r="G186" s="11">
        <f>C185</f>
        <v/>
      </c>
      <c r="H186" s="11">
        <f>IF(OR(G186="",A186="Savings"),"",C186-G186-F186)</f>
        <v/>
      </c>
      <c r="I186" s="45">
        <f>IF(OR(H186="",G186=0), "", H186/G186)</f>
        <v/>
      </c>
    </row>
    <row r="187">
      <c r="A187" s="5" t="inlineStr">
        <is>
          <t>Core EUR Corp Bond</t>
        </is>
      </c>
      <c r="B187" s="28" t="n">
        <v>46813</v>
      </c>
      <c r="C187" s="11">
        <f>SUMIFS(Month_End!$D:$D,Month_End!$A:$A,B187,Month_End!$B:$B,A187)</f>
        <v/>
      </c>
      <c r="D187" s="11">
        <f>SUMIFS(Transactions_PAC!$H:$H,Transactions_PAC!$B:$B,B187,Transactions_PAC!$C:$C,A187)</f>
        <v/>
      </c>
      <c r="E187" s="11">
        <f>SUMIFS(Transactions_Manual!$E:$E,Transactions_Manual!$B:$B,B187,Transactions_Manual!$C:$C,A187)</f>
        <v/>
      </c>
      <c r="F187" s="11">
        <f>D187+E187</f>
        <v/>
      </c>
      <c r="G187" s="11">
        <f>C186</f>
        <v/>
      </c>
      <c r="H187" s="11">
        <f>IF(OR(G187="",A187="Savings"),"",C187-G187-F187)</f>
        <v/>
      </c>
      <c r="I187" s="45">
        <f>IF(OR(H187="",G187=0), "", H187/G187)</f>
        <v/>
      </c>
    </row>
    <row r="188">
      <c r="A188" s="5" t="inlineStr">
        <is>
          <t>Core EUR Corp Bond</t>
        </is>
      </c>
      <c r="B188" s="28" t="n">
        <v>46844</v>
      </c>
      <c r="C188" s="11">
        <f>SUMIFS(Month_End!$D:$D,Month_End!$A:$A,B188,Month_End!$B:$B,A188)</f>
        <v/>
      </c>
      <c r="D188" s="11">
        <f>SUMIFS(Transactions_PAC!$H:$H,Transactions_PAC!$B:$B,B188,Transactions_PAC!$C:$C,A188)</f>
        <v/>
      </c>
      <c r="E188" s="11">
        <f>SUMIFS(Transactions_Manual!$E:$E,Transactions_Manual!$B:$B,B188,Transactions_Manual!$C:$C,A188)</f>
        <v/>
      </c>
      <c r="F188" s="11">
        <f>D188+E188</f>
        <v/>
      </c>
      <c r="G188" s="11">
        <f>C187</f>
        <v/>
      </c>
      <c r="H188" s="11">
        <f>IF(OR(G188="",A188="Savings"),"",C188-G188-F188)</f>
        <v/>
      </c>
      <c r="I188" s="45">
        <f>IF(OR(H188="",G188=0), "", H188/G188)</f>
        <v/>
      </c>
    </row>
    <row r="189">
      <c r="A189" s="5" t="inlineStr">
        <is>
          <t>Core EUR Corp Bond</t>
        </is>
      </c>
      <c r="B189" s="28" t="n">
        <v>46874</v>
      </c>
      <c r="C189" s="11">
        <f>SUMIFS(Month_End!$D:$D,Month_End!$A:$A,B189,Month_End!$B:$B,A189)</f>
        <v/>
      </c>
      <c r="D189" s="11">
        <f>SUMIFS(Transactions_PAC!$H:$H,Transactions_PAC!$B:$B,B189,Transactions_PAC!$C:$C,A189)</f>
        <v/>
      </c>
      <c r="E189" s="11">
        <f>SUMIFS(Transactions_Manual!$E:$E,Transactions_Manual!$B:$B,B189,Transactions_Manual!$C:$C,A189)</f>
        <v/>
      </c>
      <c r="F189" s="11">
        <f>D189+E189</f>
        <v/>
      </c>
      <c r="G189" s="11">
        <f>C188</f>
        <v/>
      </c>
      <c r="H189" s="11">
        <f>IF(OR(G189="",A189="Savings"),"",C189-G189-F189)</f>
        <v/>
      </c>
      <c r="I189" s="45">
        <f>IF(OR(H189="",G189=0), "", H189/G189)</f>
        <v/>
      </c>
    </row>
    <row r="190">
      <c r="A190" s="5" t="inlineStr">
        <is>
          <t>Core EUR Corp Bond</t>
        </is>
      </c>
      <c r="B190" s="28" t="n">
        <v>46905</v>
      </c>
      <c r="C190" s="11">
        <f>SUMIFS(Month_End!$D:$D,Month_End!$A:$A,B190,Month_End!$B:$B,A190)</f>
        <v/>
      </c>
      <c r="D190" s="11">
        <f>SUMIFS(Transactions_PAC!$H:$H,Transactions_PAC!$B:$B,B190,Transactions_PAC!$C:$C,A190)</f>
        <v/>
      </c>
      <c r="E190" s="11">
        <f>SUMIFS(Transactions_Manual!$E:$E,Transactions_Manual!$B:$B,B190,Transactions_Manual!$C:$C,A190)</f>
        <v/>
      </c>
      <c r="F190" s="11">
        <f>D190+E190</f>
        <v/>
      </c>
      <c r="G190" s="11">
        <f>C189</f>
        <v/>
      </c>
      <c r="H190" s="11">
        <f>IF(OR(G190="",A190="Savings"),"",C190-G190-F190)</f>
        <v/>
      </c>
      <c r="I190" s="45">
        <f>IF(OR(H190="",G190=0), "", H190/G190)</f>
        <v/>
      </c>
    </row>
    <row r="191">
      <c r="A191" s="5" t="inlineStr">
        <is>
          <t>Core EUR Corp Bond</t>
        </is>
      </c>
      <c r="B191" s="28" t="n">
        <v>46935</v>
      </c>
      <c r="C191" s="11">
        <f>SUMIFS(Month_End!$D:$D,Month_End!$A:$A,B191,Month_End!$B:$B,A191)</f>
        <v/>
      </c>
      <c r="D191" s="11">
        <f>SUMIFS(Transactions_PAC!$H:$H,Transactions_PAC!$B:$B,B191,Transactions_PAC!$C:$C,A191)</f>
        <v/>
      </c>
      <c r="E191" s="11">
        <f>SUMIFS(Transactions_Manual!$E:$E,Transactions_Manual!$B:$B,B191,Transactions_Manual!$C:$C,A191)</f>
        <v/>
      </c>
      <c r="F191" s="11">
        <f>D191+E191</f>
        <v/>
      </c>
      <c r="G191" s="11">
        <f>C190</f>
        <v/>
      </c>
      <c r="H191" s="11">
        <f>IF(OR(G191="",A191="Savings"),"",C191-G191-F191)</f>
        <v/>
      </c>
      <c r="I191" s="45">
        <f>IF(OR(H191="",G191=0), "", H191/G191)</f>
        <v/>
      </c>
    </row>
    <row r="192">
      <c r="A192" s="5" t="inlineStr">
        <is>
          <t>Core EUR Corp Bond</t>
        </is>
      </c>
      <c r="B192" s="28" t="n">
        <v>46966</v>
      </c>
      <c r="C192" s="11">
        <f>SUMIFS(Month_End!$D:$D,Month_End!$A:$A,B192,Month_End!$B:$B,A192)</f>
        <v/>
      </c>
      <c r="D192" s="11">
        <f>SUMIFS(Transactions_PAC!$H:$H,Transactions_PAC!$B:$B,B192,Transactions_PAC!$C:$C,A192)</f>
        <v/>
      </c>
      <c r="E192" s="11">
        <f>SUMIFS(Transactions_Manual!$E:$E,Transactions_Manual!$B:$B,B192,Transactions_Manual!$C:$C,A192)</f>
        <v/>
      </c>
      <c r="F192" s="11">
        <f>D192+E192</f>
        <v/>
      </c>
      <c r="G192" s="11">
        <f>C191</f>
        <v/>
      </c>
      <c r="H192" s="11">
        <f>IF(OR(G192="",A192="Savings"),"",C192-G192-F192)</f>
        <v/>
      </c>
      <c r="I192" s="45">
        <f>IF(OR(H192="",G192=0), "", H192/G192)</f>
        <v/>
      </c>
    </row>
    <row r="193">
      <c r="A193" s="5" t="inlineStr">
        <is>
          <t>Core EUR Corp Bond</t>
        </is>
      </c>
      <c r="B193" s="28" t="n">
        <v>46997</v>
      </c>
      <c r="C193" s="11">
        <f>SUMIFS(Month_End!$D:$D,Month_End!$A:$A,B193,Month_End!$B:$B,A193)</f>
        <v/>
      </c>
      <c r="D193" s="11">
        <f>SUMIFS(Transactions_PAC!$H:$H,Transactions_PAC!$B:$B,B193,Transactions_PAC!$C:$C,A193)</f>
        <v/>
      </c>
      <c r="E193" s="11">
        <f>SUMIFS(Transactions_Manual!$E:$E,Transactions_Manual!$B:$B,B193,Transactions_Manual!$C:$C,A193)</f>
        <v/>
      </c>
      <c r="F193" s="11">
        <f>D193+E193</f>
        <v/>
      </c>
      <c r="G193" s="11">
        <f>C192</f>
        <v/>
      </c>
      <c r="H193" s="11">
        <f>IF(OR(G193="",A193="Savings"),"",C193-G193-F193)</f>
        <v/>
      </c>
      <c r="I193" s="45">
        <f>IF(OR(H193="",G193=0), "", H193/G193)</f>
        <v/>
      </c>
    </row>
    <row r="194">
      <c r="A194" s="5" t="inlineStr">
        <is>
          <t>Core EUR Corp Bond</t>
        </is>
      </c>
      <c r="B194" s="28" t="n">
        <v>47027</v>
      </c>
      <c r="C194" s="11">
        <f>SUMIFS(Month_End!$D:$D,Month_End!$A:$A,B194,Month_End!$B:$B,A194)</f>
        <v/>
      </c>
      <c r="D194" s="11">
        <f>SUMIFS(Transactions_PAC!$H:$H,Transactions_PAC!$B:$B,B194,Transactions_PAC!$C:$C,A194)</f>
        <v/>
      </c>
      <c r="E194" s="11">
        <f>SUMIFS(Transactions_Manual!$E:$E,Transactions_Manual!$B:$B,B194,Transactions_Manual!$C:$C,A194)</f>
        <v/>
      </c>
      <c r="F194" s="11">
        <f>D194+E194</f>
        <v/>
      </c>
      <c r="G194" s="11">
        <f>C193</f>
        <v/>
      </c>
      <c r="H194" s="11">
        <f>IF(OR(G194="",A194="Savings"),"",C194-G194-F194)</f>
        <v/>
      </c>
      <c r="I194" s="45">
        <f>IF(OR(H194="",G194=0), "", H194/G194)</f>
        <v/>
      </c>
    </row>
    <row r="195">
      <c r="A195" s="5" t="inlineStr">
        <is>
          <t>Core EUR Corp Bond</t>
        </is>
      </c>
      <c r="B195" s="28" t="n">
        <v>47058</v>
      </c>
      <c r="C195" s="11">
        <f>SUMIFS(Month_End!$D:$D,Month_End!$A:$A,B195,Month_End!$B:$B,A195)</f>
        <v/>
      </c>
      <c r="D195" s="11">
        <f>SUMIFS(Transactions_PAC!$H:$H,Transactions_PAC!$B:$B,B195,Transactions_PAC!$C:$C,A195)</f>
        <v/>
      </c>
      <c r="E195" s="11">
        <f>SUMIFS(Transactions_Manual!$E:$E,Transactions_Manual!$B:$B,B195,Transactions_Manual!$C:$C,A195)</f>
        <v/>
      </c>
      <c r="F195" s="11">
        <f>D195+E195</f>
        <v/>
      </c>
      <c r="G195" s="11">
        <f>C194</f>
        <v/>
      </c>
      <c r="H195" s="11">
        <f>IF(OR(G195="",A195="Savings"),"",C195-G195-F195)</f>
        <v/>
      </c>
      <c r="I195" s="45">
        <f>IF(OR(H195="",G195=0), "", H195/G195)</f>
        <v/>
      </c>
    </row>
    <row r="196">
      <c r="A196" s="5" t="inlineStr">
        <is>
          <t>Core EUR Corp Bond</t>
        </is>
      </c>
      <c r="B196" s="28" t="n">
        <v>47088</v>
      </c>
      <c r="C196" s="11">
        <f>SUMIFS(Month_End!$D:$D,Month_End!$A:$A,B196,Month_End!$B:$B,A196)</f>
        <v/>
      </c>
      <c r="D196" s="11">
        <f>SUMIFS(Transactions_PAC!$H:$H,Transactions_PAC!$B:$B,B196,Transactions_PAC!$C:$C,A196)</f>
        <v/>
      </c>
      <c r="E196" s="11">
        <f>SUMIFS(Transactions_Manual!$E:$E,Transactions_Manual!$B:$B,B196,Transactions_Manual!$C:$C,A196)</f>
        <v/>
      </c>
      <c r="F196" s="11">
        <f>D196+E196</f>
        <v/>
      </c>
      <c r="G196" s="11">
        <f>C195</f>
        <v/>
      </c>
      <c r="H196" s="11">
        <f>IF(OR(G196="",A196="Savings"),"",C196-G196-F196)</f>
        <v/>
      </c>
      <c r="I196" s="45">
        <f>IF(OR(H196="",G196=0), "", H196/G196)</f>
        <v/>
      </c>
    </row>
    <row r="197">
      <c r="A197" s="5" t="inlineStr">
        <is>
          <t>MSCI World Value</t>
        </is>
      </c>
      <c r="B197" s="28" t="n">
        <v>45931</v>
      </c>
      <c r="C197" s="11">
        <f>SUMIFS(Month_End!$D:$D,Month_End!$A:$A,B197,Month_End!$B:$B,A197)</f>
        <v/>
      </c>
      <c r="D197" s="11">
        <f>SUMIFS(Transactions_PAC!$H:$H,Transactions_PAC!$B:$B,B197,Transactions_PAC!$C:$C,A197)</f>
        <v/>
      </c>
      <c r="E197" s="11">
        <f>SUMIFS(Transactions_Manual!$E:$E,Transactions_Manual!$B:$B,B197,Transactions_Manual!$C:$C,A197)</f>
        <v/>
      </c>
      <c r="F197" s="11">
        <f>D197+E197</f>
        <v/>
      </c>
      <c r="G197" s="11" t="inlineStr"/>
      <c r="H197" s="11">
        <f>IF(OR(G197="",A197="Savings"),"",C197-G197-F197)</f>
        <v/>
      </c>
      <c r="I197" s="45">
        <f>IF(OR(H197="",G197=0), "", H197/G197)</f>
        <v/>
      </c>
    </row>
    <row r="198">
      <c r="A198" s="5" t="inlineStr">
        <is>
          <t>MSCI World Value</t>
        </is>
      </c>
      <c r="B198" s="28" t="n">
        <v>45962</v>
      </c>
      <c r="C198" s="11">
        <f>SUMIFS(Month_End!$D:$D,Month_End!$A:$A,B198,Month_End!$B:$B,A198)</f>
        <v/>
      </c>
      <c r="D198" s="11">
        <f>SUMIFS(Transactions_PAC!$H:$H,Transactions_PAC!$B:$B,B198,Transactions_PAC!$C:$C,A198)</f>
        <v/>
      </c>
      <c r="E198" s="11">
        <f>SUMIFS(Transactions_Manual!$E:$E,Transactions_Manual!$B:$B,B198,Transactions_Manual!$C:$C,A198)</f>
        <v/>
      </c>
      <c r="F198" s="11">
        <f>D198+E198</f>
        <v/>
      </c>
      <c r="G198" s="11">
        <f>C197</f>
        <v/>
      </c>
      <c r="H198" s="11">
        <f>IF(OR(G198="",A198="Savings"),"",C198-G198-F198)</f>
        <v/>
      </c>
      <c r="I198" s="45">
        <f>IF(OR(H198="",G198=0), "", H198/G198)</f>
        <v/>
      </c>
    </row>
    <row r="199">
      <c r="A199" s="5" t="inlineStr">
        <is>
          <t>MSCI World Value</t>
        </is>
      </c>
      <c r="B199" s="28" t="n">
        <v>45992</v>
      </c>
      <c r="C199" s="11">
        <f>SUMIFS(Month_End!$D:$D,Month_End!$A:$A,B199,Month_End!$B:$B,A199)</f>
        <v/>
      </c>
      <c r="D199" s="11">
        <f>SUMIFS(Transactions_PAC!$H:$H,Transactions_PAC!$B:$B,B199,Transactions_PAC!$C:$C,A199)</f>
        <v/>
      </c>
      <c r="E199" s="11">
        <f>SUMIFS(Transactions_Manual!$E:$E,Transactions_Manual!$B:$B,B199,Transactions_Manual!$C:$C,A199)</f>
        <v/>
      </c>
      <c r="F199" s="11">
        <f>D199+E199</f>
        <v/>
      </c>
      <c r="G199" s="11">
        <f>C198</f>
        <v/>
      </c>
      <c r="H199" s="11">
        <f>IF(OR(G199="",A199="Savings"),"",C199-G199-F199)</f>
        <v/>
      </c>
      <c r="I199" s="45">
        <f>IF(OR(H199="",G199=0), "", H199/G199)</f>
        <v/>
      </c>
    </row>
    <row r="200">
      <c r="A200" s="5" t="inlineStr">
        <is>
          <t>MSCI World Value</t>
        </is>
      </c>
      <c r="B200" s="28" t="n">
        <v>46023</v>
      </c>
      <c r="C200" s="11">
        <f>SUMIFS(Month_End!$D:$D,Month_End!$A:$A,B200,Month_End!$B:$B,A200)</f>
        <v/>
      </c>
      <c r="D200" s="11">
        <f>SUMIFS(Transactions_PAC!$H:$H,Transactions_PAC!$B:$B,B200,Transactions_PAC!$C:$C,A200)</f>
        <v/>
      </c>
      <c r="E200" s="11">
        <f>SUMIFS(Transactions_Manual!$E:$E,Transactions_Manual!$B:$B,B200,Transactions_Manual!$C:$C,A200)</f>
        <v/>
      </c>
      <c r="F200" s="11">
        <f>D200+E200</f>
        <v/>
      </c>
      <c r="G200" s="11">
        <f>C199</f>
        <v/>
      </c>
      <c r="H200" s="11">
        <f>IF(OR(G200="",A200="Savings"),"",C200-G200-F200)</f>
        <v/>
      </c>
      <c r="I200" s="45">
        <f>IF(OR(H200="",G200=0), "", H200/G200)</f>
        <v/>
      </c>
    </row>
    <row r="201">
      <c r="A201" s="5" t="inlineStr">
        <is>
          <t>MSCI World Value</t>
        </is>
      </c>
      <c r="B201" s="28" t="n">
        <v>46054</v>
      </c>
      <c r="C201" s="11">
        <f>SUMIFS(Month_End!$D:$D,Month_End!$A:$A,B201,Month_End!$B:$B,A201)</f>
        <v/>
      </c>
      <c r="D201" s="11">
        <f>SUMIFS(Transactions_PAC!$H:$H,Transactions_PAC!$B:$B,B201,Transactions_PAC!$C:$C,A201)</f>
        <v/>
      </c>
      <c r="E201" s="11">
        <f>SUMIFS(Transactions_Manual!$E:$E,Transactions_Manual!$B:$B,B201,Transactions_Manual!$C:$C,A201)</f>
        <v/>
      </c>
      <c r="F201" s="11">
        <f>D201+E201</f>
        <v/>
      </c>
      <c r="G201" s="11">
        <f>C200</f>
        <v/>
      </c>
      <c r="H201" s="11">
        <f>IF(OR(G201="",A201="Savings"),"",C201-G201-F201)</f>
        <v/>
      </c>
      <c r="I201" s="45">
        <f>IF(OR(H201="",G201=0), "", H201/G201)</f>
        <v/>
      </c>
    </row>
    <row r="202">
      <c r="A202" s="5" t="inlineStr">
        <is>
          <t>MSCI World Value</t>
        </is>
      </c>
      <c r="B202" s="28" t="n">
        <v>46082</v>
      </c>
      <c r="C202" s="11">
        <f>SUMIFS(Month_End!$D:$D,Month_End!$A:$A,B202,Month_End!$B:$B,A202)</f>
        <v/>
      </c>
      <c r="D202" s="11">
        <f>SUMIFS(Transactions_PAC!$H:$H,Transactions_PAC!$B:$B,B202,Transactions_PAC!$C:$C,A202)</f>
        <v/>
      </c>
      <c r="E202" s="11">
        <f>SUMIFS(Transactions_Manual!$E:$E,Transactions_Manual!$B:$B,B202,Transactions_Manual!$C:$C,A202)</f>
        <v/>
      </c>
      <c r="F202" s="11">
        <f>D202+E202</f>
        <v/>
      </c>
      <c r="G202" s="11">
        <f>C201</f>
        <v/>
      </c>
      <c r="H202" s="11">
        <f>IF(OR(G202="",A202="Savings"),"",C202-G202-F202)</f>
        <v/>
      </c>
      <c r="I202" s="45">
        <f>IF(OR(H202="",G202=0), "", H202/G202)</f>
        <v/>
      </c>
    </row>
    <row r="203">
      <c r="A203" s="5" t="inlineStr">
        <is>
          <t>MSCI World Value</t>
        </is>
      </c>
      <c r="B203" s="28" t="n">
        <v>46113</v>
      </c>
      <c r="C203" s="11">
        <f>SUMIFS(Month_End!$D:$D,Month_End!$A:$A,B203,Month_End!$B:$B,A203)</f>
        <v/>
      </c>
      <c r="D203" s="11">
        <f>SUMIFS(Transactions_PAC!$H:$H,Transactions_PAC!$B:$B,B203,Transactions_PAC!$C:$C,A203)</f>
        <v/>
      </c>
      <c r="E203" s="11">
        <f>SUMIFS(Transactions_Manual!$E:$E,Transactions_Manual!$B:$B,B203,Transactions_Manual!$C:$C,A203)</f>
        <v/>
      </c>
      <c r="F203" s="11">
        <f>D203+E203</f>
        <v/>
      </c>
      <c r="G203" s="11">
        <f>C202</f>
        <v/>
      </c>
      <c r="H203" s="11">
        <f>IF(OR(G203="",A203="Savings"),"",C203-G203-F203)</f>
        <v/>
      </c>
      <c r="I203" s="45">
        <f>IF(OR(H203="",G203=0), "", H203/G203)</f>
        <v/>
      </c>
    </row>
    <row r="204">
      <c r="A204" s="5" t="inlineStr">
        <is>
          <t>MSCI World Value</t>
        </is>
      </c>
      <c r="B204" s="28" t="n">
        <v>46143</v>
      </c>
      <c r="C204" s="11">
        <f>SUMIFS(Month_End!$D:$D,Month_End!$A:$A,B204,Month_End!$B:$B,A204)</f>
        <v/>
      </c>
      <c r="D204" s="11">
        <f>SUMIFS(Transactions_PAC!$H:$H,Transactions_PAC!$B:$B,B204,Transactions_PAC!$C:$C,A204)</f>
        <v/>
      </c>
      <c r="E204" s="11">
        <f>SUMIFS(Transactions_Manual!$E:$E,Transactions_Manual!$B:$B,B204,Transactions_Manual!$C:$C,A204)</f>
        <v/>
      </c>
      <c r="F204" s="11">
        <f>D204+E204</f>
        <v/>
      </c>
      <c r="G204" s="11">
        <f>C203</f>
        <v/>
      </c>
      <c r="H204" s="11">
        <f>IF(OR(G204="",A204="Savings"),"",C204-G204-F204)</f>
        <v/>
      </c>
      <c r="I204" s="45">
        <f>IF(OR(H204="",G204=0), "", H204/G204)</f>
        <v/>
      </c>
    </row>
    <row r="205">
      <c r="A205" s="5" t="inlineStr">
        <is>
          <t>MSCI World Value</t>
        </is>
      </c>
      <c r="B205" s="28" t="n">
        <v>46174</v>
      </c>
      <c r="C205" s="11">
        <f>SUMIFS(Month_End!$D:$D,Month_End!$A:$A,B205,Month_End!$B:$B,A205)</f>
        <v/>
      </c>
      <c r="D205" s="11">
        <f>SUMIFS(Transactions_PAC!$H:$H,Transactions_PAC!$B:$B,B205,Transactions_PAC!$C:$C,A205)</f>
        <v/>
      </c>
      <c r="E205" s="11">
        <f>SUMIFS(Transactions_Manual!$E:$E,Transactions_Manual!$B:$B,B205,Transactions_Manual!$C:$C,A205)</f>
        <v/>
      </c>
      <c r="F205" s="11">
        <f>D205+E205</f>
        <v/>
      </c>
      <c r="G205" s="11">
        <f>C204</f>
        <v/>
      </c>
      <c r="H205" s="11">
        <f>IF(OR(G205="",A205="Savings"),"",C205-G205-F205)</f>
        <v/>
      </c>
      <c r="I205" s="45">
        <f>IF(OR(H205="",G205=0), "", H205/G205)</f>
        <v/>
      </c>
    </row>
    <row r="206">
      <c r="A206" s="5" t="inlineStr">
        <is>
          <t>MSCI World Value</t>
        </is>
      </c>
      <c r="B206" s="28" t="n">
        <v>46204</v>
      </c>
      <c r="C206" s="11">
        <f>SUMIFS(Month_End!$D:$D,Month_End!$A:$A,B206,Month_End!$B:$B,A206)</f>
        <v/>
      </c>
      <c r="D206" s="11">
        <f>SUMIFS(Transactions_PAC!$H:$H,Transactions_PAC!$B:$B,B206,Transactions_PAC!$C:$C,A206)</f>
        <v/>
      </c>
      <c r="E206" s="11">
        <f>SUMIFS(Transactions_Manual!$E:$E,Transactions_Manual!$B:$B,B206,Transactions_Manual!$C:$C,A206)</f>
        <v/>
      </c>
      <c r="F206" s="11">
        <f>D206+E206</f>
        <v/>
      </c>
      <c r="G206" s="11">
        <f>C205</f>
        <v/>
      </c>
      <c r="H206" s="11">
        <f>IF(OR(G206="",A206="Savings"),"",C206-G206-F206)</f>
        <v/>
      </c>
      <c r="I206" s="45">
        <f>IF(OR(H206="",G206=0), "", H206/G206)</f>
        <v/>
      </c>
    </row>
    <row r="207">
      <c r="A207" s="5" t="inlineStr">
        <is>
          <t>MSCI World Value</t>
        </is>
      </c>
      <c r="B207" s="28" t="n">
        <v>46235</v>
      </c>
      <c r="C207" s="11">
        <f>SUMIFS(Month_End!$D:$D,Month_End!$A:$A,B207,Month_End!$B:$B,A207)</f>
        <v/>
      </c>
      <c r="D207" s="11">
        <f>SUMIFS(Transactions_PAC!$H:$H,Transactions_PAC!$B:$B,B207,Transactions_PAC!$C:$C,A207)</f>
        <v/>
      </c>
      <c r="E207" s="11">
        <f>SUMIFS(Transactions_Manual!$E:$E,Transactions_Manual!$B:$B,B207,Transactions_Manual!$C:$C,A207)</f>
        <v/>
      </c>
      <c r="F207" s="11">
        <f>D207+E207</f>
        <v/>
      </c>
      <c r="G207" s="11">
        <f>C206</f>
        <v/>
      </c>
      <c r="H207" s="11">
        <f>IF(OR(G207="",A207="Savings"),"",C207-G207-F207)</f>
        <v/>
      </c>
      <c r="I207" s="45">
        <f>IF(OR(H207="",G207=0), "", H207/G207)</f>
        <v/>
      </c>
    </row>
    <row r="208">
      <c r="A208" s="5" t="inlineStr">
        <is>
          <t>MSCI World Value</t>
        </is>
      </c>
      <c r="B208" s="28" t="n">
        <v>46266</v>
      </c>
      <c r="C208" s="11">
        <f>SUMIFS(Month_End!$D:$D,Month_End!$A:$A,B208,Month_End!$B:$B,A208)</f>
        <v/>
      </c>
      <c r="D208" s="11">
        <f>SUMIFS(Transactions_PAC!$H:$H,Transactions_PAC!$B:$B,B208,Transactions_PAC!$C:$C,A208)</f>
        <v/>
      </c>
      <c r="E208" s="11">
        <f>SUMIFS(Transactions_Manual!$E:$E,Transactions_Manual!$B:$B,B208,Transactions_Manual!$C:$C,A208)</f>
        <v/>
      </c>
      <c r="F208" s="11">
        <f>D208+E208</f>
        <v/>
      </c>
      <c r="G208" s="11">
        <f>C207</f>
        <v/>
      </c>
      <c r="H208" s="11">
        <f>IF(OR(G208="",A208="Savings"),"",C208-G208-F208)</f>
        <v/>
      </c>
      <c r="I208" s="45">
        <f>IF(OR(H208="",G208=0), "", H208/G208)</f>
        <v/>
      </c>
    </row>
    <row r="209">
      <c r="A209" s="5" t="inlineStr">
        <is>
          <t>MSCI World Value</t>
        </is>
      </c>
      <c r="B209" s="28" t="n">
        <v>46296</v>
      </c>
      <c r="C209" s="11">
        <f>SUMIFS(Month_End!$D:$D,Month_End!$A:$A,B209,Month_End!$B:$B,A209)</f>
        <v/>
      </c>
      <c r="D209" s="11">
        <f>SUMIFS(Transactions_PAC!$H:$H,Transactions_PAC!$B:$B,B209,Transactions_PAC!$C:$C,A209)</f>
        <v/>
      </c>
      <c r="E209" s="11">
        <f>SUMIFS(Transactions_Manual!$E:$E,Transactions_Manual!$B:$B,B209,Transactions_Manual!$C:$C,A209)</f>
        <v/>
      </c>
      <c r="F209" s="11">
        <f>D209+E209</f>
        <v/>
      </c>
      <c r="G209" s="11">
        <f>C208</f>
        <v/>
      </c>
      <c r="H209" s="11">
        <f>IF(OR(G209="",A209="Savings"),"",C209-G209-F209)</f>
        <v/>
      </c>
      <c r="I209" s="45">
        <f>IF(OR(H209="",G209=0), "", H209/G209)</f>
        <v/>
      </c>
    </row>
    <row r="210">
      <c r="A210" s="5" t="inlineStr">
        <is>
          <t>MSCI World Value</t>
        </is>
      </c>
      <c r="B210" s="28" t="n">
        <v>46327</v>
      </c>
      <c r="C210" s="11">
        <f>SUMIFS(Month_End!$D:$D,Month_End!$A:$A,B210,Month_End!$B:$B,A210)</f>
        <v/>
      </c>
      <c r="D210" s="11">
        <f>SUMIFS(Transactions_PAC!$H:$H,Transactions_PAC!$B:$B,B210,Transactions_PAC!$C:$C,A210)</f>
        <v/>
      </c>
      <c r="E210" s="11">
        <f>SUMIFS(Transactions_Manual!$E:$E,Transactions_Manual!$B:$B,B210,Transactions_Manual!$C:$C,A210)</f>
        <v/>
      </c>
      <c r="F210" s="11">
        <f>D210+E210</f>
        <v/>
      </c>
      <c r="G210" s="11">
        <f>C209</f>
        <v/>
      </c>
      <c r="H210" s="11">
        <f>IF(OR(G210="",A210="Savings"),"",C210-G210-F210)</f>
        <v/>
      </c>
      <c r="I210" s="45">
        <f>IF(OR(H210="",G210=0), "", H210/G210)</f>
        <v/>
      </c>
    </row>
    <row r="211">
      <c r="A211" s="5" t="inlineStr">
        <is>
          <t>MSCI World Value</t>
        </is>
      </c>
      <c r="B211" s="28" t="n">
        <v>46357</v>
      </c>
      <c r="C211" s="11">
        <f>SUMIFS(Month_End!$D:$D,Month_End!$A:$A,B211,Month_End!$B:$B,A211)</f>
        <v/>
      </c>
      <c r="D211" s="11">
        <f>SUMIFS(Transactions_PAC!$H:$H,Transactions_PAC!$B:$B,B211,Transactions_PAC!$C:$C,A211)</f>
        <v/>
      </c>
      <c r="E211" s="11">
        <f>SUMIFS(Transactions_Manual!$E:$E,Transactions_Manual!$B:$B,B211,Transactions_Manual!$C:$C,A211)</f>
        <v/>
      </c>
      <c r="F211" s="11">
        <f>D211+E211</f>
        <v/>
      </c>
      <c r="G211" s="11">
        <f>C210</f>
        <v/>
      </c>
      <c r="H211" s="11">
        <f>IF(OR(G211="",A211="Savings"),"",C211-G211-F211)</f>
        <v/>
      </c>
      <c r="I211" s="45">
        <f>IF(OR(H211="",G211=0), "", H211/G211)</f>
        <v/>
      </c>
    </row>
    <row r="212">
      <c r="A212" s="5" t="inlineStr">
        <is>
          <t>MSCI World Value</t>
        </is>
      </c>
      <c r="B212" s="28" t="n">
        <v>46388</v>
      </c>
      <c r="C212" s="11">
        <f>SUMIFS(Month_End!$D:$D,Month_End!$A:$A,B212,Month_End!$B:$B,A212)</f>
        <v/>
      </c>
      <c r="D212" s="11">
        <f>SUMIFS(Transactions_PAC!$H:$H,Transactions_PAC!$B:$B,B212,Transactions_PAC!$C:$C,A212)</f>
        <v/>
      </c>
      <c r="E212" s="11">
        <f>SUMIFS(Transactions_Manual!$E:$E,Transactions_Manual!$B:$B,B212,Transactions_Manual!$C:$C,A212)</f>
        <v/>
      </c>
      <c r="F212" s="11">
        <f>D212+E212</f>
        <v/>
      </c>
      <c r="G212" s="11">
        <f>C211</f>
        <v/>
      </c>
      <c r="H212" s="11">
        <f>IF(OR(G212="",A212="Savings"),"",C212-G212-F212)</f>
        <v/>
      </c>
      <c r="I212" s="45">
        <f>IF(OR(H212="",G212=0), "", H212/G212)</f>
        <v/>
      </c>
    </row>
    <row r="213">
      <c r="A213" s="5" t="inlineStr">
        <is>
          <t>MSCI World Value</t>
        </is>
      </c>
      <c r="B213" s="28" t="n">
        <v>46419</v>
      </c>
      <c r="C213" s="11">
        <f>SUMIFS(Month_End!$D:$D,Month_End!$A:$A,B213,Month_End!$B:$B,A213)</f>
        <v/>
      </c>
      <c r="D213" s="11">
        <f>SUMIFS(Transactions_PAC!$H:$H,Transactions_PAC!$B:$B,B213,Transactions_PAC!$C:$C,A213)</f>
        <v/>
      </c>
      <c r="E213" s="11">
        <f>SUMIFS(Transactions_Manual!$E:$E,Transactions_Manual!$B:$B,B213,Transactions_Manual!$C:$C,A213)</f>
        <v/>
      </c>
      <c r="F213" s="11">
        <f>D213+E213</f>
        <v/>
      </c>
      <c r="G213" s="11">
        <f>C212</f>
        <v/>
      </c>
      <c r="H213" s="11">
        <f>IF(OR(G213="",A213="Savings"),"",C213-G213-F213)</f>
        <v/>
      </c>
      <c r="I213" s="45">
        <f>IF(OR(H213="",G213=0), "", H213/G213)</f>
        <v/>
      </c>
    </row>
    <row r="214">
      <c r="A214" s="5" t="inlineStr">
        <is>
          <t>MSCI World Value</t>
        </is>
      </c>
      <c r="B214" s="28" t="n">
        <v>46447</v>
      </c>
      <c r="C214" s="11">
        <f>SUMIFS(Month_End!$D:$D,Month_End!$A:$A,B214,Month_End!$B:$B,A214)</f>
        <v/>
      </c>
      <c r="D214" s="11">
        <f>SUMIFS(Transactions_PAC!$H:$H,Transactions_PAC!$B:$B,B214,Transactions_PAC!$C:$C,A214)</f>
        <v/>
      </c>
      <c r="E214" s="11">
        <f>SUMIFS(Transactions_Manual!$E:$E,Transactions_Manual!$B:$B,B214,Transactions_Manual!$C:$C,A214)</f>
        <v/>
      </c>
      <c r="F214" s="11">
        <f>D214+E214</f>
        <v/>
      </c>
      <c r="G214" s="11">
        <f>C213</f>
        <v/>
      </c>
      <c r="H214" s="11">
        <f>IF(OR(G214="",A214="Savings"),"",C214-G214-F214)</f>
        <v/>
      </c>
      <c r="I214" s="45">
        <f>IF(OR(H214="",G214=0), "", H214/G214)</f>
        <v/>
      </c>
    </row>
    <row r="215">
      <c r="A215" s="5" t="inlineStr">
        <is>
          <t>MSCI World Value</t>
        </is>
      </c>
      <c r="B215" s="28" t="n">
        <v>46478</v>
      </c>
      <c r="C215" s="11">
        <f>SUMIFS(Month_End!$D:$D,Month_End!$A:$A,B215,Month_End!$B:$B,A215)</f>
        <v/>
      </c>
      <c r="D215" s="11">
        <f>SUMIFS(Transactions_PAC!$H:$H,Transactions_PAC!$B:$B,B215,Transactions_PAC!$C:$C,A215)</f>
        <v/>
      </c>
      <c r="E215" s="11">
        <f>SUMIFS(Transactions_Manual!$E:$E,Transactions_Manual!$B:$B,B215,Transactions_Manual!$C:$C,A215)</f>
        <v/>
      </c>
      <c r="F215" s="11">
        <f>D215+E215</f>
        <v/>
      </c>
      <c r="G215" s="11">
        <f>C214</f>
        <v/>
      </c>
      <c r="H215" s="11">
        <f>IF(OR(G215="",A215="Savings"),"",C215-G215-F215)</f>
        <v/>
      </c>
      <c r="I215" s="45">
        <f>IF(OR(H215="",G215=0), "", H215/G215)</f>
        <v/>
      </c>
    </row>
    <row r="216">
      <c r="A216" s="5" t="inlineStr">
        <is>
          <t>MSCI World Value</t>
        </is>
      </c>
      <c r="B216" s="28" t="n">
        <v>46508</v>
      </c>
      <c r="C216" s="11">
        <f>SUMIFS(Month_End!$D:$D,Month_End!$A:$A,B216,Month_End!$B:$B,A216)</f>
        <v/>
      </c>
      <c r="D216" s="11">
        <f>SUMIFS(Transactions_PAC!$H:$H,Transactions_PAC!$B:$B,B216,Transactions_PAC!$C:$C,A216)</f>
        <v/>
      </c>
      <c r="E216" s="11">
        <f>SUMIFS(Transactions_Manual!$E:$E,Transactions_Manual!$B:$B,B216,Transactions_Manual!$C:$C,A216)</f>
        <v/>
      </c>
      <c r="F216" s="11">
        <f>D216+E216</f>
        <v/>
      </c>
      <c r="G216" s="11">
        <f>C215</f>
        <v/>
      </c>
      <c r="H216" s="11">
        <f>IF(OR(G216="",A216="Savings"),"",C216-G216-F216)</f>
        <v/>
      </c>
      <c r="I216" s="45">
        <f>IF(OR(H216="",G216=0), "", H216/G216)</f>
        <v/>
      </c>
    </row>
    <row r="217">
      <c r="A217" s="5" t="inlineStr">
        <is>
          <t>MSCI World Value</t>
        </is>
      </c>
      <c r="B217" s="28" t="n">
        <v>46539</v>
      </c>
      <c r="C217" s="11">
        <f>SUMIFS(Month_End!$D:$D,Month_End!$A:$A,B217,Month_End!$B:$B,A217)</f>
        <v/>
      </c>
      <c r="D217" s="11">
        <f>SUMIFS(Transactions_PAC!$H:$H,Transactions_PAC!$B:$B,B217,Transactions_PAC!$C:$C,A217)</f>
        <v/>
      </c>
      <c r="E217" s="11">
        <f>SUMIFS(Transactions_Manual!$E:$E,Transactions_Manual!$B:$B,B217,Transactions_Manual!$C:$C,A217)</f>
        <v/>
      </c>
      <c r="F217" s="11">
        <f>D217+E217</f>
        <v/>
      </c>
      <c r="G217" s="11">
        <f>C216</f>
        <v/>
      </c>
      <c r="H217" s="11">
        <f>IF(OR(G217="",A217="Savings"),"",C217-G217-F217)</f>
        <v/>
      </c>
      <c r="I217" s="45">
        <f>IF(OR(H217="",G217=0), "", H217/G217)</f>
        <v/>
      </c>
    </row>
    <row r="218">
      <c r="A218" s="5" t="inlineStr">
        <is>
          <t>MSCI World Value</t>
        </is>
      </c>
      <c r="B218" s="28" t="n">
        <v>46569</v>
      </c>
      <c r="C218" s="11">
        <f>SUMIFS(Month_End!$D:$D,Month_End!$A:$A,B218,Month_End!$B:$B,A218)</f>
        <v/>
      </c>
      <c r="D218" s="11">
        <f>SUMIFS(Transactions_PAC!$H:$H,Transactions_PAC!$B:$B,B218,Transactions_PAC!$C:$C,A218)</f>
        <v/>
      </c>
      <c r="E218" s="11">
        <f>SUMIFS(Transactions_Manual!$E:$E,Transactions_Manual!$B:$B,B218,Transactions_Manual!$C:$C,A218)</f>
        <v/>
      </c>
      <c r="F218" s="11">
        <f>D218+E218</f>
        <v/>
      </c>
      <c r="G218" s="11">
        <f>C217</f>
        <v/>
      </c>
      <c r="H218" s="11">
        <f>IF(OR(G218="",A218="Savings"),"",C218-G218-F218)</f>
        <v/>
      </c>
      <c r="I218" s="45">
        <f>IF(OR(H218="",G218=0), "", H218/G218)</f>
        <v/>
      </c>
    </row>
    <row r="219">
      <c r="A219" s="5" t="inlineStr">
        <is>
          <t>MSCI World Value</t>
        </is>
      </c>
      <c r="B219" s="28" t="n">
        <v>46600</v>
      </c>
      <c r="C219" s="11">
        <f>SUMIFS(Month_End!$D:$D,Month_End!$A:$A,B219,Month_End!$B:$B,A219)</f>
        <v/>
      </c>
      <c r="D219" s="11">
        <f>SUMIFS(Transactions_PAC!$H:$H,Transactions_PAC!$B:$B,B219,Transactions_PAC!$C:$C,A219)</f>
        <v/>
      </c>
      <c r="E219" s="11">
        <f>SUMIFS(Transactions_Manual!$E:$E,Transactions_Manual!$B:$B,B219,Transactions_Manual!$C:$C,A219)</f>
        <v/>
      </c>
      <c r="F219" s="11">
        <f>D219+E219</f>
        <v/>
      </c>
      <c r="G219" s="11">
        <f>C218</f>
        <v/>
      </c>
      <c r="H219" s="11">
        <f>IF(OR(G219="",A219="Savings"),"",C219-G219-F219)</f>
        <v/>
      </c>
      <c r="I219" s="45">
        <f>IF(OR(H219="",G219=0), "", H219/G219)</f>
        <v/>
      </c>
    </row>
    <row r="220">
      <c r="A220" s="5" t="inlineStr">
        <is>
          <t>MSCI World Value</t>
        </is>
      </c>
      <c r="B220" s="28" t="n">
        <v>46631</v>
      </c>
      <c r="C220" s="11">
        <f>SUMIFS(Month_End!$D:$D,Month_End!$A:$A,B220,Month_End!$B:$B,A220)</f>
        <v/>
      </c>
      <c r="D220" s="11">
        <f>SUMIFS(Transactions_PAC!$H:$H,Transactions_PAC!$B:$B,B220,Transactions_PAC!$C:$C,A220)</f>
        <v/>
      </c>
      <c r="E220" s="11">
        <f>SUMIFS(Transactions_Manual!$E:$E,Transactions_Manual!$B:$B,B220,Transactions_Manual!$C:$C,A220)</f>
        <v/>
      </c>
      <c r="F220" s="11">
        <f>D220+E220</f>
        <v/>
      </c>
      <c r="G220" s="11">
        <f>C219</f>
        <v/>
      </c>
      <c r="H220" s="11">
        <f>IF(OR(G220="",A220="Savings"),"",C220-G220-F220)</f>
        <v/>
      </c>
      <c r="I220" s="45">
        <f>IF(OR(H220="",G220=0), "", H220/G220)</f>
        <v/>
      </c>
    </row>
    <row r="221">
      <c r="A221" s="5" t="inlineStr">
        <is>
          <t>MSCI World Value</t>
        </is>
      </c>
      <c r="B221" s="28" t="n">
        <v>46661</v>
      </c>
      <c r="C221" s="11">
        <f>SUMIFS(Month_End!$D:$D,Month_End!$A:$A,B221,Month_End!$B:$B,A221)</f>
        <v/>
      </c>
      <c r="D221" s="11">
        <f>SUMIFS(Transactions_PAC!$H:$H,Transactions_PAC!$B:$B,B221,Transactions_PAC!$C:$C,A221)</f>
        <v/>
      </c>
      <c r="E221" s="11">
        <f>SUMIFS(Transactions_Manual!$E:$E,Transactions_Manual!$B:$B,B221,Transactions_Manual!$C:$C,A221)</f>
        <v/>
      </c>
      <c r="F221" s="11">
        <f>D221+E221</f>
        <v/>
      </c>
      <c r="G221" s="11">
        <f>C220</f>
        <v/>
      </c>
      <c r="H221" s="11">
        <f>IF(OR(G221="",A221="Savings"),"",C221-G221-F221)</f>
        <v/>
      </c>
      <c r="I221" s="45">
        <f>IF(OR(H221="",G221=0), "", H221/G221)</f>
        <v/>
      </c>
    </row>
    <row r="222">
      <c r="A222" s="5" t="inlineStr">
        <is>
          <t>MSCI World Value</t>
        </is>
      </c>
      <c r="B222" s="28" t="n">
        <v>46692</v>
      </c>
      <c r="C222" s="11">
        <f>SUMIFS(Month_End!$D:$D,Month_End!$A:$A,B222,Month_End!$B:$B,A222)</f>
        <v/>
      </c>
      <c r="D222" s="11">
        <f>SUMIFS(Transactions_PAC!$H:$H,Transactions_PAC!$B:$B,B222,Transactions_PAC!$C:$C,A222)</f>
        <v/>
      </c>
      <c r="E222" s="11">
        <f>SUMIFS(Transactions_Manual!$E:$E,Transactions_Manual!$B:$B,B222,Transactions_Manual!$C:$C,A222)</f>
        <v/>
      </c>
      <c r="F222" s="11">
        <f>D222+E222</f>
        <v/>
      </c>
      <c r="G222" s="11">
        <f>C221</f>
        <v/>
      </c>
      <c r="H222" s="11">
        <f>IF(OR(G222="",A222="Savings"),"",C222-G222-F222)</f>
        <v/>
      </c>
      <c r="I222" s="45">
        <f>IF(OR(H222="",G222=0), "", H222/G222)</f>
        <v/>
      </c>
    </row>
    <row r="223">
      <c r="A223" s="5" t="inlineStr">
        <is>
          <t>MSCI World Value</t>
        </is>
      </c>
      <c r="B223" s="28" t="n">
        <v>46722</v>
      </c>
      <c r="C223" s="11">
        <f>SUMIFS(Month_End!$D:$D,Month_End!$A:$A,B223,Month_End!$B:$B,A223)</f>
        <v/>
      </c>
      <c r="D223" s="11">
        <f>SUMIFS(Transactions_PAC!$H:$H,Transactions_PAC!$B:$B,B223,Transactions_PAC!$C:$C,A223)</f>
        <v/>
      </c>
      <c r="E223" s="11">
        <f>SUMIFS(Transactions_Manual!$E:$E,Transactions_Manual!$B:$B,B223,Transactions_Manual!$C:$C,A223)</f>
        <v/>
      </c>
      <c r="F223" s="11">
        <f>D223+E223</f>
        <v/>
      </c>
      <c r="G223" s="11">
        <f>C222</f>
        <v/>
      </c>
      <c r="H223" s="11">
        <f>IF(OR(G223="",A223="Savings"),"",C223-G223-F223)</f>
        <v/>
      </c>
      <c r="I223" s="45">
        <f>IF(OR(H223="",G223=0), "", H223/G223)</f>
        <v/>
      </c>
    </row>
    <row r="224">
      <c r="A224" s="5" t="inlineStr">
        <is>
          <t>MSCI World Value</t>
        </is>
      </c>
      <c r="B224" s="28" t="n">
        <v>46753</v>
      </c>
      <c r="C224" s="11">
        <f>SUMIFS(Month_End!$D:$D,Month_End!$A:$A,B224,Month_End!$B:$B,A224)</f>
        <v/>
      </c>
      <c r="D224" s="11">
        <f>SUMIFS(Transactions_PAC!$H:$H,Transactions_PAC!$B:$B,B224,Transactions_PAC!$C:$C,A224)</f>
        <v/>
      </c>
      <c r="E224" s="11">
        <f>SUMIFS(Transactions_Manual!$E:$E,Transactions_Manual!$B:$B,B224,Transactions_Manual!$C:$C,A224)</f>
        <v/>
      </c>
      <c r="F224" s="11">
        <f>D224+E224</f>
        <v/>
      </c>
      <c r="G224" s="11">
        <f>C223</f>
        <v/>
      </c>
      <c r="H224" s="11">
        <f>IF(OR(G224="",A224="Savings"),"",C224-G224-F224)</f>
        <v/>
      </c>
      <c r="I224" s="45">
        <f>IF(OR(H224="",G224=0), "", H224/G224)</f>
        <v/>
      </c>
    </row>
    <row r="225">
      <c r="A225" s="5" t="inlineStr">
        <is>
          <t>MSCI World Value</t>
        </is>
      </c>
      <c r="B225" s="28" t="n">
        <v>46784</v>
      </c>
      <c r="C225" s="11">
        <f>SUMIFS(Month_End!$D:$D,Month_End!$A:$A,B225,Month_End!$B:$B,A225)</f>
        <v/>
      </c>
      <c r="D225" s="11">
        <f>SUMIFS(Transactions_PAC!$H:$H,Transactions_PAC!$B:$B,B225,Transactions_PAC!$C:$C,A225)</f>
        <v/>
      </c>
      <c r="E225" s="11">
        <f>SUMIFS(Transactions_Manual!$E:$E,Transactions_Manual!$B:$B,B225,Transactions_Manual!$C:$C,A225)</f>
        <v/>
      </c>
      <c r="F225" s="11">
        <f>D225+E225</f>
        <v/>
      </c>
      <c r="G225" s="11">
        <f>C224</f>
        <v/>
      </c>
      <c r="H225" s="11">
        <f>IF(OR(G225="",A225="Savings"),"",C225-G225-F225)</f>
        <v/>
      </c>
      <c r="I225" s="45">
        <f>IF(OR(H225="",G225=0), "", H225/G225)</f>
        <v/>
      </c>
    </row>
    <row r="226">
      <c r="A226" s="5" t="inlineStr">
        <is>
          <t>MSCI World Value</t>
        </is>
      </c>
      <c r="B226" s="28" t="n">
        <v>46813</v>
      </c>
      <c r="C226" s="11">
        <f>SUMIFS(Month_End!$D:$D,Month_End!$A:$A,B226,Month_End!$B:$B,A226)</f>
        <v/>
      </c>
      <c r="D226" s="11">
        <f>SUMIFS(Transactions_PAC!$H:$H,Transactions_PAC!$B:$B,B226,Transactions_PAC!$C:$C,A226)</f>
        <v/>
      </c>
      <c r="E226" s="11">
        <f>SUMIFS(Transactions_Manual!$E:$E,Transactions_Manual!$B:$B,B226,Transactions_Manual!$C:$C,A226)</f>
        <v/>
      </c>
      <c r="F226" s="11">
        <f>D226+E226</f>
        <v/>
      </c>
      <c r="G226" s="11">
        <f>C225</f>
        <v/>
      </c>
      <c r="H226" s="11">
        <f>IF(OR(G226="",A226="Savings"),"",C226-G226-F226)</f>
        <v/>
      </c>
      <c r="I226" s="45">
        <f>IF(OR(H226="",G226=0), "", H226/G226)</f>
        <v/>
      </c>
    </row>
    <row r="227">
      <c r="A227" s="5" t="inlineStr">
        <is>
          <t>MSCI World Value</t>
        </is>
      </c>
      <c r="B227" s="28" t="n">
        <v>46844</v>
      </c>
      <c r="C227" s="11">
        <f>SUMIFS(Month_End!$D:$D,Month_End!$A:$A,B227,Month_End!$B:$B,A227)</f>
        <v/>
      </c>
      <c r="D227" s="11">
        <f>SUMIFS(Transactions_PAC!$H:$H,Transactions_PAC!$B:$B,B227,Transactions_PAC!$C:$C,A227)</f>
        <v/>
      </c>
      <c r="E227" s="11">
        <f>SUMIFS(Transactions_Manual!$E:$E,Transactions_Manual!$B:$B,B227,Transactions_Manual!$C:$C,A227)</f>
        <v/>
      </c>
      <c r="F227" s="11">
        <f>D227+E227</f>
        <v/>
      </c>
      <c r="G227" s="11">
        <f>C226</f>
        <v/>
      </c>
      <c r="H227" s="11">
        <f>IF(OR(G227="",A227="Savings"),"",C227-G227-F227)</f>
        <v/>
      </c>
      <c r="I227" s="45">
        <f>IF(OR(H227="",G227=0), "", H227/G227)</f>
        <v/>
      </c>
    </row>
    <row r="228">
      <c r="A228" s="5" t="inlineStr">
        <is>
          <t>MSCI World Value</t>
        </is>
      </c>
      <c r="B228" s="28" t="n">
        <v>46874</v>
      </c>
      <c r="C228" s="11">
        <f>SUMIFS(Month_End!$D:$D,Month_End!$A:$A,B228,Month_End!$B:$B,A228)</f>
        <v/>
      </c>
      <c r="D228" s="11">
        <f>SUMIFS(Transactions_PAC!$H:$H,Transactions_PAC!$B:$B,B228,Transactions_PAC!$C:$C,A228)</f>
        <v/>
      </c>
      <c r="E228" s="11">
        <f>SUMIFS(Transactions_Manual!$E:$E,Transactions_Manual!$B:$B,B228,Transactions_Manual!$C:$C,A228)</f>
        <v/>
      </c>
      <c r="F228" s="11">
        <f>D228+E228</f>
        <v/>
      </c>
      <c r="G228" s="11">
        <f>C227</f>
        <v/>
      </c>
      <c r="H228" s="11">
        <f>IF(OR(G228="",A228="Savings"),"",C228-G228-F228)</f>
        <v/>
      </c>
      <c r="I228" s="45">
        <f>IF(OR(H228="",G228=0), "", H228/G228)</f>
        <v/>
      </c>
    </row>
    <row r="229">
      <c r="A229" s="5" t="inlineStr">
        <is>
          <t>MSCI World Value</t>
        </is>
      </c>
      <c r="B229" s="28" t="n">
        <v>46905</v>
      </c>
      <c r="C229" s="11">
        <f>SUMIFS(Month_End!$D:$D,Month_End!$A:$A,B229,Month_End!$B:$B,A229)</f>
        <v/>
      </c>
      <c r="D229" s="11">
        <f>SUMIFS(Transactions_PAC!$H:$H,Transactions_PAC!$B:$B,B229,Transactions_PAC!$C:$C,A229)</f>
        <v/>
      </c>
      <c r="E229" s="11">
        <f>SUMIFS(Transactions_Manual!$E:$E,Transactions_Manual!$B:$B,B229,Transactions_Manual!$C:$C,A229)</f>
        <v/>
      </c>
      <c r="F229" s="11">
        <f>D229+E229</f>
        <v/>
      </c>
      <c r="G229" s="11">
        <f>C228</f>
        <v/>
      </c>
      <c r="H229" s="11">
        <f>IF(OR(G229="",A229="Savings"),"",C229-G229-F229)</f>
        <v/>
      </c>
      <c r="I229" s="45">
        <f>IF(OR(H229="",G229=0), "", H229/G229)</f>
        <v/>
      </c>
    </row>
    <row r="230">
      <c r="A230" s="5" t="inlineStr">
        <is>
          <t>MSCI World Value</t>
        </is>
      </c>
      <c r="B230" s="28" t="n">
        <v>46935</v>
      </c>
      <c r="C230" s="11">
        <f>SUMIFS(Month_End!$D:$D,Month_End!$A:$A,B230,Month_End!$B:$B,A230)</f>
        <v/>
      </c>
      <c r="D230" s="11">
        <f>SUMIFS(Transactions_PAC!$H:$H,Transactions_PAC!$B:$B,B230,Transactions_PAC!$C:$C,A230)</f>
        <v/>
      </c>
      <c r="E230" s="11">
        <f>SUMIFS(Transactions_Manual!$E:$E,Transactions_Manual!$B:$B,B230,Transactions_Manual!$C:$C,A230)</f>
        <v/>
      </c>
      <c r="F230" s="11">
        <f>D230+E230</f>
        <v/>
      </c>
      <c r="G230" s="11">
        <f>C229</f>
        <v/>
      </c>
      <c r="H230" s="11">
        <f>IF(OR(G230="",A230="Savings"),"",C230-G230-F230)</f>
        <v/>
      </c>
      <c r="I230" s="45">
        <f>IF(OR(H230="",G230=0), "", H230/G230)</f>
        <v/>
      </c>
    </row>
    <row r="231">
      <c r="A231" s="5" t="inlineStr">
        <is>
          <t>MSCI World Value</t>
        </is>
      </c>
      <c r="B231" s="28" t="n">
        <v>46966</v>
      </c>
      <c r="C231" s="11">
        <f>SUMIFS(Month_End!$D:$D,Month_End!$A:$A,B231,Month_End!$B:$B,A231)</f>
        <v/>
      </c>
      <c r="D231" s="11">
        <f>SUMIFS(Transactions_PAC!$H:$H,Transactions_PAC!$B:$B,B231,Transactions_PAC!$C:$C,A231)</f>
        <v/>
      </c>
      <c r="E231" s="11">
        <f>SUMIFS(Transactions_Manual!$E:$E,Transactions_Manual!$B:$B,B231,Transactions_Manual!$C:$C,A231)</f>
        <v/>
      </c>
      <c r="F231" s="11">
        <f>D231+E231</f>
        <v/>
      </c>
      <c r="G231" s="11">
        <f>C230</f>
        <v/>
      </c>
      <c r="H231" s="11">
        <f>IF(OR(G231="",A231="Savings"),"",C231-G231-F231)</f>
        <v/>
      </c>
      <c r="I231" s="45">
        <f>IF(OR(H231="",G231=0), "", H231/G231)</f>
        <v/>
      </c>
    </row>
    <row r="232">
      <c r="A232" s="5" t="inlineStr">
        <is>
          <t>MSCI World Value</t>
        </is>
      </c>
      <c r="B232" s="28" t="n">
        <v>46997</v>
      </c>
      <c r="C232" s="11">
        <f>SUMIFS(Month_End!$D:$D,Month_End!$A:$A,B232,Month_End!$B:$B,A232)</f>
        <v/>
      </c>
      <c r="D232" s="11">
        <f>SUMIFS(Transactions_PAC!$H:$H,Transactions_PAC!$B:$B,B232,Transactions_PAC!$C:$C,A232)</f>
        <v/>
      </c>
      <c r="E232" s="11">
        <f>SUMIFS(Transactions_Manual!$E:$E,Transactions_Manual!$B:$B,B232,Transactions_Manual!$C:$C,A232)</f>
        <v/>
      </c>
      <c r="F232" s="11">
        <f>D232+E232</f>
        <v/>
      </c>
      <c r="G232" s="11">
        <f>C231</f>
        <v/>
      </c>
      <c r="H232" s="11">
        <f>IF(OR(G232="",A232="Savings"),"",C232-G232-F232)</f>
        <v/>
      </c>
      <c r="I232" s="45">
        <f>IF(OR(H232="",G232=0), "", H232/G232)</f>
        <v/>
      </c>
    </row>
    <row r="233">
      <c r="A233" s="5" t="inlineStr">
        <is>
          <t>MSCI World Value</t>
        </is>
      </c>
      <c r="B233" s="28" t="n">
        <v>47027</v>
      </c>
      <c r="C233" s="11">
        <f>SUMIFS(Month_End!$D:$D,Month_End!$A:$A,B233,Month_End!$B:$B,A233)</f>
        <v/>
      </c>
      <c r="D233" s="11">
        <f>SUMIFS(Transactions_PAC!$H:$H,Transactions_PAC!$B:$B,B233,Transactions_PAC!$C:$C,A233)</f>
        <v/>
      </c>
      <c r="E233" s="11">
        <f>SUMIFS(Transactions_Manual!$E:$E,Transactions_Manual!$B:$B,B233,Transactions_Manual!$C:$C,A233)</f>
        <v/>
      </c>
      <c r="F233" s="11">
        <f>D233+E233</f>
        <v/>
      </c>
      <c r="G233" s="11">
        <f>C232</f>
        <v/>
      </c>
      <c r="H233" s="11">
        <f>IF(OR(G233="",A233="Savings"),"",C233-G233-F233)</f>
        <v/>
      </c>
      <c r="I233" s="45">
        <f>IF(OR(H233="",G233=0), "", H233/G233)</f>
        <v/>
      </c>
    </row>
    <row r="234">
      <c r="A234" s="5" t="inlineStr">
        <is>
          <t>MSCI World Value</t>
        </is>
      </c>
      <c r="B234" s="28" t="n">
        <v>47058</v>
      </c>
      <c r="C234" s="11">
        <f>SUMIFS(Month_End!$D:$D,Month_End!$A:$A,B234,Month_End!$B:$B,A234)</f>
        <v/>
      </c>
      <c r="D234" s="11">
        <f>SUMIFS(Transactions_PAC!$H:$H,Transactions_PAC!$B:$B,B234,Transactions_PAC!$C:$C,A234)</f>
        <v/>
      </c>
      <c r="E234" s="11">
        <f>SUMIFS(Transactions_Manual!$E:$E,Transactions_Manual!$B:$B,B234,Transactions_Manual!$C:$C,A234)</f>
        <v/>
      </c>
      <c r="F234" s="11">
        <f>D234+E234</f>
        <v/>
      </c>
      <c r="G234" s="11">
        <f>C233</f>
        <v/>
      </c>
      <c r="H234" s="11">
        <f>IF(OR(G234="",A234="Savings"),"",C234-G234-F234)</f>
        <v/>
      </c>
      <c r="I234" s="45">
        <f>IF(OR(H234="",G234=0), "", H234/G234)</f>
        <v/>
      </c>
    </row>
    <row r="235">
      <c r="A235" s="5" t="inlineStr">
        <is>
          <t>MSCI World Value</t>
        </is>
      </c>
      <c r="B235" s="28" t="n">
        <v>47088</v>
      </c>
      <c r="C235" s="11">
        <f>SUMIFS(Month_End!$D:$D,Month_End!$A:$A,B235,Month_End!$B:$B,A235)</f>
        <v/>
      </c>
      <c r="D235" s="11">
        <f>SUMIFS(Transactions_PAC!$H:$H,Transactions_PAC!$B:$B,B235,Transactions_PAC!$C:$C,A235)</f>
        <v/>
      </c>
      <c r="E235" s="11">
        <f>SUMIFS(Transactions_Manual!$E:$E,Transactions_Manual!$B:$B,B235,Transactions_Manual!$C:$C,A235)</f>
        <v/>
      </c>
      <c r="F235" s="11">
        <f>D235+E235</f>
        <v/>
      </c>
      <c r="G235" s="11">
        <f>C234</f>
        <v/>
      </c>
      <c r="H235" s="11">
        <f>IF(OR(G235="",A235="Savings"),"",C235-G235-F235)</f>
        <v/>
      </c>
      <c r="I235" s="45">
        <f>IF(OR(H235="",G235=0), "", H235/G235)</f>
        <v/>
      </c>
    </row>
    <row r="236">
      <c r="A236" s="5" t="inlineStr">
        <is>
          <t>MSCI EM</t>
        </is>
      </c>
      <c r="B236" s="28" t="n">
        <v>45931</v>
      </c>
      <c r="C236" s="11">
        <f>SUMIFS(Month_End!$D:$D,Month_End!$A:$A,B236,Month_End!$B:$B,A236)</f>
        <v/>
      </c>
      <c r="D236" s="11">
        <f>SUMIFS(Transactions_PAC!$H:$H,Transactions_PAC!$B:$B,B236,Transactions_PAC!$C:$C,A236)</f>
        <v/>
      </c>
      <c r="E236" s="11">
        <f>SUMIFS(Transactions_Manual!$E:$E,Transactions_Manual!$B:$B,B236,Transactions_Manual!$C:$C,A236)</f>
        <v/>
      </c>
      <c r="F236" s="11">
        <f>D236+E236</f>
        <v/>
      </c>
      <c r="G236" s="11" t="inlineStr"/>
      <c r="H236" s="11">
        <f>IF(OR(G236="",A236="Savings"),"",C236-G236-F236)</f>
        <v/>
      </c>
      <c r="I236" s="45">
        <f>IF(OR(H236="",G236=0), "", H236/G236)</f>
        <v/>
      </c>
    </row>
    <row r="237">
      <c r="A237" s="5" t="inlineStr">
        <is>
          <t>MSCI EM</t>
        </is>
      </c>
      <c r="B237" s="28" t="n">
        <v>45962</v>
      </c>
      <c r="C237" s="11">
        <f>SUMIFS(Month_End!$D:$D,Month_End!$A:$A,B237,Month_End!$B:$B,A237)</f>
        <v/>
      </c>
      <c r="D237" s="11">
        <f>SUMIFS(Transactions_PAC!$H:$H,Transactions_PAC!$B:$B,B237,Transactions_PAC!$C:$C,A237)</f>
        <v/>
      </c>
      <c r="E237" s="11">
        <f>SUMIFS(Transactions_Manual!$E:$E,Transactions_Manual!$B:$B,B237,Transactions_Manual!$C:$C,A237)</f>
        <v/>
      </c>
      <c r="F237" s="11">
        <f>D237+E237</f>
        <v/>
      </c>
      <c r="G237" s="11">
        <f>C236</f>
        <v/>
      </c>
      <c r="H237" s="11">
        <f>IF(OR(G237="",A237="Savings"),"",C237-G237-F237)</f>
        <v/>
      </c>
      <c r="I237" s="45">
        <f>IF(OR(H237="",G237=0), "", H237/G237)</f>
        <v/>
      </c>
    </row>
    <row r="238">
      <c r="A238" s="5" t="inlineStr">
        <is>
          <t>MSCI EM</t>
        </is>
      </c>
      <c r="B238" s="28" t="n">
        <v>45992</v>
      </c>
      <c r="C238" s="11">
        <f>SUMIFS(Month_End!$D:$D,Month_End!$A:$A,B238,Month_End!$B:$B,A238)</f>
        <v/>
      </c>
      <c r="D238" s="11">
        <f>SUMIFS(Transactions_PAC!$H:$H,Transactions_PAC!$B:$B,B238,Transactions_PAC!$C:$C,A238)</f>
        <v/>
      </c>
      <c r="E238" s="11">
        <f>SUMIFS(Transactions_Manual!$E:$E,Transactions_Manual!$B:$B,B238,Transactions_Manual!$C:$C,A238)</f>
        <v/>
      </c>
      <c r="F238" s="11">
        <f>D238+E238</f>
        <v/>
      </c>
      <c r="G238" s="11">
        <f>C237</f>
        <v/>
      </c>
      <c r="H238" s="11">
        <f>IF(OR(G238="",A238="Savings"),"",C238-G238-F238)</f>
        <v/>
      </c>
      <c r="I238" s="45">
        <f>IF(OR(H238="",G238=0), "", H238/G238)</f>
        <v/>
      </c>
    </row>
    <row r="239">
      <c r="A239" s="5" t="inlineStr">
        <is>
          <t>MSCI EM</t>
        </is>
      </c>
      <c r="B239" s="28" t="n">
        <v>46023</v>
      </c>
      <c r="C239" s="11">
        <f>SUMIFS(Month_End!$D:$D,Month_End!$A:$A,B239,Month_End!$B:$B,A239)</f>
        <v/>
      </c>
      <c r="D239" s="11">
        <f>SUMIFS(Transactions_PAC!$H:$H,Transactions_PAC!$B:$B,B239,Transactions_PAC!$C:$C,A239)</f>
        <v/>
      </c>
      <c r="E239" s="11">
        <f>SUMIFS(Transactions_Manual!$E:$E,Transactions_Manual!$B:$B,B239,Transactions_Manual!$C:$C,A239)</f>
        <v/>
      </c>
      <c r="F239" s="11">
        <f>D239+E239</f>
        <v/>
      </c>
      <c r="G239" s="11">
        <f>C238</f>
        <v/>
      </c>
      <c r="H239" s="11">
        <f>IF(OR(G239="",A239="Savings"),"",C239-G239-F239)</f>
        <v/>
      </c>
      <c r="I239" s="45">
        <f>IF(OR(H239="",G239=0), "", H239/G239)</f>
        <v/>
      </c>
    </row>
    <row r="240">
      <c r="A240" s="5" t="inlineStr">
        <is>
          <t>MSCI EM</t>
        </is>
      </c>
      <c r="B240" s="28" t="n">
        <v>46054</v>
      </c>
      <c r="C240" s="11">
        <f>SUMIFS(Month_End!$D:$D,Month_End!$A:$A,B240,Month_End!$B:$B,A240)</f>
        <v/>
      </c>
      <c r="D240" s="11">
        <f>SUMIFS(Transactions_PAC!$H:$H,Transactions_PAC!$B:$B,B240,Transactions_PAC!$C:$C,A240)</f>
        <v/>
      </c>
      <c r="E240" s="11">
        <f>SUMIFS(Transactions_Manual!$E:$E,Transactions_Manual!$B:$B,B240,Transactions_Manual!$C:$C,A240)</f>
        <v/>
      </c>
      <c r="F240" s="11">
        <f>D240+E240</f>
        <v/>
      </c>
      <c r="G240" s="11">
        <f>C239</f>
        <v/>
      </c>
      <c r="H240" s="11">
        <f>IF(OR(G240="",A240="Savings"),"",C240-G240-F240)</f>
        <v/>
      </c>
      <c r="I240" s="45">
        <f>IF(OR(H240="",G240=0), "", H240/G240)</f>
        <v/>
      </c>
    </row>
    <row r="241">
      <c r="A241" s="5" t="inlineStr">
        <is>
          <t>MSCI EM</t>
        </is>
      </c>
      <c r="B241" s="28" t="n">
        <v>46082</v>
      </c>
      <c r="C241" s="11">
        <f>SUMIFS(Month_End!$D:$D,Month_End!$A:$A,B241,Month_End!$B:$B,A241)</f>
        <v/>
      </c>
      <c r="D241" s="11">
        <f>SUMIFS(Transactions_PAC!$H:$H,Transactions_PAC!$B:$B,B241,Transactions_PAC!$C:$C,A241)</f>
        <v/>
      </c>
      <c r="E241" s="11">
        <f>SUMIFS(Transactions_Manual!$E:$E,Transactions_Manual!$B:$B,B241,Transactions_Manual!$C:$C,A241)</f>
        <v/>
      </c>
      <c r="F241" s="11">
        <f>D241+E241</f>
        <v/>
      </c>
      <c r="G241" s="11">
        <f>C240</f>
        <v/>
      </c>
      <c r="H241" s="11">
        <f>IF(OR(G241="",A241="Savings"),"",C241-G241-F241)</f>
        <v/>
      </c>
      <c r="I241" s="45">
        <f>IF(OR(H241="",G241=0), "", H241/G241)</f>
        <v/>
      </c>
    </row>
    <row r="242">
      <c r="A242" s="5" t="inlineStr">
        <is>
          <t>MSCI EM</t>
        </is>
      </c>
      <c r="B242" s="28" t="n">
        <v>46113</v>
      </c>
      <c r="C242" s="11">
        <f>SUMIFS(Month_End!$D:$D,Month_End!$A:$A,B242,Month_End!$B:$B,A242)</f>
        <v/>
      </c>
      <c r="D242" s="11">
        <f>SUMIFS(Transactions_PAC!$H:$H,Transactions_PAC!$B:$B,B242,Transactions_PAC!$C:$C,A242)</f>
        <v/>
      </c>
      <c r="E242" s="11">
        <f>SUMIFS(Transactions_Manual!$E:$E,Transactions_Manual!$B:$B,B242,Transactions_Manual!$C:$C,A242)</f>
        <v/>
      </c>
      <c r="F242" s="11">
        <f>D242+E242</f>
        <v/>
      </c>
      <c r="G242" s="11">
        <f>C241</f>
        <v/>
      </c>
      <c r="H242" s="11">
        <f>IF(OR(G242="",A242="Savings"),"",C242-G242-F242)</f>
        <v/>
      </c>
      <c r="I242" s="45">
        <f>IF(OR(H242="",G242=0), "", H242/G242)</f>
        <v/>
      </c>
    </row>
    <row r="243">
      <c r="A243" s="5" t="inlineStr">
        <is>
          <t>MSCI EM</t>
        </is>
      </c>
      <c r="B243" s="28" t="n">
        <v>46143</v>
      </c>
      <c r="C243" s="11">
        <f>SUMIFS(Month_End!$D:$D,Month_End!$A:$A,B243,Month_End!$B:$B,A243)</f>
        <v/>
      </c>
      <c r="D243" s="11">
        <f>SUMIFS(Transactions_PAC!$H:$H,Transactions_PAC!$B:$B,B243,Transactions_PAC!$C:$C,A243)</f>
        <v/>
      </c>
      <c r="E243" s="11">
        <f>SUMIFS(Transactions_Manual!$E:$E,Transactions_Manual!$B:$B,B243,Transactions_Manual!$C:$C,A243)</f>
        <v/>
      </c>
      <c r="F243" s="11">
        <f>D243+E243</f>
        <v/>
      </c>
      <c r="G243" s="11">
        <f>C242</f>
        <v/>
      </c>
      <c r="H243" s="11">
        <f>IF(OR(G243="",A243="Savings"),"",C243-G243-F243)</f>
        <v/>
      </c>
      <c r="I243" s="45">
        <f>IF(OR(H243="",G243=0), "", H243/G243)</f>
        <v/>
      </c>
    </row>
    <row r="244">
      <c r="A244" s="5" t="inlineStr">
        <is>
          <t>MSCI EM</t>
        </is>
      </c>
      <c r="B244" s="28" t="n">
        <v>46174</v>
      </c>
      <c r="C244" s="11">
        <f>SUMIFS(Month_End!$D:$D,Month_End!$A:$A,B244,Month_End!$B:$B,A244)</f>
        <v/>
      </c>
      <c r="D244" s="11">
        <f>SUMIFS(Transactions_PAC!$H:$H,Transactions_PAC!$B:$B,B244,Transactions_PAC!$C:$C,A244)</f>
        <v/>
      </c>
      <c r="E244" s="11">
        <f>SUMIFS(Transactions_Manual!$E:$E,Transactions_Manual!$B:$B,B244,Transactions_Manual!$C:$C,A244)</f>
        <v/>
      </c>
      <c r="F244" s="11">
        <f>D244+E244</f>
        <v/>
      </c>
      <c r="G244" s="11">
        <f>C243</f>
        <v/>
      </c>
      <c r="H244" s="11">
        <f>IF(OR(G244="",A244="Savings"),"",C244-G244-F244)</f>
        <v/>
      </c>
      <c r="I244" s="45">
        <f>IF(OR(H244="",G244=0), "", H244/G244)</f>
        <v/>
      </c>
    </row>
    <row r="245">
      <c r="A245" s="5" t="inlineStr">
        <is>
          <t>MSCI EM</t>
        </is>
      </c>
      <c r="B245" s="28" t="n">
        <v>46204</v>
      </c>
      <c r="C245" s="11">
        <f>SUMIFS(Month_End!$D:$D,Month_End!$A:$A,B245,Month_End!$B:$B,A245)</f>
        <v/>
      </c>
      <c r="D245" s="11">
        <f>SUMIFS(Transactions_PAC!$H:$H,Transactions_PAC!$B:$B,B245,Transactions_PAC!$C:$C,A245)</f>
        <v/>
      </c>
      <c r="E245" s="11">
        <f>SUMIFS(Transactions_Manual!$E:$E,Transactions_Manual!$B:$B,B245,Transactions_Manual!$C:$C,A245)</f>
        <v/>
      </c>
      <c r="F245" s="11">
        <f>D245+E245</f>
        <v/>
      </c>
      <c r="G245" s="11">
        <f>C244</f>
        <v/>
      </c>
      <c r="H245" s="11">
        <f>IF(OR(G245="",A245="Savings"),"",C245-G245-F245)</f>
        <v/>
      </c>
      <c r="I245" s="45">
        <f>IF(OR(H245="",G245=0), "", H245/G245)</f>
        <v/>
      </c>
    </row>
    <row r="246">
      <c r="A246" s="5" t="inlineStr">
        <is>
          <t>MSCI EM</t>
        </is>
      </c>
      <c r="B246" s="28" t="n">
        <v>46235</v>
      </c>
      <c r="C246" s="11">
        <f>SUMIFS(Month_End!$D:$D,Month_End!$A:$A,B246,Month_End!$B:$B,A246)</f>
        <v/>
      </c>
      <c r="D246" s="11">
        <f>SUMIFS(Transactions_PAC!$H:$H,Transactions_PAC!$B:$B,B246,Transactions_PAC!$C:$C,A246)</f>
        <v/>
      </c>
      <c r="E246" s="11">
        <f>SUMIFS(Transactions_Manual!$E:$E,Transactions_Manual!$B:$B,B246,Transactions_Manual!$C:$C,A246)</f>
        <v/>
      </c>
      <c r="F246" s="11">
        <f>D246+E246</f>
        <v/>
      </c>
      <c r="G246" s="11">
        <f>C245</f>
        <v/>
      </c>
      <c r="H246" s="11">
        <f>IF(OR(G246="",A246="Savings"),"",C246-G246-F246)</f>
        <v/>
      </c>
      <c r="I246" s="45">
        <f>IF(OR(H246="",G246=0), "", H246/G246)</f>
        <v/>
      </c>
    </row>
    <row r="247">
      <c r="A247" s="5" t="inlineStr">
        <is>
          <t>MSCI EM</t>
        </is>
      </c>
      <c r="B247" s="28" t="n">
        <v>46266</v>
      </c>
      <c r="C247" s="11">
        <f>SUMIFS(Month_End!$D:$D,Month_End!$A:$A,B247,Month_End!$B:$B,A247)</f>
        <v/>
      </c>
      <c r="D247" s="11">
        <f>SUMIFS(Transactions_PAC!$H:$H,Transactions_PAC!$B:$B,B247,Transactions_PAC!$C:$C,A247)</f>
        <v/>
      </c>
      <c r="E247" s="11">
        <f>SUMIFS(Transactions_Manual!$E:$E,Transactions_Manual!$B:$B,B247,Transactions_Manual!$C:$C,A247)</f>
        <v/>
      </c>
      <c r="F247" s="11">
        <f>D247+E247</f>
        <v/>
      </c>
      <c r="G247" s="11">
        <f>C246</f>
        <v/>
      </c>
      <c r="H247" s="11">
        <f>IF(OR(G247="",A247="Savings"),"",C247-G247-F247)</f>
        <v/>
      </c>
      <c r="I247" s="45">
        <f>IF(OR(H247="",G247=0), "", H247/G247)</f>
        <v/>
      </c>
    </row>
    <row r="248">
      <c r="A248" s="5" t="inlineStr">
        <is>
          <t>MSCI EM</t>
        </is>
      </c>
      <c r="B248" s="28" t="n">
        <v>46296</v>
      </c>
      <c r="C248" s="11">
        <f>SUMIFS(Month_End!$D:$D,Month_End!$A:$A,B248,Month_End!$B:$B,A248)</f>
        <v/>
      </c>
      <c r="D248" s="11">
        <f>SUMIFS(Transactions_PAC!$H:$H,Transactions_PAC!$B:$B,B248,Transactions_PAC!$C:$C,A248)</f>
        <v/>
      </c>
      <c r="E248" s="11">
        <f>SUMIFS(Transactions_Manual!$E:$E,Transactions_Manual!$B:$B,B248,Transactions_Manual!$C:$C,A248)</f>
        <v/>
      </c>
      <c r="F248" s="11">
        <f>D248+E248</f>
        <v/>
      </c>
      <c r="G248" s="11">
        <f>C247</f>
        <v/>
      </c>
      <c r="H248" s="11">
        <f>IF(OR(G248="",A248="Savings"),"",C248-G248-F248)</f>
        <v/>
      </c>
      <c r="I248" s="45">
        <f>IF(OR(H248="",G248=0), "", H248/G248)</f>
        <v/>
      </c>
    </row>
    <row r="249">
      <c r="A249" s="5" t="inlineStr">
        <is>
          <t>MSCI EM</t>
        </is>
      </c>
      <c r="B249" s="28" t="n">
        <v>46327</v>
      </c>
      <c r="C249" s="11">
        <f>SUMIFS(Month_End!$D:$D,Month_End!$A:$A,B249,Month_End!$B:$B,A249)</f>
        <v/>
      </c>
      <c r="D249" s="11">
        <f>SUMIFS(Transactions_PAC!$H:$H,Transactions_PAC!$B:$B,B249,Transactions_PAC!$C:$C,A249)</f>
        <v/>
      </c>
      <c r="E249" s="11">
        <f>SUMIFS(Transactions_Manual!$E:$E,Transactions_Manual!$B:$B,B249,Transactions_Manual!$C:$C,A249)</f>
        <v/>
      </c>
      <c r="F249" s="11">
        <f>D249+E249</f>
        <v/>
      </c>
      <c r="G249" s="11">
        <f>C248</f>
        <v/>
      </c>
      <c r="H249" s="11">
        <f>IF(OR(G249="",A249="Savings"),"",C249-G249-F249)</f>
        <v/>
      </c>
      <c r="I249" s="45">
        <f>IF(OR(H249="",G249=0), "", H249/G249)</f>
        <v/>
      </c>
    </row>
    <row r="250">
      <c r="A250" s="5" t="inlineStr">
        <is>
          <t>MSCI EM</t>
        </is>
      </c>
      <c r="B250" s="28" t="n">
        <v>46357</v>
      </c>
      <c r="C250" s="11">
        <f>SUMIFS(Month_End!$D:$D,Month_End!$A:$A,B250,Month_End!$B:$B,A250)</f>
        <v/>
      </c>
      <c r="D250" s="11">
        <f>SUMIFS(Transactions_PAC!$H:$H,Transactions_PAC!$B:$B,B250,Transactions_PAC!$C:$C,A250)</f>
        <v/>
      </c>
      <c r="E250" s="11">
        <f>SUMIFS(Transactions_Manual!$E:$E,Transactions_Manual!$B:$B,B250,Transactions_Manual!$C:$C,A250)</f>
        <v/>
      </c>
      <c r="F250" s="11">
        <f>D250+E250</f>
        <v/>
      </c>
      <c r="G250" s="11">
        <f>C249</f>
        <v/>
      </c>
      <c r="H250" s="11">
        <f>IF(OR(G250="",A250="Savings"),"",C250-G250-F250)</f>
        <v/>
      </c>
      <c r="I250" s="45">
        <f>IF(OR(H250="",G250=0), "", H250/G250)</f>
        <v/>
      </c>
    </row>
    <row r="251">
      <c r="A251" s="5" t="inlineStr">
        <is>
          <t>MSCI EM</t>
        </is>
      </c>
      <c r="B251" s="28" t="n">
        <v>46388</v>
      </c>
      <c r="C251" s="11">
        <f>SUMIFS(Month_End!$D:$D,Month_End!$A:$A,B251,Month_End!$B:$B,A251)</f>
        <v/>
      </c>
      <c r="D251" s="11">
        <f>SUMIFS(Transactions_PAC!$H:$H,Transactions_PAC!$B:$B,B251,Transactions_PAC!$C:$C,A251)</f>
        <v/>
      </c>
      <c r="E251" s="11">
        <f>SUMIFS(Transactions_Manual!$E:$E,Transactions_Manual!$B:$B,B251,Transactions_Manual!$C:$C,A251)</f>
        <v/>
      </c>
      <c r="F251" s="11">
        <f>D251+E251</f>
        <v/>
      </c>
      <c r="G251" s="11">
        <f>C250</f>
        <v/>
      </c>
      <c r="H251" s="11">
        <f>IF(OR(G251="",A251="Savings"),"",C251-G251-F251)</f>
        <v/>
      </c>
      <c r="I251" s="45">
        <f>IF(OR(H251="",G251=0), "", H251/G251)</f>
        <v/>
      </c>
    </row>
    <row r="252">
      <c r="A252" s="5" t="inlineStr">
        <is>
          <t>MSCI EM</t>
        </is>
      </c>
      <c r="B252" s="28" t="n">
        <v>46419</v>
      </c>
      <c r="C252" s="11">
        <f>SUMIFS(Month_End!$D:$D,Month_End!$A:$A,B252,Month_End!$B:$B,A252)</f>
        <v/>
      </c>
      <c r="D252" s="11">
        <f>SUMIFS(Transactions_PAC!$H:$H,Transactions_PAC!$B:$B,B252,Transactions_PAC!$C:$C,A252)</f>
        <v/>
      </c>
      <c r="E252" s="11">
        <f>SUMIFS(Transactions_Manual!$E:$E,Transactions_Manual!$B:$B,B252,Transactions_Manual!$C:$C,A252)</f>
        <v/>
      </c>
      <c r="F252" s="11">
        <f>D252+E252</f>
        <v/>
      </c>
      <c r="G252" s="11">
        <f>C251</f>
        <v/>
      </c>
      <c r="H252" s="11">
        <f>IF(OR(G252="",A252="Savings"),"",C252-G252-F252)</f>
        <v/>
      </c>
      <c r="I252" s="45">
        <f>IF(OR(H252="",G252=0), "", H252/G252)</f>
        <v/>
      </c>
    </row>
    <row r="253">
      <c r="A253" s="5" t="inlineStr">
        <is>
          <t>MSCI EM</t>
        </is>
      </c>
      <c r="B253" s="28" t="n">
        <v>46447</v>
      </c>
      <c r="C253" s="11">
        <f>SUMIFS(Month_End!$D:$D,Month_End!$A:$A,B253,Month_End!$B:$B,A253)</f>
        <v/>
      </c>
      <c r="D253" s="11">
        <f>SUMIFS(Transactions_PAC!$H:$H,Transactions_PAC!$B:$B,B253,Transactions_PAC!$C:$C,A253)</f>
        <v/>
      </c>
      <c r="E253" s="11">
        <f>SUMIFS(Transactions_Manual!$E:$E,Transactions_Manual!$B:$B,B253,Transactions_Manual!$C:$C,A253)</f>
        <v/>
      </c>
      <c r="F253" s="11">
        <f>D253+E253</f>
        <v/>
      </c>
      <c r="G253" s="11">
        <f>C252</f>
        <v/>
      </c>
      <c r="H253" s="11">
        <f>IF(OR(G253="",A253="Savings"),"",C253-G253-F253)</f>
        <v/>
      </c>
      <c r="I253" s="45">
        <f>IF(OR(H253="",G253=0), "", H253/G253)</f>
        <v/>
      </c>
    </row>
    <row r="254">
      <c r="A254" s="5" t="inlineStr">
        <is>
          <t>MSCI EM</t>
        </is>
      </c>
      <c r="B254" s="28" t="n">
        <v>46478</v>
      </c>
      <c r="C254" s="11">
        <f>SUMIFS(Month_End!$D:$D,Month_End!$A:$A,B254,Month_End!$B:$B,A254)</f>
        <v/>
      </c>
      <c r="D254" s="11">
        <f>SUMIFS(Transactions_PAC!$H:$H,Transactions_PAC!$B:$B,B254,Transactions_PAC!$C:$C,A254)</f>
        <v/>
      </c>
      <c r="E254" s="11">
        <f>SUMIFS(Transactions_Manual!$E:$E,Transactions_Manual!$B:$B,B254,Transactions_Manual!$C:$C,A254)</f>
        <v/>
      </c>
      <c r="F254" s="11">
        <f>D254+E254</f>
        <v/>
      </c>
      <c r="G254" s="11">
        <f>C253</f>
        <v/>
      </c>
      <c r="H254" s="11">
        <f>IF(OR(G254="",A254="Savings"),"",C254-G254-F254)</f>
        <v/>
      </c>
      <c r="I254" s="45">
        <f>IF(OR(H254="",G254=0), "", H254/G254)</f>
        <v/>
      </c>
    </row>
    <row r="255">
      <c r="A255" s="5" t="inlineStr">
        <is>
          <t>MSCI EM</t>
        </is>
      </c>
      <c r="B255" s="28" t="n">
        <v>46508</v>
      </c>
      <c r="C255" s="11">
        <f>SUMIFS(Month_End!$D:$D,Month_End!$A:$A,B255,Month_End!$B:$B,A255)</f>
        <v/>
      </c>
      <c r="D255" s="11">
        <f>SUMIFS(Transactions_PAC!$H:$H,Transactions_PAC!$B:$B,B255,Transactions_PAC!$C:$C,A255)</f>
        <v/>
      </c>
      <c r="E255" s="11">
        <f>SUMIFS(Transactions_Manual!$E:$E,Transactions_Manual!$B:$B,B255,Transactions_Manual!$C:$C,A255)</f>
        <v/>
      </c>
      <c r="F255" s="11">
        <f>D255+E255</f>
        <v/>
      </c>
      <c r="G255" s="11">
        <f>C254</f>
        <v/>
      </c>
      <c r="H255" s="11">
        <f>IF(OR(G255="",A255="Savings"),"",C255-G255-F255)</f>
        <v/>
      </c>
      <c r="I255" s="45">
        <f>IF(OR(H255="",G255=0), "", H255/G255)</f>
        <v/>
      </c>
    </row>
    <row r="256">
      <c r="A256" s="5" t="inlineStr">
        <is>
          <t>MSCI EM</t>
        </is>
      </c>
      <c r="B256" s="28" t="n">
        <v>46539</v>
      </c>
      <c r="C256" s="11">
        <f>SUMIFS(Month_End!$D:$D,Month_End!$A:$A,B256,Month_End!$B:$B,A256)</f>
        <v/>
      </c>
      <c r="D256" s="11">
        <f>SUMIFS(Transactions_PAC!$H:$H,Transactions_PAC!$B:$B,B256,Transactions_PAC!$C:$C,A256)</f>
        <v/>
      </c>
      <c r="E256" s="11">
        <f>SUMIFS(Transactions_Manual!$E:$E,Transactions_Manual!$B:$B,B256,Transactions_Manual!$C:$C,A256)</f>
        <v/>
      </c>
      <c r="F256" s="11">
        <f>D256+E256</f>
        <v/>
      </c>
      <c r="G256" s="11">
        <f>C255</f>
        <v/>
      </c>
      <c r="H256" s="11">
        <f>IF(OR(G256="",A256="Savings"),"",C256-G256-F256)</f>
        <v/>
      </c>
      <c r="I256" s="45">
        <f>IF(OR(H256="",G256=0), "", H256/G256)</f>
        <v/>
      </c>
    </row>
    <row r="257">
      <c r="A257" s="5" t="inlineStr">
        <is>
          <t>MSCI EM</t>
        </is>
      </c>
      <c r="B257" s="28" t="n">
        <v>46569</v>
      </c>
      <c r="C257" s="11">
        <f>SUMIFS(Month_End!$D:$D,Month_End!$A:$A,B257,Month_End!$B:$B,A257)</f>
        <v/>
      </c>
      <c r="D257" s="11">
        <f>SUMIFS(Transactions_PAC!$H:$H,Transactions_PAC!$B:$B,B257,Transactions_PAC!$C:$C,A257)</f>
        <v/>
      </c>
      <c r="E257" s="11">
        <f>SUMIFS(Transactions_Manual!$E:$E,Transactions_Manual!$B:$B,B257,Transactions_Manual!$C:$C,A257)</f>
        <v/>
      </c>
      <c r="F257" s="11">
        <f>D257+E257</f>
        <v/>
      </c>
      <c r="G257" s="11">
        <f>C256</f>
        <v/>
      </c>
      <c r="H257" s="11">
        <f>IF(OR(G257="",A257="Savings"),"",C257-G257-F257)</f>
        <v/>
      </c>
      <c r="I257" s="45">
        <f>IF(OR(H257="",G257=0), "", H257/G257)</f>
        <v/>
      </c>
    </row>
    <row r="258">
      <c r="A258" s="5" t="inlineStr">
        <is>
          <t>MSCI EM</t>
        </is>
      </c>
      <c r="B258" s="28" t="n">
        <v>46600</v>
      </c>
      <c r="C258" s="11">
        <f>SUMIFS(Month_End!$D:$D,Month_End!$A:$A,B258,Month_End!$B:$B,A258)</f>
        <v/>
      </c>
      <c r="D258" s="11">
        <f>SUMIFS(Transactions_PAC!$H:$H,Transactions_PAC!$B:$B,B258,Transactions_PAC!$C:$C,A258)</f>
        <v/>
      </c>
      <c r="E258" s="11">
        <f>SUMIFS(Transactions_Manual!$E:$E,Transactions_Manual!$B:$B,B258,Transactions_Manual!$C:$C,A258)</f>
        <v/>
      </c>
      <c r="F258" s="11">
        <f>D258+E258</f>
        <v/>
      </c>
      <c r="G258" s="11">
        <f>C257</f>
        <v/>
      </c>
      <c r="H258" s="11">
        <f>IF(OR(G258="",A258="Savings"),"",C258-G258-F258)</f>
        <v/>
      </c>
      <c r="I258" s="45">
        <f>IF(OR(H258="",G258=0), "", H258/G258)</f>
        <v/>
      </c>
    </row>
    <row r="259">
      <c r="A259" s="5" t="inlineStr">
        <is>
          <t>MSCI EM</t>
        </is>
      </c>
      <c r="B259" s="28" t="n">
        <v>46631</v>
      </c>
      <c r="C259" s="11">
        <f>SUMIFS(Month_End!$D:$D,Month_End!$A:$A,B259,Month_End!$B:$B,A259)</f>
        <v/>
      </c>
      <c r="D259" s="11">
        <f>SUMIFS(Transactions_PAC!$H:$H,Transactions_PAC!$B:$B,B259,Transactions_PAC!$C:$C,A259)</f>
        <v/>
      </c>
      <c r="E259" s="11">
        <f>SUMIFS(Transactions_Manual!$E:$E,Transactions_Manual!$B:$B,B259,Transactions_Manual!$C:$C,A259)</f>
        <v/>
      </c>
      <c r="F259" s="11">
        <f>D259+E259</f>
        <v/>
      </c>
      <c r="G259" s="11">
        <f>C258</f>
        <v/>
      </c>
      <c r="H259" s="11">
        <f>IF(OR(G259="",A259="Savings"),"",C259-G259-F259)</f>
        <v/>
      </c>
      <c r="I259" s="45">
        <f>IF(OR(H259="",G259=0), "", H259/G259)</f>
        <v/>
      </c>
    </row>
    <row r="260">
      <c r="A260" s="5" t="inlineStr">
        <is>
          <t>MSCI EM</t>
        </is>
      </c>
      <c r="B260" s="28" t="n">
        <v>46661</v>
      </c>
      <c r="C260" s="11">
        <f>SUMIFS(Month_End!$D:$D,Month_End!$A:$A,B260,Month_End!$B:$B,A260)</f>
        <v/>
      </c>
      <c r="D260" s="11">
        <f>SUMIFS(Transactions_PAC!$H:$H,Transactions_PAC!$B:$B,B260,Transactions_PAC!$C:$C,A260)</f>
        <v/>
      </c>
      <c r="E260" s="11">
        <f>SUMIFS(Transactions_Manual!$E:$E,Transactions_Manual!$B:$B,B260,Transactions_Manual!$C:$C,A260)</f>
        <v/>
      </c>
      <c r="F260" s="11">
        <f>D260+E260</f>
        <v/>
      </c>
      <c r="G260" s="11">
        <f>C259</f>
        <v/>
      </c>
      <c r="H260" s="11">
        <f>IF(OR(G260="",A260="Savings"),"",C260-G260-F260)</f>
        <v/>
      </c>
      <c r="I260" s="45">
        <f>IF(OR(H260="",G260=0), "", H260/G260)</f>
        <v/>
      </c>
    </row>
    <row r="261">
      <c r="A261" s="5" t="inlineStr">
        <is>
          <t>MSCI EM</t>
        </is>
      </c>
      <c r="B261" s="28" t="n">
        <v>46692</v>
      </c>
      <c r="C261" s="11">
        <f>SUMIFS(Month_End!$D:$D,Month_End!$A:$A,B261,Month_End!$B:$B,A261)</f>
        <v/>
      </c>
      <c r="D261" s="11">
        <f>SUMIFS(Transactions_PAC!$H:$H,Transactions_PAC!$B:$B,B261,Transactions_PAC!$C:$C,A261)</f>
        <v/>
      </c>
      <c r="E261" s="11">
        <f>SUMIFS(Transactions_Manual!$E:$E,Transactions_Manual!$B:$B,B261,Transactions_Manual!$C:$C,A261)</f>
        <v/>
      </c>
      <c r="F261" s="11">
        <f>D261+E261</f>
        <v/>
      </c>
      <c r="G261" s="11">
        <f>C260</f>
        <v/>
      </c>
      <c r="H261" s="11">
        <f>IF(OR(G261="",A261="Savings"),"",C261-G261-F261)</f>
        <v/>
      </c>
      <c r="I261" s="45">
        <f>IF(OR(H261="",G261=0), "", H261/G261)</f>
        <v/>
      </c>
    </row>
    <row r="262">
      <c r="A262" s="5" t="inlineStr">
        <is>
          <t>MSCI EM</t>
        </is>
      </c>
      <c r="B262" s="28" t="n">
        <v>46722</v>
      </c>
      <c r="C262" s="11">
        <f>SUMIFS(Month_End!$D:$D,Month_End!$A:$A,B262,Month_End!$B:$B,A262)</f>
        <v/>
      </c>
      <c r="D262" s="11">
        <f>SUMIFS(Transactions_PAC!$H:$H,Transactions_PAC!$B:$B,B262,Transactions_PAC!$C:$C,A262)</f>
        <v/>
      </c>
      <c r="E262" s="11">
        <f>SUMIFS(Transactions_Manual!$E:$E,Transactions_Manual!$B:$B,B262,Transactions_Manual!$C:$C,A262)</f>
        <v/>
      </c>
      <c r="F262" s="11">
        <f>D262+E262</f>
        <v/>
      </c>
      <c r="G262" s="11">
        <f>C261</f>
        <v/>
      </c>
      <c r="H262" s="11">
        <f>IF(OR(G262="",A262="Savings"),"",C262-G262-F262)</f>
        <v/>
      </c>
      <c r="I262" s="45">
        <f>IF(OR(H262="",G262=0), "", H262/G262)</f>
        <v/>
      </c>
    </row>
    <row r="263">
      <c r="A263" s="5" t="inlineStr">
        <is>
          <t>MSCI EM</t>
        </is>
      </c>
      <c r="B263" s="28" t="n">
        <v>46753</v>
      </c>
      <c r="C263" s="11">
        <f>SUMIFS(Month_End!$D:$D,Month_End!$A:$A,B263,Month_End!$B:$B,A263)</f>
        <v/>
      </c>
      <c r="D263" s="11">
        <f>SUMIFS(Transactions_PAC!$H:$H,Transactions_PAC!$B:$B,B263,Transactions_PAC!$C:$C,A263)</f>
        <v/>
      </c>
      <c r="E263" s="11">
        <f>SUMIFS(Transactions_Manual!$E:$E,Transactions_Manual!$B:$B,B263,Transactions_Manual!$C:$C,A263)</f>
        <v/>
      </c>
      <c r="F263" s="11">
        <f>D263+E263</f>
        <v/>
      </c>
      <c r="G263" s="11">
        <f>C262</f>
        <v/>
      </c>
      <c r="H263" s="11">
        <f>IF(OR(G263="",A263="Savings"),"",C263-G263-F263)</f>
        <v/>
      </c>
      <c r="I263" s="45">
        <f>IF(OR(H263="",G263=0), "", H263/G263)</f>
        <v/>
      </c>
    </row>
    <row r="264">
      <c r="A264" s="5" t="inlineStr">
        <is>
          <t>MSCI EM</t>
        </is>
      </c>
      <c r="B264" s="28" t="n">
        <v>46784</v>
      </c>
      <c r="C264" s="11">
        <f>SUMIFS(Month_End!$D:$D,Month_End!$A:$A,B264,Month_End!$B:$B,A264)</f>
        <v/>
      </c>
      <c r="D264" s="11">
        <f>SUMIFS(Transactions_PAC!$H:$H,Transactions_PAC!$B:$B,B264,Transactions_PAC!$C:$C,A264)</f>
        <v/>
      </c>
      <c r="E264" s="11">
        <f>SUMIFS(Transactions_Manual!$E:$E,Transactions_Manual!$B:$B,B264,Transactions_Manual!$C:$C,A264)</f>
        <v/>
      </c>
      <c r="F264" s="11">
        <f>D264+E264</f>
        <v/>
      </c>
      <c r="G264" s="11">
        <f>C263</f>
        <v/>
      </c>
      <c r="H264" s="11">
        <f>IF(OR(G264="",A264="Savings"),"",C264-G264-F264)</f>
        <v/>
      </c>
      <c r="I264" s="45">
        <f>IF(OR(H264="",G264=0), "", H264/G264)</f>
        <v/>
      </c>
    </row>
    <row r="265">
      <c r="A265" s="5" t="inlineStr">
        <is>
          <t>MSCI EM</t>
        </is>
      </c>
      <c r="B265" s="28" t="n">
        <v>46813</v>
      </c>
      <c r="C265" s="11">
        <f>SUMIFS(Month_End!$D:$D,Month_End!$A:$A,B265,Month_End!$B:$B,A265)</f>
        <v/>
      </c>
      <c r="D265" s="11">
        <f>SUMIFS(Transactions_PAC!$H:$H,Transactions_PAC!$B:$B,B265,Transactions_PAC!$C:$C,A265)</f>
        <v/>
      </c>
      <c r="E265" s="11">
        <f>SUMIFS(Transactions_Manual!$E:$E,Transactions_Manual!$B:$B,B265,Transactions_Manual!$C:$C,A265)</f>
        <v/>
      </c>
      <c r="F265" s="11">
        <f>D265+E265</f>
        <v/>
      </c>
      <c r="G265" s="11">
        <f>C264</f>
        <v/>
      </c>
      <c r="H265" s="11">
        <f>IF(OR(G265="",A265="Savings"),"",C265-G265-F265)</f>
        <v/>
      </c>
      <c r="I265" s="45">
        <f>IF(OR(H265="",G265=0), "", H265/G265)</f>
        <v/>
      </c>
    </row>
    <row r="266">
      <c r="A266" s="5" t="inlineStr">
        <is>
          <t>MSCI EM</t>
        </is>
      </c>
      <c r="B266" s="28" t="n">
        <v>46844</v>
      </c>
      <c r="C266" s="11">
        <f>SUMIFS(Month_End!$D:$D,Month_End!$A:$A,B266,Month_End!$B:$B,A266)</f>
        <v/>
      </c>
      <c r="D266" s="11">
        <f>SUMIFS(Transactions_PAC!$H:$H,Transactions_PAC!$B:$B,B266,Transactions_PAC!$C:$C,A266)</f>
        <v/>
      </c>
      <c r="E266" s="11">
        <f>SUMIFS(Transactions_Manual!$E:$E,Transactions_Manual!$B:$B,B266,Transactions_Manual!$C:$C,A266)</f>
        <v/>
      </c>
      <c r="F266" s="11">
        <f>D266+E266</f>
        <v/>
      </c>
      <c r="G266" s="11">
        <f>C265</f>
        <v/>
      </c>
      <c r="H266" s="11">
        <f>IF(OR(G266="",A266="Savings"),"",C266-G266-F266)</f>
        <v/>
      </c>
      <c r="I266" s="45">
        <f>IF(OR(H266="",G266=0), "", H266/G266)</f>
        <v/>
      </c>
    </row>
    <row r="267">
      <c r="A267" s="5" t="inlineStr">
        <is>
          <t>MSCI EM</t>
        </is>
      </c>
      <c r="B267" s="28" t="n">
        <v>46874</v>
      </c>
      <c r="C267" s="11">
        <f>SUMIFS(Month_End!$D:$D,Month_End!$A:$A,B267,Month_End!$B:$B,A267)</f>
        <v/>
      </c>
      <c r="D267" s="11">
        <f>SUMIFS(Transactions_PAC!$H:$H,Transactions_PAC!$B:$B,B267,Transactions_PAC!$C:$C,A267)</f>
        <v/>
      </c>
      <c r="E267" s="11">
        <f>SUMIFS(Transactions_Manual!$E:$E,Transactions_Manual!$B:$B,B267,Transactions_Manual!$C:$C,A267)</f>
        <v/>
      </c>
      <c r="F267" s="11">
        <f>D267+E267</f>
        <v/>
      </c>
      <c r="G267" s="11">
        <f>C266</f>
        <v/>
      </c>
      <c r="H267" s="11">
        <f>IF(OR(G267="",A267="Savings"),"",C267-G267-F267)</f>
        <v/>
      </c>
      <c r="I267" s="45">
        <f>IF(OR(H267="",G267=0), "", H267/G267)</f>
        <v/>
      </c>
    </row>
    <row r="268">
      <c r="A268" s="5" t="inlineStr">
        <is>
          <t>MSCI EM</t>
        </is>
      </c>
      <c r="B268" s="28" t="n">
        <v>46905</v>
      </c>
      <c r="C268" s="11">
        <f>SUMIFS(Month_End!$D:$D,Month_End!$A:$A,B268,Month_End!$B:$B,A268)</f>
        <v/>
      </c>
      <c r="D268" s="11">
        <f>SUMIFS(Transactions_PAC!$H:$H,Transactions_PAC!$B:$B,B268,Transactions_PAC!$C:$C,A268)</f>
        <v/>
      </c>
      <c r="E268" s="11">
        <f>SUMIFS(Transactions_Manual!$E:$E,Transactions_Manual!$B:$B,B268,Transactions_Manual!$C:$C,A268)</f>
        <v/>
      </c>
      <c r="F268" s="11">
        <f>D268+E268</f>
        <v/>
      </c>
      <c r="G268" s="11">
        <f>C267</f>
        <v/>
      </c>
      <c r="H268" s="11">
        <f>IF(OR(G268="",A268="Savings"),"",C268-G268-F268)</f>
        <v/>
      </c>
      <c r="I268" s="45">
        <f>IF(OR(H268="",G268=0), "", H268/G268)</f>
        <v/>
      </c>
    </row>
    <row r="269">
      <c r="A269" s="5" t="inlineStr">
        <is>
          <t>MSCI EM</t>
        </is>
      </c>
      <c r="B269" s="28" t="n">
        <v>46935</v>
      </c>
      <c r="C269" s="11">
        <f>SUMIFS(Month_End!$D:$D,Month_End!$A:$A,B269,Month_End!$B:$B,A269)</f>
        <v/>
      </c>
      <c r="D269" s="11">
        <f>SUMIFS(Transactions_PAC!$H:$H,Transactions_PAC!$B:$B,B269,Transactions_PAC!$C:$C,A269)</f>
        <v/>
      </c>
      <c r="E269" s="11">
        <f>SUMIFS(Transactions_Manual!$E:$E,Transactions_Manual!$B:$B,B269,Transactions_Manual!$C:$C,A269)</f>
        <v/>
      </c>
      <c r="F269" s="11">
        <f>D269+E269</f>
        <v/>
      </c>
      <c r="G269" s="11">
        <f>C268</f>
        <v/>
      </c>
      <c r="H269" s="11">
        <f>IF(OR(G269="",A269="Savings"),"",C269-G269-F269)</f>
        <v/>
      </c>
      <c r="I269" s="45">
        <f>IF(OR(H269="",G269=0), "", H269/G269)</f>
        <v/>
      </c>
    </row>
    <row r="270">
      <c r="A270" s="5" t="inlineStr">
        <is>
          <t>MSCI EM</t>
        </is>
      </c>
      <c r="B270" s="28" t="n">
        <v>46966</v>
      </c>
      <c r="C270" s="11">
        <f>SUMIFS(Month_End!$D:$D,Month_End!$A:$A,B270,Month_End!$B:$B,A270)</f>
        <v/>
      </c>
      <c r="D270" s="11">
        <f>SUMIFS(Transactions_PAC!$H:$H,Transactions_PAC!$B:$B,B270,Transactions_PAC!$C:$C,A270)</f>
        <v/>
      </c>
      <c r="E270" s="11">
        <f>SUMIFS(Transactions_Manual!$E:$E,Transactions_Manual!$B:$B,B270,Transactions_Manual!$C:$C,A270)</f>
        <v/>
      </c>
      <c r="F270" s="11">
        <f>D270+E270</f>
        <v/>
      </c>
      <c r="G270" s="11">
        <f>C269</f>
        <v/>
      </c>
      <c r="H270" s="11">
        <f>IF(OR(G270="",A270="Savings"),"",C270-G270-F270)</f>
        <v/>
      </c>
      <c r="I270" s="45">
        <f>IF(OR(H270="",G270=0), "", H270/G270)</f>
        <v/>
      </c>
    </row>
    <row r="271">
      <c r="A271" s="5" t="inlineStr">
        <is>
          <t>MSCI EM</t>
        </is>
      </c>
      <c r="B271" s="28" t="n">
        <v>46997</v>
      </c>
      <c r="C271" s="11">
        <f>SUMIFS(Month_End!$D:$D,Month_End!$A:$A,B271,Month_End!$B:$B,A271)</f>
        <v/>
      </c>
      <c r="D271" s="11">
        <f>SUMIFS(Transactions_PAC!$H:$H,Transactions_PAC!$B:$B,B271,Transactions_PAC!$C:$C,A271)</f>
        <v/>
      </c>
      <c r="E271" s="11">
        <f>SUMIFS(Transactions_Manual!$E:$E,Transactions_Manual!$B:$B,B271,Transactions_Manual!$C:$C,A271)</f>
        <v/>
      </c>
      <c r="F271" s="11">
        <f>D271+E271</f>
        <v/>
      </c>
      <c r="G271" s="11">
        <f>C270</f>
        <v/>
      </c>
      <c r="H271" s="11">
        <f>IF(OR(G271="",A271="Savings"),"",C271-G271-F271)</f>
        <v/>
      </c>
      <c r="I271" s="45">
        <f>IF(OR(H271="",G271=0), "", H271/G271)</f>
        <v/>
      </c>
    </row>
    <row r="272">
      <c r="A272" s="5" t="inlineStr">
        <is>
          <t>MSCI EM</t>
        </is>
      </c>
      <c r="B272" s="28" t="n">
        <v>47027</v>
      </c>
      <c r="C272" s="11">
        <f>SUMIFS(Month_End!$D:$D,Month_End!$A:$A,B272,Month_End!$B:$B,A272)</f>
        <v/>
      </c>
      <c r="D272" s="11">
        <f>SUMIFS(Transactions_PAC!$H:$H,Transactions_PAC!$B:$B,B272,Transactions_PAC!$C:$C,A272)</f>
        <v/>
      </c>
      <c r="E272" s="11">
        <f>SUMIFS(Transactions_Manual!$E:$E,Transactions_Manual!$B:$B,B272,Transactions_Manual!$C:$C,A272)</f>
        <v/>
      </c>
      <c r="F272" s="11">
        <f>D272+E272</f>
        <v/>
      </c>
      <c r="G272" s="11">
        <f>C271</f>
        <v/>
      </c>
      <c r="H272" s="11">
        <f>IF(OR(G272="",A272="Savings"),"",C272-G272-F272)</f>
        <v/>
      </c>
      <c r="I272" s="45">
        <f>IF(OR(H272="",G272=0), "", H272/G272)</f>
        <v/>
      </c>
    </row>
    <row r="273">
      <c r="A273" s="5" t="inlineStr">
        <is>
          <t>MSCI EM</t>
        </is>
      </c>
      <c r="B273" s="28" t="n">
        <v>47058</v>
      </c>
      <c r="C273" s="11">
        <f>SUMIFS(Month_End!$D:$D,Month_End!$A:$A,B273,Month_End!$B:$B,A273)</f>
        <v/>
      </c>
      <c r="D273" s="11">
        <f>SUMIFS(Transactions_PAC!$H:$H,Transactions_PAC!$B:$B,B273,Transactions_PAC!$C:$C,A273)</f>
        <v/>
      </c>
      <c r="E273" s="11">
        <f>SUMIFS(Transactions_Manual!$E:$E,Transactions_Manual!$B:$B,B273,Transactions_Manual!$C:$C,A273)</f>
        <v/>
      </c>
      <c r="F273" s="11">
        <f>D273+E273</f>
        <v/>
      </c>
      <c r="G273" s="11">
        <f>C272</f>
        <v/>
      </c>
      <c r="H273" s="11">
        <f>IF(OR(G273="",A273="Savings"),"",C273-G273-F273)</f>
        <v/>
      </c>
      <c r="I273" s="45">
        <f>IF(OR(H273="",G273=0), "", H273/G273)</f>
        <v/>
      </c>
    </row>
    <row r="274">
      <c r="A274" s="5" t="inlineStr">
        <is>
          <t>MSCI EM</t>
        </is>
      </c>
      <c r="B274" s="28" t="n">
        <v>47088</v>
      </c>
      <c r="C274" s="11">
        <f>SUMIFS(Month_End!$D:$D,Month_End!$A:$A,B274,Month_End!$B:$B,A274)</f>
        <v/>
      </c>
      <c r="D274" s="11">
        <f>SUMIFS(Transactions_PAC!$H:$H,Transactions_PAC!$B:$B,B274,Transactions_PAC!$C:$C,A274)</f>
        <v/>
      </c>
      <c r="E274" s="11">
        <f>SUMIFS(Transactions_Manual!$E:$E,Transactions_Manual!$B:$B,B274,Transactions_Manual!$C:$C,A274)</f>
        <v/>
      </c>
      <c r="F274" s="11">
        <f>D274+E274</f>
        <v/>
      </c>
      <c r="G274" s="11">
        <f>C273</f>
        <v/>
      </c>
      <c r="H274" s="11">
        <f>IF(OR(G274="",A274="Savings"),"",C274-G274-F274)</f>
        <v/>
      </c>
      <c r="I274" s="45">
        <f>IF(OR(H274="",G274=0), "", H274/G274)</f>
        <v/>
      </c>
    </row>
    <row r="275">
      <c r="A275" s="5" t="inlineStr">
        <is>
          <t>Defence Tech</t>
        </is>
      </c>
      <c r="B275" s="28" t="n">
        <v>45931</v>
      </c>
      <c r="C275" s="11">
        <f>SUMIFS(Month_End!$D:$D,Month_End!$A:$A,B275,Month_End!$B:$B,A275)</f>
        <v/>
      </c>
      <c r="D275" s="11">
        <f>SUMIFS(Transactions_PAC!$H:$H,Transactions_PAC!$B:$B,B275,Transactions_PAC!$C:$C,A275)</f>
        <v/>
      </c>
      <c r="E275" s="11">
        <f>SUMIFS(Transactions_Manual!$E:$E,Transactions_Manual!$B:$B,B275,Transactions_Manual!$C:$C,A275)</f>
        <v/>
      </c>
      <c r="F275" s="11">
        <f>D275+E275</f>
        <v/>
      </c>
      <c r="G275" s="11" t="inlineStr"/>
      <c r="H275" s="11">
        <f>IF(OR(G275="",A275="Savings"),"",C275-G275-F275)</f>
        <v/>
      </c>
      <c r="I275" s="45">
        <f>IF(OR(H275="",G275=0), "", H275/G275)</f>
        <v/>
      </c>
    </row>
    <row r="276">
      <c r="A276" s="5" t="inlineStr">
        <is>
          <t>Defence Tech</t>
        </is>
      </c>
      <c r="B276" s="28" t="n">
        <v>45962</v>
      </c>
      <c r="C276" s="11">
        <f>SUMIFS(Month_End!$D:$D,Month_End!$A:$A,B276,Month_End!$B:$B,A276)</f>
        <v/>
      </c>
      <c r="D276" s="11">
        <f>SUMIFS(Transactions_PAC!$H:$H,Transactions_PAC!$B:$B,B276,Transactions_PAC!$C:$C,A276)</f>
        <v/>
      </c>
      <c r="E276" s="11">
        <f>SUMIFS(Transactions_Manual!$E:$E,Transactions_Manual!$B:$B,B276,Transactions_Manual!$C:$C,A276)</f>
        <v/>
      </c>
      <c r="F276" s="11">
        <f>D276+E276</f>
        <v/>
      </c>
      <c r="G276" s="11">
        <f>C275</f>
        <v/>
      </c>
      <c r="H276" s="11">
        <f>IF(OR(G276="",A276="Savings"),"",C276-G276-F276)</f>
        <v/>
      </c>
      <c r="I276" s="45">
        <f>IF(OR(H276="",G276=0), "", H276/G276)</f>
        <v/>
      </c>
    </row>
    <row r="277">
      <c r="A277" s="5" t="inlineStr">
        <is>
          <t>Defence Tech</t>
        </is>
      </c>
      <c r="B277" s="28" t="n">
        <v>45992</v>
      </c>
      <c r="C277" s="11">
        <f>SUMIFS(Month_End!$D:$D,Month_End!$A:$A,B277,Month_End!$B:$B,A277)</f>
        <v/>
      </c>
      <c r="D277" s="11">
        <f>SUMIFS(Transactions_PAC!$H:$H,Transactions_PAC!$B:$B,B277,Transactions_PAC!$C:$C,A277)</f>
        <v/>
      </c>
      <c r="E277" s="11">
        <f>SUMIFS(Transactions_Manual!$E:$E,Transactions_Manual!$B:$B,B277,Transactions_Manual!$C:$C,A277)</f>
        <v/>
      </c>
      <c r="F277" s="11">
        <f>D277+E277</f>
        <v/>
      </c>
      <c r="G277" s="11">
        <f>C276</f>
        <v/>
      </c>
      <c r="H277" s="11">
        <f>IF(OR(G277="",A277="Savings"),"",C277-G277-F277)</f>
        <v/>
      </c>
      <c r="I277" s="45">
        <f>IF(OR(H277="",G277=0), "", H277/G277)</f>
        <v/>
      </c>
    </row>
    <row r="278">
      <c r="A278" s="5" t="inlineStr">
        <is>
          <t>Defence Tech</t>
        </is>
      </c>
      <c r="B278" s="28" t="n">
        <v>46023</v>
      </c>
      <c r="C278" s="11">
        <f>SUMIFS(Month_End!$D:$D,Month_End!$A:$A,B278,Month_End!$B:$B,A278)</f>
        <v/>
      </c>
      <c r="D278" s="11">
        <f>SUMIFS(Transactions_PAC!$H:$H,Transactions_PAC!$B:$B,B278,Transactions_PAC!$C:$C,A278)</f>
        <v/>
      </c>
      <c r="E278" s="11">
        <f>SUMIFS(Transactions_Manual!$E:$E,Transactions_Manual!$B:$B,B278,Transactions_Manual!$C:$C,A278)</f>
        <v/>
      </c>
      <c r="F278" s="11">
        <f>D278+E278</f>
        <v/>
      </c>
      <c r="G278" s="11">
        <f>C277</f>
        <v/>
      </c>
      <c r="H278" s="11">
        <f>IF(OR(G278="",A278="Savings"),"",C278-G278-F278)</f>
        <v/>
      </c>
      <c r="I278" s="45">
        <f>IF(OR(H278="",G278=0), "", H278/G278)</f>
        <v/>
      </c>
    </row>
    <row r="279">
      <c r="A279" s="5" t="inlineStr">
        <is>
          <t>Defence Tech</t>
        </is>
      </c>
      <c r="B279" s="28" t="n">
        <v>46054</v>
      </c>
      <c r="C279" s="11">
        <f>SUMIFS(Month_End!$D:$D,Month_End!$A:$A,B279,Month_End!$B:$B,A279)</f>
        <v/>
      </c>
      <c r="D279" s="11">
        <f>SUMIFS(Transactions_PAC!$H:$H,Transactions_PAC!$B:$B,B279,Transactions_PAC!$C:$C,A279)</f>
        <v/>
      </c>
      <c r="E279" s="11">
        <f>SUMIFS(Transactions_Manual!$E:$E,Transactions_Manual!$B:$B,B279,Transactions_Manual!$C:$C,A279)</f>
        <v/>
      </c>
      <c r="F279" s="11">
        <f>D279+E279</f>
        <v/>
      </c>
      <c r="G279" s="11">
        <f>C278</f>
        <v/>
      </c>
      <c r="H279" s="11">
        <f>IF(OR(G279="",A279="Savings"),"",C279-G279-F279)</f>
        <v/>
      </c>
      <c r="I279" s="45">
        <f>IF(OR(H279="",G279=0), "", H279/G279)</f>
        <v/>
      </c>
    </row>
    <row r="280">
      <c r="A280" s="5" t="inlineStr">
        <is>
          <t>Defence Tech</t>
        </is>
      </c>
      <c r="B280" s="28" t="n">
        <v>46082</v>
      </c>
      <c r="C280" s="11">
        <f>SUMIFS(Month_End!$D:$D,Month_End!$A:$A,B280,Month_End!$B:$B,A280)</f>
        <v/>
      </c>
      <c r="D280" s="11">
        <f>SUMIFS(Transactions_PAC!$H:$H,Transactions_PAC!$B:$B,B280,Transactions_PAC!$C:$C,A280)</f>
        <v/>
      </c>
      <c r="E280" s="11">
        <f>SUMIFS(Transactions_Manual!$E:$E,Transactions_Manual!$B:$B,B280,Transactions_Manual!$C:$C,A280)</f>
        <v/>
      </c>
      <c r="F280" s="11">
        <f>D280+E280</f>
        <v/>
      </c>
      <c r="G280" s="11">
        <f>C279</f>
        <v/>
      </c>
      <c r="H280" s="11">
        <f>IF(OR(G280="",A280="Savings"),"",C280-G280-F280)</f>
        <v/>
      </c>
      <c r="I280" s="45">
        <f>IF(OR(H280="",G280=0), "", H280/G280)</f>
        <v/>
      </c>
    </row>
    <row r="281">
      <c r="A281" s="5" t="inlineStr">
        <is>
          <t>Defence Tech</t>
        </is>
      </c>
      <c r="B281" s="28" t="n">
        <v>46113</v>
      </c>
      <c r="C281" s="11">
        <f>SUMIFS(Month_End!$D:$D,Month_End!$A:$A,B281,Month_End!$B:$B,A281)</f>
        <v/>
      </c>
      <c r="D281" s="11">
        <f>SUMIFS(Transactions_PAC!$H:$H,Transactions_PAC!$B:$B,B281,Transactions_PAC!$C:$C,A281)</f>
        <v/>
      </c>
      <c r="E281" s="11">
        <f>SUMIFS(Transactions_Manual!$E:$E,Transactions_Manual!$B:$B,B281,Transactions_Manual!$C:$C,A281)</f>
        <v/>
      </c>
      <c r="F281" s="11">
        <f>D281+E281</f>
        <v/>
      </c>
      <c r="G281" s="11">
        <f>C280</f>
        <v/>
      </c>
      <c r="H281" s="11">
        <f>IF(OR(G281="",A281="Savings"),"",C281-G281-F281)</f>
        <v/>
      </c>
      <c r="I281" s="45">
        <f>IF(OR(H281="",G281=0), "", H281/G281)</f>
        <v/>
      </c>
    </row>
    <row r="282">
      <c r="A282" s="5" t="inlineStr">
        <is>
          <t>Defence Tech</t>
        </is>
      </c>
      <c r="B282" s="28" t="n">
        <v>46143</v>
      </c>
      <c r="C282" s="11">
        <f>SUMIFS(Month_End!$D:$D,Month_End!$A:$A,B282,Month_End!$B:$B,A282)</f>
        <v/>
      </c>
      <c r="D282" s="11">
        <f>SUMIFS(Transactions_PAC!$H:$H,Transactions_PAC!$B:$B,B282,Transactions_PAC!$C:$C,A282)</f>
        <v/>
      </c>
      <c r="E282" s="11">
        <f>SUMIFS(Transactions_Manual!$E:$E,Transactions_Manual!$B:$B,B282,Transactions_Manual!$C:$C,A282)</f>
        <v/>
      </c>
      <c r="F282" s="11">
        <f>D282+E282</f>
        <v/>
      </c>
      <c r="G282" s="11">
        <f>C281</f>
        <v/>
      </c>
      <c r="H282" s="11">
        <f>IF(OR(G282="",A282="Savings"),"",C282-G282-F282)</f>
        <v/>
      </c>
      <c r="I282" s="45">
        <f>IF(OR(H282="",G282=0), "", H282/G282)</f>
        <v/>
      </c>
    </row>
    <row r="283">
      <c r="A283" s="5" t="inlineStr">
        <is>
          <t>Defence Tech</t>
        </is>
      </c>
      <c r="B283" s="28" t="n">
        <v>46174</v>
      </c>
      <c r="C283" s="11">
        <f>SUMIFS(Month_End!$D:$D,Month_End!$A:$A,B283,Month_End!$B:$B,A283)</f>
        <v/>
      </c>
      <c r="D283" s="11">
        <f>SUMIFS(Transactions_PAC!$H:$H,Transactions_PAC!$B:$B,B283,Transactions_PAC!$C:$C,A283)</f>
        <v/>
      </c>
      <c r="E283" s="11">
        <f>SUMIFS(Transactions_Manual!$E:$E,Transactions_Manual!$B:$B,B283,Transactions_Manual!$C:$C,A283)</f>
        <v/>
      </c>
      <c r="F283" s="11">
        <f>D283+E283</f>
        <v/>
      </c>
      <c r="G283" s="11">
        <f>C282</f>
        <v/>
      </c>
      <c r="H283" s="11">
        <f>IF(OR(G283="",A283="Savings"),"",C283-G283-F283)</f>
        <v/>
      </c>
      <c r="I283" s="45">
        <f>IF(OR(H283="",G283=0), "", H283/G283)</f>
        <v/>
      </c>
    </row>
    <row r="284">
      <c r="A284" s="5" t="inlineStr">
        <is>
          <t>Defence Tech</t>
        </is>
      </c>
      <c r="B284" s="28" t="n">
        <v>46204</v>
      </c>
      <c r="C284" s="11">
        <f>SUMIFS(Month_End!$D:$D,Month_End!$A:$A,B284,Month_End!$B:$B,A284)</f>
        <v/>
      </c>
      <c r="D284" s="11">
        <f>SUMIFS(Transactions_PAC!$H:$H,Transactions_PAC!$B:$B,B284,Transactions_PAC!$C:$C,A284)</f>
        <v/>
      </c>
      <c r="E284" s="11">
        <f>SUMIFS(Transactions_Manual!$E:$E,Transactions_Manual!$B:$B,B284,Transactions_Manual!$C:$C,A284)</f>
        <v/>
      </c>
      <c r="F284" s="11">
        <f>D284+E284</f>
        <v/>
      </c>
      <c r="G284" s="11">
        <f>C283</f>
        <v/>
      </c>
      <c r="H284" s="11">
        <f>IF(OR(G284="",A284="Savings"),"",C284-G284-F284)</f>
        <v/>
      </c>
      <c r="I284" s="45">
        <f>IF(OR(H284="",G284=0), "", H284/G284)</f>
        <v/>
      </c>
    </row>
    <row r="285">
      <c r="A285" s="5" t="inlineStr">
        <is>
          <t>Defence Tech</t>
        </is>
      </c>
      <c r="B285" s="28" t="n">
        <v>46235</v>
      </c>
      <c r="C285" s="11">
        <f>SUMIFS(Month_End!$D:$D,Month_End!$A:$A,B285,Month_End!$B:$B,A285)</f>
        <v/>
      </c>
      <c r="D285" s="11">
        <f>SUMIFS(Transactions_PAC!$H:$H,Transactions_PAC!$B:$B,B285,Transactions_PAC!$C:$C,A285)</f>
        <v/>
      </c>
      <c r="E285" s="11">
        <f>SUMIFS(Transactions_Manual!$E:$E,Transactions_Manual!$B:$B,B285,Transactions_Manual!$C:$C,A285)</f>
        <v/>
      </c>
      <c r="F285" s="11">
        <f>D285+E285</f>
        <v/>
      </c>
      <c r="G285" s="11">
        <f>C284</f>
        <v/>
      </c>
      <c r="H285" s="11">
        <f>IF(OR(G285="",A285="Savings"),"",C285-G285-F285)</f>
        <v/>
      </c>
      <c r="I285" s="45">
        <f>IF(OR(H285="",G285=0), "", H285/G285)</f>
        <v/>
      </c>
    </row>
    <row r="286">
      <c r="A286" s="5" t="inlineStr">
        <is>
          <t>Defence Tech</t>
        </is>
      </c>
      <c r="B286" s="28" t="n">
        <v>46266</v>
      </c>
      <c r="C286" s="11">
        <f>SUMIFS(Month_End!$D:$D,Month_End!$A:$A,B286,Month_End!$B:$B,A286)</f>
        <v/>
      </c>
      <c r="D286" s="11">
        <f>SUMIFS(Transactions_PAC!$H:$H,Transactions_PAC!$B:$B,B286,Transactions_PAC!$C:$C,A286)</f>
        <v/>
      </c>
      <c r="E286" s="11">
        <f>SUMIFS(Transactions_Manual!$E:$E,Transactions_Manual!$B:$B,B286,Transactions_Manual!$C:$C,A286)</f>
        <v/>
      </c>
      <c r="F286" s="11">
        <f>D286+E286</f>
        <v/>
      </c>
      <c r="G286" s="11">
        <f>C285</f>
        <v/>
      </c>
      <c r="H286" s="11">
        <f>IF(OR(G286="",A286="Savings"),"",C286-G286-F286)</f>
        <v/>
      </c>
      <c r="I286" s="45">
        <f>IF(OR(H286="",G286=0), "", H286/G286)</f>
        <v/>
      </c>
    </row>
    <row r="287">
      <c r="A287" s="5" t="inlineStr">
        <is>
          <t>Defence Tech</t>
        </is>
      </c>
      <c r="B287" s="28" t="n">
        <v>46296</v>
      </c>
      <c r="C287" s="11">
        <f>SUMIFS(Month_End!$D:$D,Month_End!$A:$A,B287,Month_End!$B:$B,A287)</f>
        <v/>
      </c>
      <c r="D287" s="11">
        <f>SUMIFS(Transactions_PAC!$H:$H,Transactions_PAC!$B:$B,B287,Transactions_PAC!$C:$C,A287)</f>
        <v/>
      </c>
      <c r="E287" s="11">
        <f>SUMIFS(Transactions_Manual!$E:$E,Transactions_Manual!$B:$B,B287,Transactions_Manual!$C:$C,A287)</f>
        <v/>
      </c>
      <c r="F287" s="11">
        <f>D287+E287</f>
        <v/>
      </c>
      <c r="G287" s="11">
        <f>C286</f>
        <v/>
      </c>
      <c r="H287" s="11">
        <f>IF(OR(G287="",A287="Savings"),"",C287-G287-F287)</f>
        <v/>
      </c>
      <c r="I287" s="45">
        <f>IF(OR(H287="",G287=0), "", H287/G287)</f>
        <v/>
      </c>
    </row>
    <row r="288">
      <c r="A288" s="5" t="inlineStr">
        <is>
          <t>Defence Tech</t>
        </is>
      </c>
      <c r="B288" s="28" t="n">
        <v>46327</v>
      </c>
      <c r="C288" s="11">
        <f>SUMIFS(Month_End!$D:$D,Month_End!$A:$A,B288,Month_End!$B:$B,A288)</f>
        <v/>
      </c>
      <c r="D288" s="11">
        <f>SUMIFS(Transactions_PAC!$H:$H,Transactions_PAC!$B:$B,B288,Transactions_PAC!$C:$C,A288)</f>
        <v/>
      </c>
      <c r="E288" s="11">
        <f>SUMIFS(Transactions_Manual!$E:$E,Transactions_Manual!$B:$B,B288,Transactions_Manual!$C:$C,A288)</f>
        <v/>
      </c>
      <c r="F288" s="11">
        <f>D288+E288</f>
        <v/>
      </c>
      <c r="G288" s="11">
        <f>C287</f>
        <v/>
      </c>
      <c r="H288" s="11">
        <f>IF(OR(G288="",A288="Savings"),"",C288-G288-F288)</f>
        <v/>
      </c>
      <c r="I288" s="45">
        <f>IF(OR(H288="",G288=0), "", H288/G288)</f>
        <v/>
      </c>
    </row>
    <row r="289">
      <c r="A289" s="5" t="inlineStr">
        <is>
          <t>Defence Tech</t>
        </is>
      </c>
      <c r="B289" s="28" t="n">
        <v>46357</v>
      </c>
      <c r="C289" s="11">
        <f>SUMIFS(Month_End!$D:$D,Month_End!$A:$A,B289,Month_End!$B:$B,A289)</f>
        <v/>
      </c>
      <c r="D289" s="11">
        <f>SUMIFS(Transactions_PAC!$H:$H,Transactions_PAC!$B:$B,B289,Transactions_PAC!$C:$C,A289)</f>
        <v/>
      </c>
      <c r="E289" s="11">
        <f>SUMIFS(Transactions_Manual!$E:$E,Transactions_Manual!$B:$B,B289,Transactions_Manual!$C:$C,A289)</f>
        <v/>
      </c>
      <c r="F289" s="11">
        <f>D289+E289</f>
        <v/>
      </c>
      <c r="G289" s="11">
        <f>C288</f>
        <v/>
      </c>
      <c r="H289" s="11">
        <f>IF(OR(G289="",A289="Savings"),"",C289-G289-F289)</f>
        <v/>
      </c>
      <c r="I289" s="45">
        <f>IF(OR(H289="",G289=0), "", H289/G289)</f>
        <v/>
      </c>
    </row>
    <row r="290">
      <c r="A290" s="5" t="inlineStr">
        <is>
          <t>Defence Tech</t>
        </is>
      </c>
      <c r="B290" s="28" t="n">
        <v>46388</v>
      </c>
      <c r="C290" s="11">
        <f>SUMIFS(Month_End!$D:$D,Month_End!$A:$A,B290,Month_End!$B:$B,A290)</f>
        <v/>
      </c>
      <c r="D290" s="11">
        <f>SUMIFS(Transactions_PAC!$H:$H,Transactions_PAC!$B:$B,B290,Transactions_PAC!$C:$C,A290)</f>
        <v/>
      </c>
      <c r="E290" s="11">
        <f>SUMIFS(Transactions_Manual!$E:$E,Transactions_Manual!$B:$B,B290,Transactions_Manual!$C:$C,A290)</f>
        <v/>
      </c>
      <c r="F290" s="11">
        <f>D290+E290</f>
        <v/>
      </c>
      <c r="G290" s="11">
        <f>C289</f>
        <v/>
      </c>
      <c r="H290" s="11">
        <f>IF(OR(G290="",A290="Savings"),"",C290-G290-F290)</f>
        <v/>
      </c>
      <c r="I290" s="45">
        <f>IF(OR(H290="",G290=0), "", H290/G290)</f>
        <v/>
      </c>
    </row>
    <row r="291">
      <c r="A291" s="5" t="inlineStr">
        <is>
          <t>Defence Tech</t>
        </is>
      </c>
      <c r="B291" s="28" t="n">
        <v>46419</v>
      </c>
      <c r="C291" s="11">
        <f>SUMIFS(Month_End!$D:$D,Month_End!$A:$A,B291,Month_End!$B:$B,A291)</f>
        <v/>
      </c>
      <c r="D291" s="11">
        <f>SUMIFS(Transactions_PAC!$H:$H,Transactions_PAC!$B:$B,B291,Transactions_PAC!$C:$C,A291)</f>
        <v/>
      </c>
      <c r="E291" s="11">
        <f>SUMIFS(Transactions_Manual!$E:$E,Transactions_Manual!$B:$B,B291,Transactions_Manual!$C:$C,A291)</f>
        <v/>
      </c>
      <c r="F291" s="11">
        <f>D291+E291</f>
        <v/>
      </c>
      <c r="G291" s="11">
        <f>C290</f>
        <v/>
      </c>
      <c r="H291" s="11">
        <f>IF(OR(G291="",A291="Savings"),"",C291-G291-F291)</f>
        <v/>
      </c>
      <c r="I291" s="45">
        <f>IF(OR(H291="",G291=0), "", H291/G291)</f>
        <v/>
      </c>
    </row>
    <row r="292">
      <c r="A292" s="5" t="inlineStr">
        <is>
          <t>Defence Tech</t>
        </is>
      </c>
      <c r="B292" s="28" t="n">
        <v>46447</v>
      </c>
      <c r="C292" s="11">
        <f>SUMIFS(Month_End!$D:$D,Month_End!$A:$A,B292,Month_End!$B:$B,A292)</f>
        <v/>
      </c>
      <c r="D292" s="11">
        <f>SUMIFS(Transactions_PAC!$H:$H,Transactions_PAC!$B:$B,B292,Transactions_PAC!$C:$C,A292)</f>
        <v/>
      </c>
      <c r="E292" s="11">
        <f>SUMIFS(Transactions_Manual!$E:$E,Transactions_Manual!$B:$B,B292,Transactions_Manual!$C:$C,A292)</f>
        <v/>
      </c>
      <c r="F292" s="11">
        <f>D292+E292</f>
        <v/>
      </c>
      <c r="G292" s="11">
        <f>C291</f>
        <v/>
      </c>
      <c r="H292" s="11">
        <f>IF(OR(G292="",A292="Savings"),"",C292-G292-F292)</f>
        <v/>
      </c>
      <c r="I292" s="45">
        <f>IF(OR(H292="",G292=0), "", H292/G292)</f>
        <v/>
      </c>
    </row>
    <row r="293">
      <c r="A293" s="5" t="inlineStr">
        <is>
          <t>Defence Tech</t>
        </is>
      </c>
      <c r="B293" s="28" t="n">
        <v>46478</v>
      </c>
      <c r="C293" s="11">
        <f>SUMIFS(Month_End!$D:$D,Month_End!$A:$A,B293,Month_End!$B:$B,A293)</f>
        <v/>
      </c>
      <c r="D293" s="11">
        <f>SUMIFS(Transactions_PAC!$H:$H,Transactions_PAC!$B:$B,B293,Transactions_PAC!$C:$C,A293)</f>
        <v/>
      </c>
      <c r="E293" s="11">
        <f>SUMIFS(Transactions_Manual!$E:$E,Transactions_Manual!$B:$B,B293,Transactions_Manual!$C:$C,A293)</f>
        <v/>
      </c>
      <c r="F293" s="11">
        <f>D293+E293</f>
        <v/>
      </c>
      <c r="G293" s="11">
        <f>C292</f>
        <v/>
      </c>
      <c r="H293" s="11">
        <f>IF(OR(G293="",A293="Savings"),"",C293-G293-F293)</f>
        <v/>
      </c>
      <c r="I293" s="45">
        <f>IF(OR(H293="",G293=0), "", H293/G293)</f>
        <v/>
      </c>
    </row>
    <row r="294">
      <c r="A294" s="5" t="inlineStr">
        <is>
          <t>Defence Tech</t>
        </is>
      </c>
      <c r="B294" s="28" t="n">
        <v>46508</v>
      </c>
      <c r="C294" s="11">
        <f>SUMIFS(Month_End!$D:$D,Month_End!$A:$A,B294,Month_End!$B:$B,A294)</f>
        <v/>
      </c>
      <c r="D294" s="11">
        <f>SUMIFS(Transactions_PAC!$H:$H,Transactions_PAC!$B:$B,B294,Transactions_PAC!$C:$C,A294)</f>
        <v/>
      </c>
      <c r="E294" s="11">
        <f>SUMIFS(Transactions_Manual!$E:$E,Transactions_Manual!$B:$B,B294,Transactions_Manual!$C:$C,A294)</f>
        <v/>
      </c>
      <c r="F294" s="11">
        <f>D294+E294</f>
        <v/>
      </c>
      <c r="G294" s="11">
        <f>C293</f>
        <v/>
      </c>
      <c r="H294" s="11">
        <f>IF(OR(G294="",A294="Savings"),"",C294-G294-F294)</f>
        <v/>
      </c>
      <c r="I294" s="45">
        <f>IF(OR(H294="",G294=0), "", H294/G294)</f>
        <v/>
      </c>
    </row>
    <row r="295">
      <c r="A295" s="5" t="inlineStr">
        <is>
          <t>Defence Tech</t>
        </is>
      </c>
      <c r="B295" s="28" t="n">
        <v>46539</v>
      </c>
      <c r="C295" s="11">
        <f>SUMIFS(Month_End!$D:$D,Month_End!$A:$A,B295,Month_End!$B:$B,A295)</f>
        <v/>
      </c>
      <c r="D295" s="11">
        <f>SUMIFS(Transactions_PAC!$H:$H,Transactions_PAC!$B:$B,B295,Transactions_PAC!$C:$C,A295)</f>
        <v/>
      </c>
      <c r="E295" s="11">
        <f>SUMIFS(Transactions_Manual!$E:$E,Transactions_Manual!$B:$B,B295,Transactions_Manual!$C:$C,A295)</f>
        <v/>
      </c>
      <c r="F295" s="11">
        <f>D295+E295</f>
        <v/>
      </c>
      <c r="G295" s="11">
        <f>C294</f>
        <v/>
      </c>
      <c r="H295" s="11">
        <f>IF(OR(G295="",A295="Savings"),"",C295-G295-F295)</f>
        <v/>
      </c>
      <c r="I295" s="45">
        <f>IF(OR(H295="",G295=0), "", H295/G295)</f>
        <v/>
      </c>
    </row>
    <row r="296">
      <c r="A296" s="5" t="inlineStr">
        <is>
          <t>Defence Tech</t>
        </is>
      </c>
      <c r="B296" s="28" t="n">
        <v>46569</v>
      </c>
      <c r="C296" s="11">
        <f>SUMIFS(Month_End!$D:$D,Month_End!$A:$A,B296,Month_End!$B:$B,A296)</f>
        <v/>
      </c>
      <c r="D296" s="11">
        <f>SUMIFS(Transactions_PAC!$H:$H,Transactions_PAC!$B:$B,B296,Transactions_PAC!$C:$C,A296)</f>
        <v/>
      </c>
      <c r="E296" s="11">
        <f>SUMIFS(Transactions_Manual!$E:$E,Transactions_Manual!$B:$B,B296,Transactions_Manual!$C:$C,A296)</f>
        <v/>
      </c>
      <c r="F296" s="11">
        <f>D296+E296</f>
        <v/>
      </c>
      <c r="G296" s="11">
        <f>C295</f>
        <v/>
      </c>
      <c r="H296" s="11">
        <f>IF(OR(G296="",A296="Savings"),"",C296-G296-F296)</f>
        <v/>
      </c>
      <c r="I296" s="45">
        <f>IF(OR(H296="",G296=0), "", H296/G296)</f>
        <v/>
      </c>
    </row>
    <row r="297">
      <c r="A297" s="5" t="inlineStr">
        <is>
          <t>Defence Tech</t>
        </is>
      </c>
      <c r="B297" s="28" t="n">
        <v>46600</v>
      </c>
      <c r="C297" s="11">
        <f>SUMIFS(Month_End!$D:$D,Month_End!$A:$A,B297,Month_End!$B:$B,A297)</f>
        <v/>
      </c>
      <c r="D297" s="11">
        <f>SUMIFS(Transactions_PAC!$H:$H,Transactions_PAC!$B:$B,B297,Transactions_PAC!$C:$C,A297)</f>
        <v/>
      </c>
      <c r="E297" s="11">
        <f>SUMIFS(Transactions_Manual!$E:$E,Transactions_Manual!$B:$B,B297,Transactions_Manual!$C:$C,A297)</f>
        <v/>
      </c>
      <c r="F297" s="11">
        <f>D297+E297</f>
        <v/>
      </c>
      <c r="G297" s="11">
        <f>C296</f>
        <v/>
      </c>
      <c r="H297" s="11">
        <f>IF(OR(G297="",A297="Savings"),"",C297-G297-F297)</f>
        <v/>
      </c>
      <c r="I297" s="45">
        <f>IF(OR(H297="",G297=0), "", H297/G297)</f>
        <v/>
      </c>
    </row>
    <row r="298">
      <c r="A298" s="5" t="inlineStr">
        <is>
          <t>Defence Tech</t>
        </is>
      </c>
      <c r="B298" s="28" t="n">
        <v>46631</v>
      </c>
      <c r="C298" s="11">
        <f>SUMIFS(Month_End!$D:$D,Month_End!$A:$A,B298,Month_End!$B:$B,A298)</f>
        <v/>
      </c>
      <c r="D298" s="11">
        <f>SUMIFS(Transactions_PAC!$H:$H,Transactions_PAC!$B:$B,B298,Transactions_PAC!$C:$C,A298)</f>
        <v/>
      </c>
      <c r="E298" s="11">
        <f>SUMIFS(Transactions_Manual!$E:$E,Transactions_Manual!$B:$B,B298,Transactions_Manual!$C:$C,A298)</f>
        <v/>
      </c>
      <c r="F298" s="11">
        <f>D298+E298</f>
        <v/>
      </c>
      <c r="G298" s="11">
        <f>C297</f>
        <v/>
      </c>
      <c r="H298" s="11">
        <f>IF(OR(G298="",A298="Savings"),"",C298-G298-F298)</f>
        <v/>
      </c>
      <c r="I298" s="45">
        <f>IF(OR(H298="",G298=0), "", H298/G298)</f>
        <v/>
      </c>
    </row>
    <row r="299">
      <c r="A299" s="5" t="inlineStr">
        <is>
          <t>Defence Tech</t>
        </is>
      </c>
      <c r="B299" s="28" t="n">
        <v>46661</v>
      </c>
      <c r="C299" s="11">
        <f>SUMIFS(Month_End!$D:$D,Month_End!$A:$A,B299,Month_End!$B:$B,A299)</f>
        <v/>
      </c>
      <c r="D299" s="11">
        <f>SUMIFS(Transactions_PAC!$H:$H,Transactions_PAC!$B:$B,B299,Transactions_PAC!$C:$C,A299)</f>
        <v/>
      </c>
      <c r="E299" s="11">
        <f>SUMIFS(Transactions_Manual!$E:$E,Transactions_Manual!$B:$B,B299,Transactions_Manual!$C:$C,A299)</f>
        <v/>
      </c>
      <c r="F299" s="11">
        <f>D299+E299</f>
        <v/>
      </c>
      <c r="G299" s="11">
        <f>C298</f>
        <v/>
      </c>
      <c r="H299" s="11">
        <f>IF(OR(G299="",A299="Savings"),"",C299-G299-F299)</f>
        <v/>
      </c>
      <c r="I299" s="45">
        <f>IF(OR(H299="",G299=0), "", H299/G299)</f>
        <v/>
      </c>
    </row>
    <row r="300">
      <c r="A300" s="5" t="inlineStr">
        <is>
          <t>Defence Tech</t>
        </is>
      </c>
      <c r="B300" s="28" t="n">
        <v>46692</v>
      </c>
      <c r="C300" s="11">
        <f>SUMIFS(Month_End!$D:$D,Month_End!$A:$A,B300,Month_End!$B:$B,A300)</f>
        <v/>
      </c>
      <c r="D300" s="11">
        <f>SUMIFS(Transactions_PAC!$H:$H,Transactions_PAC!$B:$B,B300,Transactions_PAC!$C:$C,A300)</f>
        <v/>
      </c>
      <c r="E300" s="11">
        <f>SUMIFS(Transactions_Manual!$E:$E,Transactions_Manual!$B:$B,B300,Transactions_Manual!$C:$C,A300)</f>
        <v/>
      </c>
      <c r="F300" s="11">
        <f>D300+E300</f>
        <v/>
      </c>
      <c r="G300" s="11">
        <f>C299</f>
        <v/>
      </c>
      <c r="H300" s="11">
        <f>IF(OR(G300="",A300="Savings"),"",C300-G300-F300)</f>
        <v/>
      </c>
      <c r="I300" s="45">
        <f>IF(OR(H300="",G300=0), "", H300/G300)</f>
        <v/>
      </c>
    </row>
    <row r="301">
      <c r="A301" s="5" t="inlineStr">
        <is>
          <t>Defence Tech</t>
        </is>
      </c>
      <c r="B301" s="28" t="n">
        <v>46722</v>
      </c>
      <c r="C301" s="11">
        <f>SUMIFS(Month_End!$D:$D,Month_End!$A:$A,B301,Month_End!$B:$B,A301)</f>
        <v/>
      </c>
      <c r="D301" s="11">
        <f>SUMIFS(Transactions_PAC!$H:$H,Transactions_PAC!$B:$B,B301,Transactions_PAC!$C:$C,A301)</f>
        <v/>
      </c>
      <c r="E301" s="11">
        <f>SUMIFS(Transactions_Manual!$E:$E,Transactions_Manual!$B:$B,B301,Transactions_Manual!$C:$C,A301)</f>
        <v/>
      </c>
      <c r="F301" s="11">
        <f>D301+E301</f>
        <v/>
      </c>
      <c r="G301" s="11">
        <f>C300</f>
        <v/>
      </c>
      <c r="H301" s="11">
        <f>IF(OR(G301="",A301="Savings"),"",C301-G301-F301)</f>
        <v/>
      </c>
      <c r="I301" s="45">
        <f>IF(OR(H301="",G301=0), "", H301/G301)</f>
        <v/>
      </c>
    </row>
    <row r="302">
      <c r="A302" s="5" t="inlineStr">
        <is>
          <t>Defence Tech</t>
        </is>
      </c>
      <c r="B302" s="28" t="n">
        <v>46753</v>
      </c>
      <c r="C302" s="11">
        <f>SUMIFS(Month_End!$D:$D,Month_End!$A:$A,B302,Month_End!$B:$B,A302)</f>
        <v/>
      </c>
      <c r="D302" s="11">
        <f>SUMIFS(Transactions_PAC!$H:$H,Transactions_PAC!$B:$B,B302,Transactions_PAC!$C:$C,A302)</f>
        <v/>
      </c>
      <c r="E302" s="11">
        <f>SUMIFS(Transactions_Manual!$E:$E,Transactions_Manual!$B:$B,B302,Transactions_Manual!$C:$C,A302)</f>
        <v/>
      </c>
      <c r="F302" s="11">
        <f>D302+E302</f>
        <v/>
      </c>
      <c r="G302" s="11">
        <f>C301</f>
        <v/>
      </c>
      <c r="H302" s="11">
        <f>IF(OR(G302="",A302="Savings"),"",C302-G302-F302)</f>
        <v/>
      </c>
      <c r="I302" s="45">
        <f>IF(OR(H302="",G302=0), "", H302/G302)</f>
        <v/>
      </c>
    </row>
    <row r="303">
      <c r="A303" s="5" t="inlineStr">
        <is>
          <t>Defence Tech</t>
        </is>
      </c>
      <c r="B303" s="28" t="n">
        <v>46784</v>
      </c>
      <c r="C303" s="11">
        <f>SUMIFS(Month_End!$D:$D,Month_End!$A:$A,B303,Month_End!$B:$B,A303)</f>
        <v/>
      </c>
      <c r="D303" s="11">
        <f>SUMIFS(Transactions_PAC!$H:$H,Transactions_PAC!$B:$B,B303,Transactions_PAC!$C:$C,A303)</f>
        <v/>
      </c>
      <c r="E303" s="11">
        <f>SUMIFS(Transactions_Manual!$E:$E,Transactions_Manual!$B:$B,B303,Transactions_Manual!$C:$C,A303)</f>
        <v/>
      </c>
      <c r="F303" s="11">
        <f>D303+E303</f>
        <v/>
      </c>
      <c r="G303" s="11">
        <f>C302</f>
        <v/>
      </c>
      <c r="H303" s="11">
        <f>IF(OR(G303="",A303="Savings"),"",C303-G303-F303)</f>
        <v/>
      </c>
      <c r="I303" s="45">
        <f>IF(OR(H303="",G303=0), "", H303/G303)</f>
        <v/>
      </c>
    </row>
    <row r="304">
      <c r="A304" s="5" t="inlineStr">
        <is>
          <t>Defence Tech</t>
        </is>
      </c>
      <c r="B304" s="28" t="n">
        <v>46813</v>
      </c>
      <c r="C304" s="11">
        <f>SUMIFS(Month_End!$D:$D,Month_End!$A:$A,B304,Month_End!$B:$B,A304)</f>
        <v/>
      </c>
      <c r="D304" s="11">
        <f>SUMIFS(Transactions_PAC!$H:$H,Transactions_PAC!$B:$B,B304,Transactions_PAC!$C:$C,A304)</f>
        <v/>
      </c>
      <c r="E304" s="11">
        <f>SUMIFS(Transactions_Manual!$E:$E,Transactions_Manual!$B:$B,B304,Transactions_Manual!$C:$C,A304)</f>
        <v/>
      </c>
      <c r="F304" s="11">
        <f>D304+E304</f>
        <v/>
      </c>
      <c r="G304" s="11">
        <f>C303</f>
        <v/>
      </c>
      <c r="H304" s="11">
        <f>IF(OR(G304="",A304="Savings"),"",C304-G304-F304)</f>
        <v/>
      </c>
      <c r="I304" s="45">
        <f>IF(OR(H304="",G304=0), "", H304/G304)</f>
        <v/>
      </c>
    </row>
    <row r="305">
      <c r="A305" s="5" t="inlineStr">
        <is>
          <t>Defence Tech</t>
        </is>
      </c>
      <c r="B305" s="28" t="n">
        <v>46844</v>
      </c>
      <c r="C305" s="11">
        <f>SUMIFS(Month_End!$D:$D,Month_End!$A:$A,B305,Month_End!$B:$B,A305)</f>
        <v/>
      </c>
      <c r="D305" s="11">
        <f>SUMIFS(Transactions_PAC!$H:$H,Transactions_PAC!$B:$B,B305,Transactions_PAC!$C:$C,A305)</f>
        <v/>
      </c>
      <c r="E305" s="11">
        <f>SUMIFS(Transactions_Manual!$E:$E,Transactions_Manual!$B:$B,B305,Transactions_Manual!$C:$C,A305)</f>
        <v/>
      </c>
      <c r="F305" s="11">
        <f>D305+E305</f>
        <v/>
      </c>
      <c r="G305" s="11">
        <f>C304</f>
        <v/>
      </c>
      <c r="H305" s="11">
        <f>IF(OR(G305="",A305="Savings"),"",C305-G305-F305)</f>
        <v/>
      </c>
      <c r="I305" s="45">
        <f>IF(OR(H305="",G305=0), "", H305/G305)</f>
        <v/>
      </c>
    </row>
    <row r="306">
      <c r="A306" s="5" t="inlineStr">
        <is>
          <t>Defence Tech</t>
        </is>
      </c>
      <c r="B306" s="28" t="n">
        <v>46874</v>
      </c>
      <c r="C306" s="11">
        <f>SUMIFS(Month_End!$D:$D,Month_End!$A:$A,B306,Month_End!$B:$B,A306)</f>
        <v/>
      </c>
      <c r="D306" s="11">
        <f>SUMIFS(Transactions_PAC!$H:$H,Transactions_PAC!$B:$B,B306,Transactions_PAC!$C:$C,A306)</f>
        <v/>
      </c>
      <c r="E306" s="11">
        <f>SUMIFS(Transactions_Manual!$E:$E,Transactions_Manual!$B:$B,B306,Transactions_Manual!$C:$C,A306)</f>
        <v/>
      </c>
      <c r="F306" s="11">
        <f>D306+E306</f>
        <v/>
      </c>
      <c r="G306" s="11">
        <f>C305</f>
        <v/>
      </c>
      <c r="H306" s="11">
        <f>IF(OR(G306="",A306="Savings"),"",C306-G306-F306)</f>
        <v/>
      </c>
      <c r="I306" s="45">
        <f>IF(OR(H306="",G306=0), "", H306/G306)</f>
        <v/>
      </c>
    </row>
    <row r="307">
      <c r="A307" s="5" t="inlineStr">
        <is>
          <t>Defence Tech</t>
        </is>
      </c>
      <c r="B307" s="28" t="n">
        <v>46905</v>
      </c>
      <c r="C307" s="11">
        <f>SUMIFS(Month_End!$D:$D,Month_End!$A:$A,B307,Month_End!$B:$B,A307)</f>
        <v/>
      </c>
      <c r="D307" s="11">
        <f>SUMIFS(Transactions_PAC!$H:$H,Transactions_PAC!$B:$B,B307,Transactions_PAC!$C:$C,A307)</f>
        <v/>
      </c>
      <c r="E307" s="11">
        <f>SUMIFS(Transactions_Manual!$E:$E,Transactions_Manual!$B:$B,B307,Transactions_Manual!$C:$C,A307)</f>
        <v/>
      </c>
      <c r="F307" s="11">
        <f>D307+E307</f>
        <v/>
      </c>
      <c r="G307" s="11">
        <f>C306</f>
        <v/>
      </c>
      <c r="H307" s="11">
        <f>IF(OR(G307="",A307="Savings"),"",C307-G307-F307)</f>
        <v/>
      </c>
      <c r="I307" s="45">
        <f>IF(OR(H307="",G307=0), "", H307/G307)</f>
        <v/>
      </c>
    </row>
    <row r="308">
      <c r="A308" s="5" t="inlineStr">
        <is>
          <t>Defence Tech</t>
        </is>
      </c>
      <c r="B308" s="28" t="n">
        <v>46935</v>
      </c>
      <c r="C308" s="11">
        <f>SUMIFS(Month_End!$D:$D,Month_End!$A:$A,B308,Month_End!$B:$B,A308)</f>
        <v/>
      </c>
      <c r="D308" s="11">
        <f>SUMIFS(Transactions_PAC!$H:$H,Transactions_PAC!$B:$B,B308,Transactions_PAC!$C:$C,A308)</f>
        <v/>
      </c>
      <c r="E308" s="11">
        <f>SUMIFS(Transactions_Manual!$E:$E,Transactions_Manual!$B:$B,B308,Transactions_Manual!$C:$C,A308)</f>
        <v/>
      </c>
      <c r="F308" s="11">
        <f>D308+E308</f>
        <v/>
      </c>
      <c r="G308" s="11">
        <f>C307</f>
        <v/>
      </c>
      <c r="H308" s="11">
        <f>IF(OR(G308="",A308="Savings"),"",C308-G308-F308)</f>
        <v/>
      </c>
      <c r="I308" s="45">
        <f>IF(OR(H308="",G308=0), "", H308/G308)</f>
        <v/>
      </c>
    </row>
    <row r="309">
      <c r="A309" s="5" t="inlineStr">
        <is>
          <t>Defence Tech</t>
        </is>
      </c>
      <c r="B309" s="28" t="n">
        <v>46966</v>
      </c>
      <c r="C309" s="11">
        <f>SUMIFS(Month_End!$D:$D,Month_End!$A:$A,B309,Month_End!$B:$B,A309)</f>
        <v/>
      </c>
      <c r="D309" s="11">
        <f>SUMIFS(Transactions_PAC!$H:$H,Transactions_PAC!$B:$B,B309,Transactions_PAC!$C:$C,A309)</f>
        <v/>
      </c>
      <c r="E309" s="11">
        <f>SUMIFS(Transactions_Manual!$E:$E,Transactions_Manual!$B:$B,B309,Transactions_Manual!$C:$C,A309)</f>
        <v/>
      </c>
      <c r="F309" s="11">
        <f>D309+E309</f>
        <v/>
      </c>
      <c r="G309" s="11">
        <f>C308</f>
        <v/>
      </c>
      <c r="H309" s="11">
        <f>IF(OR(G309="",A309="Savings"),"",C309-G309-F309)</f>
        <v/>
      </c>
      <c r="I309" s="45">
        <f>IF(OR(H309="",G309=0), "", H309/G309)</f>
        <v/>
      </c>
    </row>
    <row r="310">
      <c r="A310" s="5" t="inlineStr">
        <is>
          <t>Defence Tech</t>
        </is>
      </c>
      <c r="B310" s="28" t="n">
        <v>46997</v>
      </c>
      <c r="C310" s="11">
        <f>SUMIFS(Month_End!$D:$D,Month_End!$A:$A,B310,Month_End!$B:$B,A310)</f>
        <v/>
      </c>
      <c r="D310" s="11">
        <f>SUMIFS(Transactions_PAC!$H:$H,Transactions_PAC!$B:$B,B310,Transactions_PAC!$C:$C,A310)</f>
        <v/>
      </c>
      <c r="E310" s="11">
        <f>SUMIFS(Transactions_Manual!$E:$E,Transactions_Manual!$B:$B,B310,Transactions_Manual!$C:$C,A310)</f>
        <v/>
      </c>
      <c r="F310" s="11">
        <f>D310+E310</f>
        <v/>
      </c>
      <c r="G310" s="11">
        <f>C309</f>
        <v/>
      </c>
      <c r="H310" s="11">
        <f>IF(OR(G310="",A310="Savings"),"",C310-G310-F310)</f>
        <v/>
      </c>
      <c r="I310" s="45">
        <f>IF(OR(H310="",G310=0), "", H310/G310)</f>
        <v/>
      </c>
    </row>
    <row r="311">
      <c r="A311" s="5" t="inlineStr">
        <is>
          <t>Defence Tech</t>
        </is>
      </c>
      <c r="B311" s="28" t="n">
        <v>47027</v>
      </c>
      <c r="C311" s="11">
        <f>SUMIFS(Month_End!$D:$D,Month_End!$A:$A,B311,Month_End!$B:$B,A311)</f>
        <v/>
      </c>
      <c r="D311" s="11">
        <f>SUMIFS(Transactions_PAC!$H:$H,Transactions_PAC!$B:$B,B311,Transactions_PAC!$C:$C,A311)</f>
        <v/>
      </c>
      <c r="E311" s="11">
        <f>SUMIFS(Transactions_Manual!$E:$E,Transactions_Manual!$B:$B,B311,Transactions_Manual!$C:$C,A311)</f>
        <v/>
      </c>
      <c r="F311" s="11">
        <f>D311+E311</f>
        <v/>
      </c>
      <c r="G311" s="11">
        <f>C310</f>
        <v/>
      </c>
      <c r="H311" s="11">
        <f>IF(OR(G311="",A311="Savings"),"",C311-G311-F311)</f>
        <v/>
      </c>
      <c r="I311" s="45">
        <f>IF(OR(H311="",G311=0), "", H311/G311)</f>
        <v/>
      </c>
    </row>
    <row r="312">
      <c r="A312" s="5" t="inlineStr">
        <is>
          <t>Defence Tech</t>
        </is>
      </c>
      <c r="B312" s="28" t="n">
        <v>47058</v>
      </c>
      <c r="C312" s="11">
        <f>SUMIFS(Month_End!$D:$D,Month_End!$A:$A,B312,Month_End!$B:$B,A312)</f>
        <v/>
      </c>
      <c r="D312" s="11">
        <f>SUMIFS(Transactions_PAC!$H:$H,Transactions_PAC!$B:$B,B312,Transactions_PAC!$C:$C,A312)</f>
        <v/>
      </c>
      <c r="E312" s="11">
        <f>SUMIFS(Transactions_Manual!$E:$E,Transactions_Manual!$B:$B,B312,Transactions_Manual!$C:$C,A312)</f>
        <v/>
      </c>
      <c r="F312" s="11">
        <f>D312+E312</f>
        <v/>
      </c>
      <c r="G312" s="11">
        <f>C311</f>
        <v/>
      </c>
      <c r="H312" s="11">
        <f>IF(OR(G312="",A312="Savings"),"",C312-G312-F312)</f>
        <v/>
      </c>
      <c r="I312" s="45">
        <f>IF(OR(H312="",G312=0), "", H312/G312)</f>
        <v/>
      </c>
    </row>
    <row r="313">
      <c r="A313" s="5" t="inlineStr">
        <is>
          <t>Defence Tech</t>
        </is>
      </c>
      <c r="B313" s="28" t="n">
        <v>47088</v>
      </c>
      <c r="C313" s="11">
        <f>SUMIFS(Month_End!$D:$D,Month_End!$A:$A,B313,Month_End!$B:$B,A313)</f>
        <v/>
      </c>
      <c r="D313" s="11">
        <f>SUMIFS(Transactions_PAC!$H:$H,Transactions_PAC!$B:$B,B313,Transactions_PAC!$C:$C,A313)</f>
        <v/>
      </c>
      <c r="E313" s="11">
        <f>SUMIFS(Transactions_Manual!$E:$E,Transactions_Manual!$B:$B,B313,Transactions_Manual!$C:$C,A313)</f>
        <v/>
      </c>
      <c r="F313" s="11">
        <f>D313+E313</f>
        <v/>
      </c>
      <c r="G313" s="11">
        <f>C312</f>
        <v/>
      </c>
      <c r="H313" s="11">
        <f>IF(OR(G313="",A313="Savings"),"",C313-G313-F313)</f>
        <v/>
      </c>
      <c r="I313" s="45">
        <f>IF(OR(H313="",G313=0), "", H313/G313)</f>
        <v/>
      </c>
    </row>
    <row r="314">
      <c r="A314" s="5" t="inlineStr">
        <is>
          <t>Savings</t>
        </is>
      </c>
      <c r="B314" s="28" t="n">
        <v>45931</v>
      </c>
      <c r="C314" s="11">
        <f>SUMIFS(Month_End!$D:$D,Month_End!$A:$A,B314,Month_End!$B:$B,A314)</f>
        <v/>
      </c>
      <c r="D314" s="11">
        <f>SUMIFS(Transactions_PAC!$H:$H,Transactions_PAC!$B:$B,B314,Transactions_PAC!$C:$C,A314)</f>
        <v/>
      </c>
      <c r="E314" s="11">
        <f>SUMIFS(Transactions_Manual!$E:$E,Transactions_Manual!$B:$B,B314,Transactions_Manual!$C:$C,A314)</f>
        <v/>
      </c>
      <c r="F314" s="11">
        <f>D314+E314</f>
        <v/>
      </c>
      <c r="G314" s="11" t="inlineStr"/>
      <c r="H314" s="11">
        <f>IF(OR(G314="",A314="Savings"),"",C314-G314-F314)</f>
        <v/>
      </c>
      <c r="I314" s="45">
        <f>IF(OR(H314="",G314=0), "", H314/G314)</f>
        <v/>
      </c>
    </row>
    <row r="315">
      <c r="A315" s="5" t="inlineStr">
        <is>
          <t>Savings</t>
        </is>
      </c>
      <c r="B315" s="28" t="n">
        <v>45962</v>
      </c>
      <c r="C315" s="11">
        <f>SUMIFS(Month_End!$D:$D,Month_End!$A:$A,B315,Month_End!$B:$B,A315)</f>
        <v/>
      </c>
      <c r="D315" s="11">
        <f>SUMIFS(Transactions_PAC!$H:$H,Transactions_PAC!$B:$B,B315,Transactions_PAC!$C:$C,A315)</f>
        <v/>
      </c>
      <c r="E315" s="11">
        <f>SUMIFS(Transactions_Manual!$E:$E,Transactions_Manual!$B:$B,B315,Transactions_Manual!$C:$C,A315)</f>
        <v/>
      </c>
      <c r="F315" s="11">
        <f>D315+E315</f>
        <v/>
      </c>
      <c r="G315" s="11">
        <f>C314</f>
        <v/>
      </c>
      <c r="H315" s="11">
        <f>IF(OR(G315="",A315="Savings"),"",C315-G315-F315)</f>
        <v/>
      </c>
      <c r="I315" s="45">
        <f>IF(OR(H315="",G315=0), "", H315/G315)</f>
        <v/>
      </c>
    </row>
    <row r="316">
      <c r="A316" s="5" t="inlineStr">
        <is>
          <t>Savings</t>
        </is>
      </c>
      <c r="B316" s="28" t="n">
        <v>45992</v>
      </c>
      <c r="C316" s="11">
        <f>SUMIFS(Month_End!$D:$D,Month_End!$A:$A,B316,Month_End!$B:$B,A316)</f>
        <v/>
      </c>
      <c r="D316" s="11">
        <f>SUMIFS(Transactions_PAC!$H:$H,Transactions_PAC!$B:$B,B316,Transactions_PAC!$C:$C,A316)</f>
        <v/>
      </c>
      <c r="E316" s="11">
        <f>SUMIFS(Transactions_Manual!$E:$E,Transactions_Manual!$B:$B,B316,Transactions_Manual!$C:$C,A316)</f>
        <v/>
      </c>
      <c r="F316" s="11">
        <f>D316+E316</f>
        <v/>
      </c>
      <c r="G316" s="11">
        <f>C315</f>
        <v/>
      </c>
      <c r="H316" s="11">
        <f>IF(OR(G316="",A316="Savings"),"",C316-G316-F316)</f>
        <v/>
      </c>
      <c r="I316" s="45">
        <f>IF(OR(H316="",G316=0), "", H316/G316)</f>
        <v/>
      </c>
    </row>
    <row r="317">
      <c r="A317" s="5" t="inlineStr">
        <is>
          <t>Savings</t>
        </is>
      </c>
      <c r="B317" s="28" t="n">
        <v>46023</v>
      </c>
      <c r="C317" s="11">
        <f>SUMIFS(Month_End!$D:$D,Month_End!$A:$A,B317,Month_End!$B:$B,A317)</f>
        <v/>
      </c>
      <c r="D317" s="11">
        <f>SUMIFS(Transactions_PAC!$H:$H,Transactions_PAC!$B:$B,B317,Transactions_PAC!$C:$C,A317)</f>
        <v/>
      </c>
      <c r="E317" s="11">
        <f>SUMIFS(Transactions_Manual!$E:$E,Transactions_Manual!$B:$B,B317,Transactions_Manual!$C:$C,A317)</f>
        <v/>
      </c>
      <c r="F317" s="11">
        <f>D317+E317</f>
        <v/>
      </c>
      <c r="G317" s="11">
        <f>C316</f>
        <v/>
      </c>
      <c r="H317" s="11">
        <f>IF(OR(G317="",A317="Savings"),"",C317-G317-F317)</f>
        <v/>
      </c>
      <c r="I317" s="45">
        <f>IF(OR(H317="",G317=0), "", H317/G317)</f>
        <v/>
      </c>
    </row>
    <row r="318">
      <c r="A318" s="5" t="inlineStr">
        <is>
          <t>Savings</t>
        </is>
      </c>
      <c r="B318" s="28" t="n">
        <v>46054</v>
      </c>
      <c r="C318" s="11">
        <f>SUMIFS(Month_End!$D:$D,Month_End!$A:$A,B318,Month_End!$B:$B,A318)</f>
        <v/>
      </c>
      <c r="D318" s="11">
        <f>SUMIFS(Transactions_PAC!$H:$H,Transactions_PAC!$B:$B,B318,Transactions_PAC!$C:$C,A318)</f>
        <v/>
      </c>
      <c r="E318" s="11">
        <f>SUMIFS(Transactions_Manual!$E:$E,Transactions_Manual!$B:$B,B318,Transactions_Manual!$C:$C,A318)</f>
        <v/>
      </c>
      <c r="F318" s="11">
        <f>D318+E318</f>
        <v/>
      </c>
      <c r="G318" s="11">
        <f>C317</f>
        <v/>
      </c>
      <c r="H318" s="11">
        <f>IF(OR(G318="",A318="Savings"),"",C318-G318-F318)</f>
        <v/>
      </c>
      <c r="I318" s="45">
        <f>IF(OR(H318="",G318=0), "", H318/G318)</f>
        <v/>
      </c>
    </row>
    <row r="319">
      <c r="A319" s="5" t="inlineStr">
        <is>
          <t>Savings</t>
        </is>
      </c>
      <c r="B319" s="28" t="n">
        <v>46082</v>
      </c>
      <c r="C319" s="11">
        <f>SUMIFS(Month_End!$D:$D,Month_End!$A:$A,B319,Month_End!$B:$B,A319)</f>
        <v/>
      </c>
      <c r="D319" s="11">
        <f>SUMIFS(Transactions_PAC!$H:$H,Transactions_PAC!$B:$B,B319,Transactions_PAC!$C:$C,A319)</f>
        <v/>
      </c>
      <c r="E319" s="11">
        <f>SUMIFS(Transactions_Manual!$E:$E,Transactions_Manual!$B:$B,B319,Transactions_Manual!$C:$C,A319)</f>
        <v/>
      </c>
      <c r="F319" s="11">
        <f>D319+E319</f>
        <v/>
      </c>
      <c r="G319" s="11">
        <f>C318</f>
        <v/>
      </c>
      <c r="H319" s="11">
        <f>IF(OR(G319="",A319="Savings"),"",C319-G319-F319)</f>
        <v/>
      </c>
      <c r="I319" s="45">
        <f>IF(OR(H319="",G319=0), "", H319/G319)</f>
        <v/>
      </c>
    </row>
    <row r="320">
      <c r="A320" s="5" t="inlineStr">
        <is>
          <t>Savings</t>
        </is>
      </c>
      <c r="B320" s="28" t="n">
        <v>46113</v>
      </c>
      <c r="C320" s="11">
        <f>SUMIFS(Month_End!$D:$D,Month_End!$A:$A,B320,Month_End!$B:$B,A320)</f>
        <v/>
      </c>
      <c r="D320" s="11">
        <f>SUMIFS(Transactions_PAC!$H:$H,Transactions_PAC!$B:$B,B320,Transactions_PAC!$C:$C,A320)</f>
        <v/>
      </c>
      <c r="E320" s="11">
        <f>SUMIFS(Transactions_Manual!$E:$E,Transactions_Manual!$B:$B,B320,Transactions_Manual!$C:$C,A320)</f>
        <v/>
      </c>
      <c r="F320" s="11">
        <f>D320+E320</f>
        <v/>
      </c>
      <c r="G320" s="11">
        <f>C319</f>
        <v/>
      </c>
      <c r="H320" s="11">
        <f>IF(OR(G320="",A320="Savings"),"",C320-G320-F320)</f>
        <v/>
      </c>
      <c r="I320" s="45">
        <f>IF(OR(H320="",G320=0), "", H320/G320)</f>
        <v/>
      </c>
    </row>
    <row r="321">
      <c r="A321" s="5" t="inlineStr">
        <is>
          <t>Savings</t>
        </is>
      </c>
      <c r="B321" s="28" t="n">
        <v>46143</v>
      </c>
      <c r="C321" s="11">
        <f>SUMIFS(Month_End!$D:$D,Month_End!$A:$A,B321,Month_End!$B:$B,A321)</f>
        <v/>
      </c>
      <c r="D321" s="11">
        <f>SUMIFS(Transactions_PAC!$H:$H,Transactions_PAC!$B:$B,B321,Transactions_PAC!$C:$C,A321)</f>
        <v/>
      </c>
      <c r="E321" s="11">
        <f>SUMIFS(Transactions_Manual!$E:$E,Transactions_Manual!$B:$B,B321,Transactions_Manual!$C:$C,A321)</f>
        <v/>
      </c>
      <c r="F321" s="11">
        <f>D321+E321</f>
        <v/>
      </c>
      <c r="G321" s="11">
        <f>C320</f>
        <v/>
      </c>
      <c r="H321" s="11">
        <f>IF(OR(G321="",A321="Savings"),"",C321-G321-F321)</f>
        <v/>
      </c>
      <c r="I321" s="45">
        <f>IF(OR(H321="",G321=0), "", H321/G321)</f>
        <v/>
      </c>
    </row>
    <row r="322">
      <c r="A322" s="5" t="inlineStr">
        <is>
          <t>Savings</t>
        </is>
      </c>
      <c r="B322" s="28" t="n">
        <v>46174</v>
      </c>
      <c r="C322" s="11">
        <f>SUMIFS(Month_End!$D:$D,Month_End!$A:$A,B322,Month_End!$B:$B,A322)</f>
        <v/>
      </c>
      <c r="D322" s="11">
        <f>SUMIFS(Transactions_PAC!$H:$H,Transactions_PAC!$B:$B,B322,Transactions_PAC!$C:$C,A322)</f>
        <v/>
      </c>
      <c r="E322" s="11">
        <f>SUMIFS(Transactions_Manual!$E:$E,Transactions_Manual!$B:$B,B322,Transactions_Manual!$C:$C,A322)</f>
        <v/>
      </c>
      <c r="F322" s="11">
        <f>D322+E322</f>
        <v/>
      </c>
      <c r="G322" s="11">
        <f>C321</f>
        <v/>
      </c>
      <c r="H322" s="11">
        <f>IF(OR(G322="",A322="Savings"),"",C322-G322-F322)</f>
        <v/>
      </c>
      <c r="I322" s="45">
        <f>IF(OR(H322="",G322=0), "", H322/G322)</f>
        <v/>
      </c>
    </row>
    <row r="323">
      <c r="A323" s="5" t="inlineStr">
        <is>
          <t>Savings</t>
        </is>
      </c>
      <c r="B323" s="28" t="n">
        <v>46204</v>
      </c>
      <c r="C323" s="11">
        <f>SUMIFS(Month_End!$D:$D,Month_End!$A:$A,B323,Month_End!$B:$B,A323)</f>
        <v/>
      </c>
      <c r="D323" s="11">
        <f>SUMIFS(Transactions_PAC!$H:$H,Transactions_PAC!$B:$B,B323,Transactions_PAC!$C:$C,A323)</f>
        <v/>
      </c>
      <c r="E323" s="11">
        <f>SUMIFS(Transactions_Manual!$E:$E,Transactions_Manual!$B:$B,B323,Transactions_Manual!$C:$C,A323)</f>
        <v/>
      </c>
      <c r="F323" s="11">
        <f>D323+E323</f>
        <v/>
      </c>
      <c r="G323" s="11">
        <f>C322</f>
        <v/>
      </c>
      <c r="H323" s="11">
        <f>IF(OR(G323="",A323="Savings"),"",C323-G323-F323)</f>
        <v/>
      </c>
      <c r="I323" s="45">
        <f>IF(OR(H323="",G323=0), "", H323/G323)</f>
        <v/>
      </c>
    </row>
    <row r="324">
      <c r="A324" s="5" t="inlineStr">
        <is>
          <t>Savings</t>
        </is>
      </c>
      <c r="B324" s="28" t="n">
        <v>46235</v>
      </c>
      <c r="C324" s="11">
        <f>SUMIFS(Month_End!$D:$D,Month_End!$A:$A,B324,Month_End!$B:$B,A324)</f>
        <v/>
      </c>
      <c r="D324" s="11">
        <f>SUMIFS(Transactions_PAC!$H:$H,Transactions_PAC!$B:$B,B324,Transactions_PAC!$C:$C,A324)</f>
        <v/>
      </c>
      <c r="E324" s="11">
        <f>SUMIFS(Transactions_Manual!$E:$E,Transactions_Manual!$B:$B,B324,Transactions_Manual!$C:$C,A324)</f>
        <v/>
      </c>
      <c r="F324" s="11">
        <f>D324+E324</f>
        <v/>
      </c>
      <c r="G324" s="11">
        <f>C323</f>
        <v/>
      </c>
      <c r="H324" s="11">
        <f>IF(OR(G324="",A324="Savings"),"",C324-G324-F324)</f>
        <v/>
      </c>
      <c r="I324" s="45">
        <f>IF(OR(H324="",G324=0), "", H324/G324)</f>
        <v/>
      </c>
    </row>
    <row r="325">
      <c r="A325" s="5" t="inlineStr">
        <is>
          <t>Savings</t>
        </is>
      </c>
      <c r="B325" s="28" t="n">
        <v>46266</v>
      </c>
      <c r="C325" s="11">
        <f>SUMIFS(Month_End!$D:$D,Month_End!$A:$A,B325,Month_End!$B:$B,A325)</f>
        <v/>
      </c>
      <c r="D325" s="11">
        <f>SUMIFS(Transactions_PAC!$H:$H,Transactions_PAC!$B:$B,B325,Transactions_PAC!$C:$C,A325)</f>
        <v/>
      </c>
      <c r="E325" s="11">
        <f>SUMIFS(Transactions_Manual!$E:$E,Transactions_Manual!$B:$B,B325,Transactions_Manual!$C:$C,A325)</f>
        <v/>
      </c>
      <c r="F325" s="11">
        <f>D325+E325</f>
        <v/>
      </c>
      <c r="G325" s="11">
        <f>C324</f>
        <v/>
      </c>
      <c r="H325" s="11">
        <f>IF(OR(G325="",A325="Savings"),"",C325-G325-F325)</f>
        <v/>
      </c>
      <c r="I325" s="45">
        <f>IF(OR(H325="",G325=0), "", H325/G325)</f>
        <v/>
      </c>
    </row>
    <row r="326">
      <c r="A326" s="5" t="inlineStr">
        <is>
          <t>Savings</t>
        </is>
      </c>
      <c r="B326" s="28" t="n">
        <v>46296</v>
      </c>
      <c r="C326" s="11">
        <f>SUMIFS(Month_End!$D:$D,Month_End!$A:$A,B326,Month_End!$B:$B,A326)</f>
        <v/>
      </c>
      <c r="D326" s="11">
        <f>SUMIFS(Transactions_PAC!$H:$H,Transactions_PAC!$B:$B,B326,Transactions_PAC!$C:$C,A326)</f>
        <v/>
      </c>
      <c r="E326" s="11">
        <f>SUMIFS(Transactions_Manual!$E:$E,Transactions_Manual!$B:$B,B326,Transactions_Manual!$C:$C,A326)</f>
        <v/>
      </c>
      <c r="F326" s="11">
        <f>D326+E326</f>
        <v/>
      </c>
      <c r="G326" s="11">
        <f>C325</f>
        <v/>
      </c>
      <c r="H326" s="11">
        <f>IF(OR(G326="",A326="Savings"),"",C326-G326-F326)</f>
        <v/>
      </c>
      <c r="I326" s="45">
        <f>IF(OR(H326="",G326=0), "", H326/G326)</f>
        <v/>
      </c>
    </row>
    <row r="327">
      <c r="A327" s="5" t="inlineStr">
        <is>
          <t>Savings</t>
        </is>
      </c>
      <c r="B327" s="28" t="n">
        <v>46327</v>
      </c>
      <c r="C327" s="11">
        <f>SUMIFS(Month_End!$D:$D,Month_End!$A:$A,B327,Month_End!$B:$B,A327)</f>
        <v/>
      </c>
      <c r="D327" s="11">
        <f>SUMIFS(Transactions_PAC!$H:$H,Transactions_PAC!$B:$B,B327,Transactions_PAC!$C:$C,A327)</f>
        <v/>
      </c>
      <c r="E327" s="11">
        <f>SUMIFS(Transactions_Manual!$E:$E,Transactions_Manual!$B:$B,B327,Transactions_Manual!$C:$C,A327)</f>
        <v/>
      </c>
      <c r="F327" s="11">
        <f>D327+E327</f>
        <v/>
      </c>
      <c r="G327" s="11">
        <f>C326</f>
        <v/>
      </c>
      <c r="H327" s="11">
        <f>IF(OR(G327="",A327="Savings"),"",C327-G327-F327)</f>
        <v/>
      </c>
      <c r="I327" s="45">
        <f>IF(OR(H327="",G327=0), "", H327/G327)</f>
        <v/>
      </c>
    </row>
    <row r="328">
      <c r="A328" s="5" t="inlineStr">
        <is>
          <t>Savings</t>
        </is>
      </c>
      <c r="B328" s="28" t="n">
        <v>46357</v>
      </c>
      <c r="C328" s="11">
        <f>SUMIFS(Month_End!$D:$D,Month_End!$A:$A,B328,Month_End!$B:$B,A328)</f>
        <v/>
      </c>
      <c r="D328" s="11">
        <f>SUMIFS(Transactions_PAC!$H:$H,Transactions_PAC!$B:$B,B328,Transactions_PAC!$C:$C,A328)</f>
        <v/>
      </c>
      <c r="E328" s="11">
        <f>SUMIFS(Transactions_Manual!$E:$E,Transactions_Manual!$B:$B,B328,Transactions_Manual!$C:$C,A328)</f>
        <v/>
      </c>
      <c r="F328" s="11">
        <f>D328+E328</f>
        <v/>
      </c>
      <c r="G328" s="11">
        <f>C327</f>
        <v/>
      </c>
      <c r="H328" s="11">
        <f>IF(OR(G328="",A328="Savings"),"",C328-G328-F328)</f>
        <v/>
      </c>
      <c r="I328" s="45">
        <f>IF(OR(H328="",G328=0), "", H328/G328)</f>
        <v/>
      </c>
    </row>
    <row r="329">
      <c r="A329" s="5" t="inlineStr">
        <is>
          <t>Savings</t>
        </is>
      </c>
      <c r="B329" s="28" t="n">
        <v>46388</v>
      </c>
      <c r="C329" s="11">
        <f>SUMIFS(Month_End!$D:$D,Month_End!$A:$A,B329,Month_End!$B:$B,A329)</f>
        <v/>
      </c>
      <c r="D329" s="11">
        <f>SUMIFS(Transactions_PAC!$H:$H,Transactions_PAC!$B:$B,B329,Transactions_PAC!$C:$C,A329)</f>
        <v/>
      </c>
      <c r="E329" s="11">
        <f>SUMIFS(Transactions_Manual!$E:$E,Transactions_Manual!$B:$B,B329,Transactions_Manual!$C:$C,A329)</f>
        <v/>
      </c>
      <c r="F329" s="11">
        <f>D329+E329</f>
        <v/>
      </c>
      <c r="G329" s="11">
        <f>C328</f>
        <v/>
      </c>
      <c r="H329" s="11">
        <f>IF(OR(G329="",A329="Savings"),"",C329-G329-F329)</f>
        <v/>
      </c>
      <c r="I329" s="45">
        <f>IF(OR(H329="",G329=0), "", H329/G329)</f>
        <v/>
      </c>
    </row>
    <row r="330">
      <c r="A330" s="5" t="inlineStr">
        <is>
          <t>Savings</t>
        </is>
      </c>
      <c r="B330" s="28" t="n">
        <v>46419</v>
      </c>
      <c r="C330" s="11">
        <f>SUMIFS(Month_End!$D:$D,Month_End!$A:$A,B330,Month_End!$B:$B,A330)</f>
        <v/>
      </c>
      <c r="D330" s="11">
        <f>SUMIFS(Transactions_PAC!$H:$H,Transactions_PAC!$B:$B,B330,Transactions_PAC!$C:$C,A330)</f>
        <v/>
      </c>
      <c r="E330" s="11">
        <f>SUMIFS(Transactions_Manual!$E:$E,Transactions_Manual!$B:$B,B330,Transactions_Manual!$C:$C,A330)</f>
        <v/>
      </c>
      <c r="F330" s="11">
        <f>D330+E330</f>
        <v/>
      </c>
      <c r="G330" s="11">
        <f>C329</f>
        <v/>
      </c>
      <c r="H330" s="11">
        <f>IF(OR(G330="",A330="Savings"),"",C330-G330-F330)</f>
        <v/>
      </c>
      <c r="I330" s="45">
        <f>IF(OR(H330="",G330=0), "", H330/G330)</f>
        <v/>
      </c>
    </row>
    <row r="331">
      <c r="A331" s="5" t="inlineStr">
        <is>
          <t>Savings</t>
        </is>
      </c>
      <c r="B331" s="28" t="n">
        <v>46447</v>
      </c>
      <c r="C331" s="11">
        <f>SUMIFS(Month_End!$D:$D,Month_End!$A:$A,B331,Month_End!$B:$B,A331)</f>
        <v/>
      </c>
      <c r="D331" s="11">
        <f>SUMIFS(Transactions_PAC!$H:$H,Transactions_PAC!$B:$B,B331,Transactions_PAC!$C:$C,A331)</f>
        <v/>
      </c>
      <c r="E331" s="11">
        <f>SUMIFS(Transactions_Manual!$E:$E,Transactions_Manual!$B:$B,B331,Transactions_Manual!$C:$C,A331)</f>
        <v/>
      </c>
      <c r="F331" s="11">
        <f>D331+E331</f>
        <v/>
      </c>
      <c r="G331" s="11">
        <f>C330</f>
        <v/>
      </c>
      <c r="H331" s="11">
        <f>IF(OR(G331="",A331="Savings"),"",C331-G331-F331)</f>
        <v/>
      </c>
      <c r="I331" s="45">
        <f>IF(OR(H331="",G331=0), "", H331/G331)</f>
        <v/>
      </c>
    </row>
    <row r="332">
      <c r="A332" s="5" t="inlineStr">
        <is>
          <t>Savings</t>
        </is>
      </c>
      <c r="B332" s="28" t="n">
        <v>46478</v>
      </c>
      <c r="C332" s="11">
        <f>SUMIFS(Month_End!$D:$D,Month_End!$A:$A,B332,Month_End!$B:$B,A332)</f>
        <v/>
      </c>
      <c r="D332" s="11">
        <f>SUMIFS(Transactions_PAC!$H:$H,Transactions_PAC!$B:$B,B332,Transactions_PAC!$C:$C,A332)</f>
        <v/>
      </c>
      <c r="E332" s="11">
        <f>SUMIFS(Transactions_Manual!$E:$E,Transactions_Manual!$B:$B,B332,Transactions_Manual!$C:$C,A332)</f>
        <v/>
      </c>
      <c r="F332" s="11">
        <f>D332+E332</f>
        <v/>
      </c>
      <c r="G332" s="11">
        <f>C331</f>
        <v/>
      </c>
      <c r="H332" s="11">
        <f>IF(OR(G332="",A332="Savings"),"",C332-G332-F332)</f>
        <v/>
      </c>
      <c r="I332" s="45">
        <f>IF(OR(H332="",G332=0), "", H332/G332)</f>
        <v/>
      </c>
    </row>
    <row r="333">
      <c r="A333" s="5" t="inlineStr">
        <is>
          <t>Savings</t>
        </is>
      </c>
      <c r="B333" s="28" t="n">
        <v>46508</v>
      </c>
      <c r="C333" s="11">
        <f>SUMIFS(Month_End!$D:$D,Month_End!$A:$A,B333,Month_End!$B:$B,A333)</f>
        <v/>
      </c>
      <c r="D333" s="11">
        <f>SUMIFS(Transactions_PAC!$H:$H,Transactions_PAC!$B:$B,B333,Transactions_PAC!$C:$C,A333)</f>
        <v/>
      </c>
      <c r="E333" s="11">
        <f>SUMIFS(Transactions_Manual!$E:$E,Transactions_Manual!$B:$B,B333,Transactions_Manual!$C:$C,A333)</f>
        <v/>
      </c>
      <c r="F333" s="11">
        <f>D333+E333</f>
        <v/>
      </c>
      <c r="G333" s="11">
        <f>C332</f>
        <v/>
      </c>
      <c r="H333" s="11">
        <f>IF(OR(G333="",A333="Savings"),"",C333-G333-F333)</f>
        <v/>
      </c>
      <c r="I333" s="45">
        <f>IF(OR(H333="",G333=0), "", H333/G333)</f>
        <v/>
      </c>
    </row>
    <row r="334">
      <c r="A334" s="5" t="inlineStr">
        <is>
          <t>Savings</t>
        </is>
      </c>
      <c r="B334" s="28" t="n">
        <v>46539</v>
      </c>
      <c r="C334" s="11">
        <f>SUMIFS(Month_End!$D:$D,Month_End!$A:$A,B334,Month_End!$B:$B,A334)</f>
        <v/>
      </c>
      <c r="D334" s="11">
        <f>SUMIFS(Transactions_PAC!$H:$H,Transactions_PAC!$B:$B,B334,Transactions_PAC!$C:$C,A334)</f>
        <v/>
      </c>
      <c r="E334" s="11">
        <f>SUMIFS(Transactions_Manual!$E:$E,Transactions_Manual!$B:$B,B334,Transactions_Manual!$C:$C,A334)</f>
        <v/>
      </c>
      <c r="F334" s="11">
        <f>D334+E334</f>
        <v/>
      </c>
      <c r="G334" s="11">
        <f>C333</f>
        <v/>
      </c>
      <c r="H334" s="11">
        <f>IF(OR(G334="",A334="Savings"),"",C334-G334-F334)</f>
        <v/>
      </c>
      <c r="I334" s="45">
        <f>IF(OR(H334="",G334=0), "", H334/G334)</f>
        <v/>
      </c>
    </row>
    <row r="335">
      <c r="A335" s="5" t="inlineStr">
        <is>
          <t>Savings</t>
        </is>
      </c>
      <c r="B335" s="28" t="n">
        <v>46569</v>
      </c>
      <c r="C335" s="11">
        <f>SUMIFS(Month_End!$D:$D,Month_End!$A:$A,B335,Month_End!$B:$B,A335)</f>
        <v/>
      </c>
      <c r="D335" s="11">
        <f>SUMIFS(Transactions_PAC!$H:$H,Transactions_PAC!$B:$B,B335,Transactions_PAC!$C:$C,A335)</f>
        <v/>
      </c>
      <c r="E335" s="11">
        <f>SUMIFS(Transactions_Manual!$E:$E,Transactions_Manual!$B:$B,B335,Transactions_Manual!$C:$C,A335)</f>
        <v/>
      </c>
      <c r="F335" s="11">
        <f>D335+E335</f>
        <v/>
      </c>
      <c r="G335" s="11">
        <f>C334</f>
        <v/>
      </c>
      <c r="H335" s="11">
        <f>IF(OR(G335="",A335="Savings"),"",C335-G335-F335)</f>
        <v/>
      </c>
      <c r="I335" s="45">
        <f>IF(OR(H335="",G335=0), "", H335/G335)</f>
        <v/>
      </c>
    </row>
    <row r="336">
      <c r="A336" s="5" t="inlineStr">
        <is>
          <t>Savings</t>
        </is>
      </c>
      <c r="B336" s="28" t="n">
        <v>46600</v>
      </c>
      <c r="C336" s="11">
        <f>SUMIFS(Month_End!$D:$D,Month_End!$A:$A,B336,Month_End!$B:$B,A336)</f>
        <v/>
      </c>
      <c r="D336" s="11">
        <f>SUMIFS(Transactions_PAC!$H:$H,Transactions_PAC!$B:$B,B336,Transactions_PAC!$C:$C,A336)</f>
        <v/>
      </c>
      <c r="E336" s="11">
        <f>SUMIFS(Transactions_Manual!$E:$E,Transactions_Manual!$B:$B,B336,Transactions_Manual!$C:$C,A336)</f>
        <v/>
      </c>
      <c r="F336" s="11">
        <f>D336+E336</f>
        <v/>
      </c>
      <c r="G336" s="11">
        <f>C335</f>
        <v/>
      </c>
      <c r="H336" s="11">
        <f>IF(OR(G336="",A336="Savings"),"",C336-G336-F336)</f>
        <v/>
      </c>
      <c r="I336" s="45">
        <f>IF(OR(H336="",G336=0), "", H336/G336)</f>
        <v/>
      </c>
    </row>
    <row r="337">
      <c r="A337" s="5" t="inlineStr">
        <is>
          <t>Savings</t>
        </is>
      </c>
      <c r="B337" s="28" t="n">
        <v>46631</v>
      </c>
      <c r="C337" s="11">
        <f>SUMIFS(Month_End!$D:$D,Month_End!$A:$A,B337,Month_End!$B:$B,A337)</f>
        <v/>
      </c>
      <c r="D337" s="11">
        <f>SUMIFS(Transactions_PAC!$H:$H,Transactions_PAC!$B:$B,B337,Transactions_PAC!$C:$C,A337)</f>
        <v/>
      </c>
      <c r="E337" s="11">
        <f>SUMIFS(Transactions_Manual!$E:$E,Transactions_Manual!$B:$B,B337,Transactions_Manual!$C:$C,A337)</f>
        <v/>
      </c>
      <c r="F337" s="11">
        <f>D337+E337</f>
        <v/>
      </c>
      <c r="G337" s="11">
        <f>C336</f>
        <v/>
      </c>
      <c r="H337" s="11">
        <f>IF(OR(G337="",A337="Savings"),"",C337-G337-F337)</f>
        <v/>
      </c>
      <c r="I337" s="45">
        <f>IF(OR(H337="",G337=0), "", H337/G337)</f>
        <v/>
      </c>
    </row>
    <row r="338">
      <c r="A338" s="5" t="inlineStr">
        <is>
          <t>Savings</t>
        </is>
      </c>
      <c r="B338" s="28" t="n">
        <v>46661</v>
      </c>
      <c r="C338" s="11">
        <f>SUMIFS(Month_End!$D:$D,Month_End!$A:$A,B338,Month_End!$B:$B,A338)</f>
        <v/>
      </c>
      <c r="D338" s="11">
        <f>SUMIFS(Transactions_PAC!$H:$H,Transactions_PAC!$B:$B,B338,Transactions_PAC!$C:$C,A338)</f>
        <v/>
      </c>
      <c r="E338" s="11">
        <f>SUMIFS(Transactions_Manual!$E:$E,Transactions_Manual!$B:$B,B338,Transactions_Manual!$C:$C,A338)</f>
        <v/>
      </c>
      <c r="F338" s="11">
        <f>D338+E338</f>
        <v/>
      </c>
      <c r="G338" s="11">
        <f>C337</f>
        <v/>
      </c>
      <c r="H338" s="11">
        <f>IF(OR(G338="",A338="Savings"),"",C338-G338-F338)</f>
        <v/>
      </c>
      <c r="I338" s="45">
        <f>IF(OR(H338="",G338=0), "", H338/G338)</f>
        <v/>
      </c>
    </row>
    <row r="339">
      <c r="A339" s="5" t="inlineStr">
        <is>
          <t>Savings</t>
        </is>
      </c>
      <c r="B339" s="28" t="n">
        <v>46692</v>
      </c>
      <c r="C339" s="11">
        <f>SUMIFS(Month_End!$D:$D,Month_End!$A:$A,B339,Month_End!$B:$B,A339)</f>
        <v/>
      </c>
      <c r="D339" s="11">
        <f>SUMIFS(Transactions_PAC!$H:$H,Transactions_PAC!$B:$B,B339,Transactions_PAC!$C:$C,A339)</f>
        <v/>
      </c>
      <c r="E339" s="11">
        <f>SUMIFS(Transactions_Manual!$E:$E,Transactions_Manual!$B:$B,B339,Transactions_Manual!$C:$C,A339)</f>
        <v/>
      </c>
      <c r="F339" s="11">
        <f>D339+E339</f>
        <v/>
      </c>
      <c r="G339" s="11">
        <f>C338</f>
        <v/>
      </c>
      <c r="H339" s="11">
        <f>IF(OR(G339="",A339="Savings"),"",C339-G339-F339)</f>
        <v/>
      </c>
      <c r="I339" s="45">
        <f>IF(OR(H339="",G339=0), "", H339/G339)</f>
        <v/>
      </c>
    </row>
    <row r="340">
      <c r="A340" s="5" t="inlineStr">
        <is>
          <t>Savings</t>
        </is>
      </c>
      <c r="B340" s="28" t="n">
        <v>46722</v>
      </c>
      <c r="C340" s="11">
        <f>SUMIFS(Month_End!$D:$D,Month_End!$A:$A,B340,Month_End!$B:$B,A340)</f>
        <v/>
      </c>
      <c r="D340" s="11">
        <f>SUMIFS(Transactions_PAC!$H:$H,Transactions_PAC!$B:$B,B340,Transactions_PAC!$C:$C,A340)</f>
        <v/>
      </c>
      <c r="E340" s="11">
        <f>SUMIFS(Transactions_Manual!$E:$E,Transactions_Manual!$B:$B,B340,Transactions_Manual!$C:$C,A340)</f>
        <v/>
      </c>
      <c r="F340" s="11">
        <f>D340+E340</f>
        <v/>
      </c>
      <c r="G340" s="11">
        <f>C339</f>
        <v/>
      </c>
      <c r="H340" s="11">
        <f>IF(OR(G340="",A340="Savings"),"",C340-G340-F340)</f>
        <v/>
      </c>
      <c r="I340" s="45">
        <f>IF(OR(H340="",G340=0), "", H340/G340)</f>
        <v/>
      </c>
    </row>
    <row r="341">
      <c r="A341" s="5" t="inlineStr">
        <is>
          <t>Savings</t>
        </is>
      </c>
      <c r="B341" s="28" t="n">
        <v>46753</v>
      </c>
      <c r="C341" s="11">
        <f>SUMIFS(Month_End!$D:$D,Month_End!$A:$A,B341,Month_End!$B:$B,A341)</f>
        <v/>
      </c>
      <c r="D341" s="11">
        <f>SUMIFS(Transactions_PAC!$H:$H,Transactions_PAC!$B:$B,B341,Transactions_PAC!$C:$C,A341)</f>
        <v/>
      </c>
      <c r="E341" s="11">
        <f>SUMIFS(Transactions_Manual!$E:$E,Transactions_Manual!$B:$B,B341,Transactions_Manual!$C:$C,A341)</f>
        <v/>
      </c>
      <c r="F341" s="11">
        <f>D341+E341</f>
        <v/>
      </c>
      <c r="G341" s="11">
        <f>C340</f>
        <v/>
      </c>
      <c r="H341" s="11">
        <f>IF(OR(G341="",A341="Savings"),"",C341-G341-F341)</f>
        <v/>
      </c>
      <c r="I341" s="45">
        <f>IF(OR(H341="",G341=0), "", H341/G341)</f>
        <v/>
      </c>
    </row>
    <row r="342">
      <c r="A342" s="5" t="inlineStr">
        <is>
          <t>Savings</t>
        </is>
      </c>
      <c r="B342" s="28" t="n">
        <v>46784</v>
      </c>
      <c r="C342" s="11">
        <f>SUMIFS(Month_End!$D:$D,Month_End!$A:$A,B342,Month_End!$B:$B,A342)</f>
        <v/>
      </c>
      <c r="D342" s="11">
        <f>SUMIFS(Transactions_PAC!$H:$H,Transactions_PAC!$B:$B,B342,Transactions_PAC!$C:$C,A342)</f>
        <v/>
      </c>
      <c r="E342" s="11">
        <f>SUMIFS(Transactions_Manual!$E:$E,Transactions_Manual!$B:$B,B342,Transactions_Manual!$C:$C,A342)</f>
        <v/>
      </c>
      <c r="F342" s="11">
        <f>D342+E342</f>
        <v/>
      </c>
      <c r="G342" s="11">
        <f>C341</f>
        <v/>
      </c>
      <c r="H342" s="11">
        <f>IF(OR(G342="",A342="Savings"),"",C342-G342-F342)</f>
        <v/>
      </c>
      <c r="I342" s="45">
        <f>IF(OR(H342="",G342=0), "", H342/G342)</f>
        <v/>
      </c>
    </row>
    <row r="343">
      <c r="A343" s="5" t="inlineStr">
        <is>
          <t>Savings</t>
        </is>
      </c>
      <c r="B343" s="28" t="n">
        <v>46813</v>
      </c>
      <c r="C343" s="11">
        <f>SUMIFS(Month_End!$D:$D,Month_End!$A:$A,B343,Month_End!$B:$B,A343)</f>
        <v/>
      </c>
      <c r="D343" s="11">
        <f>SUMIFS(Transactions_PAC!$H:$H,Transactions_PAC!$B:$B,B343,Transactions_PAC!$C:$C,A343)</f>
        <v/>
      </c>
      <c r="E343" s="11">
        <f>SUMIFS(Transactions_Manual!$E:$E,Transactions_Manual!$B:$B,B343,Transactions_Manual!$C:$C,A343)</f>
        <v/>
      </c>
      <c r="F343" s="11">
        <f>D343+E343</f>
        <v/>
      </c>
      <c r="G343" s="11">
        <f>C342</f>
        <v/>
      </c>
      <c r="H343" s="11">
        <f>IF(OR(G343="",A343="Savings"),"",C343-G343-F343)</f>
        <v/>
      </c>
      <c r="I343" s="45">
        <f>IF(OR(H343="",G343=0), "", H343/G343)</f>
        <v/>
      </c>
    </row>
    <row r="344">
      <c r="A344" s="5" t="inlineStr">
        <is>
          <t>Savings</t>
        </is>
      </c>
      <c r="B344" s="28" t="n">
        <v>46844</v>
      </c>
      <c r="C344" s="11">
        <f>SUMIFS(Month_End!$D:$D,Month_End!$A:$A,B344,Month_End!$B:$B,A344)</f>
        <v/>
      </c>
      <c r="D344" s="11">
        <f>SUMIFS(Transactions_PAC!$H:$H,Transactions_PAC!$B:$B,B344,Transactions_PAC!$C:$C,A344)</f>
        <v/>
      </c>
      <c r="E344" s="11">
        <f>SUMIFS(Transactions_Manual!$E:$E,Transactions_Manual!$B:$B,B344,Transactions_Manual!$C:$C,A344)</f>
        <v/>
      </c>
      <c r="F344" s="11">
        <f>D344+E344</f>
        <v/>
      </c>
      <c r="G344" s="11">
        <f>C343</f>
        <v/>
      </c>
      <c r="H344" s="11">
        <f>IF(OR(G344="",A344="Savings"),"",C344-G344-F344)</f>
        <v/>
      </c>
      <c r="I344" s="45">
        <f>IF(OR(H344="",G344=0), "", H344/G344)</f>
        <v/>
      </c>
    </row>
    <row r="345">
      <c r="A345" s="5" t="inlineStr">
        <is>
          <t>Savings</t>
        </is>
      </c>
      <c r="B345" s="28" t="n">
        <v>46874</v>
      </c>
      <c r="C345" s="11">
        <f>SUMIFS(Month_End!$D:$D,Month_End!$A:$A,B345,Month_End!$B:$B,A345)</f>
        <v/>
      </c>
      <c r="D345" s="11">
        <f>SUMIFS(Transactions_PAC!$H:$H,Transactions_PAC!$B:$B,B345,Transactions_PAC!$C:$C,A345)</f>
        <v/>
      </c>
      <c r="E345" s="11">
        <f>SUMIFS(Transactions_Manual!$E:$E,Transactions_Manual!$B:$B,B345,Transactions_Manual!$C:$C,A345)</f>
        <v/>
      </c>
      <c r="F345" s="11">
        <f>D345+E345</f>
        <v/>
      </c>
      <c r="G345" s="11">
        <f>C344</f>
        <v/>
      </c>
      <c r="H345" s="11">
        <f>IF(OR(G345="",A345="Savings"),"",C345-G345-F345)</f>
        <v/>
      </c>
      <c r="I345" s="45">
        <f>IF(OR(H345="",G345=0), "", H345/G345)</f>
        <v/>
      </c>
    </row>
    <row r="346">
      <c r="A346" s="5" t="inlineStr">
        <is>
          <t>Savings</t>
        </is>
      </c>
      <c r="B346" s="28" t="n">
        <v>46905</v>
      </c>
      <c r="C346" s="11">
        <f>SUMIFS(Month_End!$D:$D,Month_End!$A:$A,B346,Month_End!$B:$B,A346)</f>
        <v/>
      </c>
      <c r="D346" s="11">
        <f>SUMIFS(Transactions_PAC!$H:$H,Transactions_PAC!$B:$B,B346,Transactions_PAC!$C:$C,A346)</f>
        <v/>
      </c>
      <c r="E346" s="11">
        <f>SUMIFS(Transactions_Manual!$E:$E,Transactions_Manual!$B:$B,B346,Transactions_Manual!$C:$C,A346)</f>
        <v/>
      </c>
      <c r="F346" s="11">
        <f>D346+E346</f>
        <v/>
      </c>
      <c r="G346" s="11">
        <f>C345</f>
        <v/>
      </c>
      <c r="H346" s="11">
        <f>IF(OR(G346="",A346="Savings"),"",C346-G346-F346)</f>
        <v/>
      </c>
      <c r="I346" s="45">
        <f>IF(OR(H346="",G346=0), "", H346/G346)</f>
        <v/>
      </c>
    </row>
    <row r="347">
      <c r="A347" s="5" t="inlineStr">
        <is>
          <t>Savings</t>
        </is>
      </c>
      <c r="B347" s="28" t="n">
        <v>46935</v>
      </c>
      <c r="C347" s="11">
        <f>SUMIFS(Month_End!$D:$D,Month_End!$A:$A,B347,Month_End!$B:$B,A347)</f>
        <v/>
      </c>
      <c r="D347" s="11">
        <f>SUMIFS(Transactions_PAC!$H:$H,Transactions_PAC!$B:$B,B347,Transactions_PAC!$C:$C,A347)</f>
        <v/>
      </c>
      <c r="E347" s="11">
        <f>SUMIFS(Transactions_Manual!$E:$E,Transactions_Manual!$B:$B,B347,Transactions_Manual!$C:$C,A347)</f>
        <v/>
      </c>
      <c r="F347" s="11">
        <f>D347+E347</f>
        <v/>
      </c>
      <c r="G347" s="11">
        <f>C346</f>
        <v/>
      </c>
      <c r="H347" s="11">
        <f>IF(OR(G347="",A347="Savings"),"",C347-G347-F347)</f>
        <v/>
      </c>
      <c r="I347" s="45">
        <f>IF(OR(H347="",G347=0), "", H347/G347)</f>
        <v/>
      </c>
    </row>
    <row r="348">
      <c r="A348" s="5" t="inlineStr">
        <is>
          <t>Savings</t>
        </is>
      </c>
      <c r="B348" s="28" t="n">
        <v>46966</v>
      </c>
      <c r="C348" s="11">
        <f>SUMIFS(Month_End!$D:$D,Month_End!$A:$A,B348,Month_End!$B:$B,A348)</f>
        <v/>
      </c>
      <c r="D348" s="11">
        <f>SUMIFS(Transactions_PAC!$H:$H,Transactions_PAC!$B:$B,B348,Transactions_PAC!$C:$C,A348)</f>
        <v/>
      </c>
      <c r="E348" s="11">
        <f>SUMIFS(Transactions_Manual!$E:$E,Transactions_Manual!$B:$B,B348,Transactions_Manual!$C:$C,A348)</f>
        <v/>
      </c>
      <c r="F348" s="11">
        <f>D348+E348</f>
        <v/>
      </c>
      <c r="G348" s="11">
        <f>C347</f>
        <v/>
      </c>
      <c r="H348" s="11">
        <f>IF(OR(G348="",A348="Savings"),"",C348-G348-F348)</f>
        <v/>
      </c>
      <c r="I348" s="45">
        <f>IF(OR(H348="",G348=0), "", H348/G348)</f>
        <v/>
      </c>
    </row>
    <row r="349">
      <c r="A349" s="5" t="inlineStr">
        <is>
          <t>Savings</t>
        </is>
      </c>
      <c r="B349" s="28" t="n">
        <v>46997</v>
      </c>
      <c r="C349" s="11">
        <f>SUMIFS(Month_End!$D:$D,Month_End!$A:$A,B349,Month_End!$B:$B,A349)</f>
        <v/>
      </c>
      <c r="D349" s="11">
        <f>SUMIFS(Transactions_PAC!$H:$H,Transactions_PAC!$B:$B,B349,Transactions_PAC!$C:$C,A349)</f>
        <v/>
      </c>
      <c r="E349" s="11">
        <f>SUMIFS(Transactions_Manual!$E:$E,Transactions_Manual!$B:$B,B349,Transactions_Manual!$C:$C,A349)</f>
        <v/>
      </c>
      <c r="F349" s="11">
        <f>D349+E349</f>
        <v/>
      </c>
      <c r="G349" s="11">
        <f>C348</f>
        <v/>
      </c>
      <c r="H349" s="11">
        <f>IF(OR(G349="",A349="Savings"),"",C349-G349-F349)</f>
        <v/>
      </c>
      <c r="I349" s="45">
        <f>IF(OR(H349="",G349=0), "", H349/G349)</f>
        <v/>
      </c>
    </row>
    <row r="350">
      <c r="A350" s="5" t="inlineStr">
        <is>
          <t>Savings</t>
        </is>
      </c>
      <c r="B350" s="28" t="n">
        <v>47027</v>
      </c>
      <c r="C350" s="11">
        <f>SUMIFS(Month_End!$D:$D,Month_End!$A:$A,B350,Month_End!$B:$B,A350)</f>
        <v/>
      </c>
      <c r="D350" s="11">
        <f>SUMIFS(Transactions_PAC!$H:$H,Transactions_PAC!$B:$B,B350,Transactions_PAC!$C:$C,A350)</f>
        <v/>
      </c>
      <c r="E350" s="11">
        <f>SUMIFS(Transactions_Manual!$E:$E,Transactions_Manual!$B:$B,B350,Transactions_Manual!$C:$C,A350)</f>
        <v/>
      </c>
      <c r="F350" s="11">
        <f>D350+E350</f>
        <v/>
      </c>
      <c r="G350" s="11">
        <f>C349</f>
        <v/>
      </c>
      <c r="H350" s="11">
        <f>IF(OR(G350="",A350="Savings"),"",C350-G350-F350)</f>
        <v/>
      </c>
      <c r="I350" s="45">
        <f>IF(OR(H350="",G350=0), "", H350/G350)</f>
        <v/>
      </c>
    </row>
    <row r="351">
      <c r="A351" s="5" t="inlineStr">
        <is>
          <t>Savings</t>
        </is>
      </c>
      <c r="B351" s="28" t="n">
        <v>47058</v>
      </c>
      <c r="C351" s="11">
        <f>SUMIFS(Month_End!$D:$D,Month_End!$A:$A,B351,Month_End!$B:$B,A351)</f>
        <v/>
      </c>
      <c r="D351" s="11">
        <f>SUMIFS(Transactions_PAC!$H:$H,Transactions_PAC!$B:$B,B351,Transactions_PAC!$C:$C,A351)</f>
        <v/>
      </c>
      <c r="E351" s="11">
        <f>SUMIFS(Transactions_Manual!$E:$E,Transactions_Manual!$B:$B,B351,Transactions_Manual!$C:$C,A351)</f>
        <v/>
      </c>
      <c r="F351" s="11">
        <f>D351+E351</f>
        <v/>
      </c>
      <c r="G351" s="11">
        <f>C350</f>
        <v/>
      </c>
      <c r="H351" s="11">
        <f>IF(OR(G351="",A351="Savings"),"",C351-G351-F351)</f>
        <v/>
      </c>
      <c r="I351" s="45">
        <f>IF(OR(H351="",G351=0), "", H351/G351)</f>
        <v/>
      </c>
    </row>
    <row r="352">
      <c r="A352" s="5" t="inlineStr">
        <is>
          <t>Savings</t>
        </is>
      </c>
      <c r="B352" s="28" t="n">
        <v>47088</v>
      </c>
      <c r="C352" s="11">
        <f>SUMIFS(Month_End!$D:$D,Month_End!$A:$A,B352,Month_End!$B:$B,A352)</f>
        <v/>
      </c>
      <c r="D352" s="11">
        <f>SUMIFS(Transactions_PAC!$H:$H,Transactions_PAC!$B:$B,B352,Transactions_PAC!$C:$C,A352)</f>
        <v/>
      </c>
      <c r="E352" s="11">
        <f>SUMIFS(Transactions_Manual!$E:$E,Transactions_Manual!$B:$B,B352,Transactions_Manual!$C:$C,A352)</f>
        <v/>
      </c>
      <c r="F352" s="11">
        <f>D352+E352</f>
        <v/>
      </c>
      <c r="G352" s="11">
        <f>C351</f>
        <v/>
      </c>
      <c r="H352" s="11">
        <f>IF(OR(G352="",A352="Savings"),"",C352-G352-F352)</f>
        <v/>
      </c>
      <c r="I352" s="45">
        <f>IF(OR(H352="",G352=0), "", H352/G352)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0" customWidth="1" min="4" max="4"/>
    <col width="18" customWidth="1" min="5" max="5"/>
    <col width="14" customWidth="1" min="6" max="6"/>
    <col width="3" customWidth="1" min="7" max="7"/>
    <col width="10" customWidth="1" min="8" max="8"/>
    <col width="12" customWidth="1" min="9" max="9"/>
    <col hidden="1" width="10" customWidth="1" min="10" max="10"/>
    <col hidden="1" width="14" customWidth="1" min="11" max="11"/>
    <col hidden="1" width="14" customWidth="1" min="12" max="12"/>
    <col hidden="1" width="16" customWidth="1" min="13" max="13"/>
    <col hidden="1" width="14" customWidth="1" min="14" max="14"/>
    <col hidden="1" width="14" customWidth="1" min="15" max="15"/>
  </cols>
  <sheetData>
    <row r="1">
      <c r="A1" s="16" t="inlineStr">
        <is>
          <t>Portfolio Dashboard</t>
        </is>
      </c>
      <c r="J1" s="8" t="inlineStr">
        <is>
          <t>Month</t>
        </is>
      </c>
      <c r="K1" s="8" t="inlineStr">
        <is>
          <t>ETF Total</t>
        </is>
      </c>
      <c r="L1" s="8" t="inlineStr">
        <is>
          <t>Savings</t>
        </is>
      </c>
      <c r="M1" s="8" t="inlineStr">
        <is>
          <t>Total Portfolio</t>
        </is>
      </c>
      <c r="N1" s="8" t="inlineStr">
        <is>
          <t>ETF Flow</t>
        </is>
      </c>
      <c r="O1" s="8" t="inlineStr">
        <is>
          <t>ETF PnL</t>
        </is>
      </c>
    </row>
    <row r="2">
      <c r="J2" s="41" t="n">
        <v>45931</v>
      </c>
      <c r="K2" s="18">
        <f>SUMIFS(Summary!$C:$C,Summary!$B:$B,$J2,Summary!$A:$A,"&lt;&gt;Savings")</f>
        <v/>
      </c>
      <c r="L2" s="18">
        <f>SUMIFS(Summary!$C:$C,Summary!$B:$B,$J2,Summary!$A:$A,"Savings")</f>
        <v/>
      </c>
      <c r="M2" s="18">
        <f>K2+L2</f>
        <v/>
      </c>
      <c r="N2" s="18">
        <f>SUMIFS(Summary!$F:$F,Summary!$B:$B,$J2,Summary!$A:$A,"&lt;&gt;Savings")</f>
        <v/>
      </c>
      <c r="O2" s="18">
        <f>SUMIFS(Summary!$H:$H,Summary!$B:$B,$J2,Summary!$A:$A,"&lt;&gt;Savings")</f>
        <v/>
      </c>
    </row>
    <row r="3">
      <c r="A3" s="19" t="inlineStr">
        <is>
          <t>Selected month</t>
        </is>
      </c>
      <c r="B3" s="42" t="n">
        <v>46082</v>
      </c>
      <c r="J3" s="41" t="n">
        <v>45962</v>
      </c>
      <c r="K3" s="18">
        <f>SUMIFS(Summary!$C:$C,Summary!$B:$B,$J3,Summary!$A:$A,"&lt;&gt;Savings")</f>
        <v/>
      </c>
      <c r="L3" s="18">
        <f>SUMIFS(Summary!$C:$C,Summary!$B:$B,$J3,Summary!$A:$A,"Savings")</f>
        <v/>
      </c>
      <c r="M3" s="18">
        <f>K3+L3</f>
        <v/>
      </c>
      <c r="N3" s="18">
        <f>SUMIFS(Summary!$F:$F,Summary!$B:$B,$J3,Summary!$A:$A,"&lt;&gt;Savings")</f>
        <v/>
      </c>
      <c r="O3" s="18">
        <f>SUMIFS(Summary!$H:$H,Summary!$B:$B,$J3,Summary!$A:$A,"&lt;&gt;Savings")</f>
        <v/>
      </c>
    </row>
    <row r="4">
      <c r="J4" s="41" t="n">
        <v>45992</v>
      </c>
      <c r="K4" s="18">
        <f>SUMIFS(Summary!$C:$C,Summary!$B:$B,$J4,Summary!$A:$A,"&lt;&gt;Savings")</f>
        <v/>
      </c>
      <c r="L4" s="18">
        <f>SUMIFS(Summary!$C:$C,Summary!$B:$B,$J4,Summary!$A:$A,"Savings")</f>
        <v/>
      </c>
      <c r="M4" s="18">
        <f>K4+L4</f>
        <v/>
      </c>
      <c r="N4" s="18">
        <f>SUMIFS(Summary!$F:$F,Summary!$B:$B,$J4,Summary!$A:$A,"&lt;&gt;Savings")</f>
        <v/>
      </c>
      <c r="O4" s="18">
        <f>SUMIFS(Summary!$H:$H,Summary!$B:$B,$J4,Summary!$A:$A,"&lt;&gt;Savings")</f>
        <v/>
      </c>
    </row>
    <row r="5">
      <c r="A5" s="21" t="inlineStr">
        <is>
          <t>Asset</t>
        </is>
      </c>
      <c r="B5" s="21" t="inlineStr">
        <is>
          <t>End_Value</t>
        </is>
      </c>
      <c r="C5" s="21" t="inlineStr">
        <is>
          <t>Monthly_Flow</t>
        </is>
      </c>
      <c r="D5" s="21" t="inlineStr">
        <is>
          <t>Perf_%</t>
        </is>
      </c>
      <c r="E5" s="22" t="inlineStr">
        <is>
          <t>ETF Total</t>
        </is>
      </c>
      <c r="F5" s="23">
        <f>SUM(B6:B13)</f>
        <v/>
      </c>
      <c r="J5" s="41" t="n">
        <v>46023</v>
      </c>
      <c r="K5" s="18">
        <f>SUMIFS(Summary!$C:$C,Summary!$B:$B,$J5,Summary!$A:$A,"&lt;&gt;Savings")</f>
        <v/>
      </c>
      <c r="L5" s="18">
        <f>SUMIFS(Summary!$C:$C,Summary!$B:$B,$J5,Summary!$A:$A,"Savings")</f>
        <v/>
      </c>
      <c r="M5" s="18">
        <f>K5+L5</f>
        <v/>
      </c>
      <c r="N5" s="18">
        <f>SUMIFS(Summary!$F:$F,Summary!$B:$B,$J5,Summary!$A:$A,"&lt;&gt;Savings")</f>
        <v/>
      </c>
      <c r="O5" s="18">
        <f>SUMIFS(Summary!$H:$H,Summary!$B:$B,$J5,Summary!$A:$A,"&lt;&gt;Savings")</f>
        <v/>
      </c>
    </row>
    <row r="6">
      <c r="A6" s="24" t="inlineStr">
        <is>
          <t>Core MSCI World</t>
        </is>
      </c>
      <c r="B6" s="25">
        <f>SUMIFS(Summary!$C:$C,Summary!$A:$A,$A6,Summary!$B:$B,$B$3)</f>
        <v/>
      </c>
      <c r="C6" s="25">
        <f>SUMIFS(Summary!$F:$F,Summary!$A:$A,$A6,Summary!$B:$B,$B$3)</f>
        <v/>
      </c>
      <c r="D6" s="34">
        <f>SUMIFS(Summary!$I:$I,Summary!$A:$A,$A6,Summary!$B:$B,$B$3)</f>
        <v/>
      </c>
      <c r="E6" s="22" t="inlineStr">
        <is>
          <t>Savings</t>
        </is>
      </c>
      <c r="F6" s="23">
        <f>B14</f>
        <v/>
      </c>
      <c r="J6" s="41" t="n">
        <v>46054</v>
      </c>
      <c r="K6" s="18">
        <f>SUMIFS(Summary!$C:$C,Summary!$B:$B,$J6,Summary!$A:$A,"&lt;&gt;Savings")</f>
        <v/>
      </c>
      <c r="L6" s="18">
        <f>SUMIFS(Summary!$C:$C,Summary!$B:$B,$J6,Summary!$A:$A,"Savings")</f>
        <v/>
      </c>
      <c r="M6" s="18">
        <f>K6+L6</f>
        <v/>
      </c>
      <c r="N6" s="18">
        <f>SUMIFS(Summary!$F:$F,Summary!$B:$B,$J6,Summary!$A:$A,"&lt;&gt;Savings")</f>
        <v/>
      </c>
      <c r="O6" s="18">
        <f>SUMIFS(Summary!$H:$H,Summary!$B:$B,$J6,Summary!$A:$A,"&lt;&gt;Savings")</f>
        <v/>
      </c>
    </row>
    <row r="7">
      <c r="A7" s="24" t="inlineStr">
        <is>
          <t>AI &amp; Big Data</t>
        </is>
      </c>
      <c r="B7" s="25">
        <f>SUMIFS(Summary!$C:$C,Summary!$A:$A,$A7,Summary!$B:$B,$B$3)</f>
        <v/>
      </c>
      <c r="C7" s="25">
        <f>SUMIFS(Summary!$F:$F,Summary!$A:$A,$A7,Summary!$B:$B,$B$3)</f>
        <v/>
      </c>
      <c r="D7" s="34">
        <f>SUMIFS(Summary!$I:$I,Summary!$A:$A,$A7,Summary!$B:$B,$B$3)</f>
        <v/>
      </c>
      <c r="E7" s="22" t="inlineStr">
        <is>
          <t>Total Portfolio</t>
        </is>
      </c>
      <c r="F7" s="23">
        <f>F5+F6</f>
        <v/>
      </c>
      <c r="J7" s="41" t="n">
        <v>46082</v>
      </c>
      <c r="K7" s="18">
        <f>SUMIFS(Summary!$C:$C,Summary!$B:$B,$J7,Summary!$A:$A,"&lt;&gt;Savings")</f>
        <v/>
      </c>
      <c r="L7" s="18">
        <f>SUMIFS(Summary!$C:$C,Summary!$B:$B,$J7,Summary!$A:$A,"Savings")</f>
        <v/>
      </c>
      <c r="M7" s="18">
        <f>K7+L7</f>
        <v/>
      </c>
      <c r="N7" s="18">
        <f>SUMIFS(Summary!$F:$F,Summary!$B:$B,$J7,Summary!$A:$A,"&lt;&gt;Savings")</f>
        <v/>
      </c>
      <c r="O7" s="18">
        <f>SUMIFS(Summary!$H:$H,Summary!$B:$B,$J7,Summary!$A:$A,"&lt;&gt;Savings")</f>
        <v/>
      </c>
    </row>
    <row r="8">
      <c r="A8" s="24" t="inlineStr">
        <is>
          <t>Physical Gold</t>
        </is>
      </c>
      <c r="B8" s="25">
        <f>SUMIFS(Summary!$C:$C,Summary!$A:$A,$A8,Summary!$B:$B,$B$3)</f>
        <v/>
      </c>
      <c r="C8" s="25">
        <f>SUMIFS(Summary!$F:$F,Summary!$A:$A,$A8,Summary!$B:$B,$B$3)</f>
        <v/>
      </c>
      <c r="D8" s="34">
        <f>SUMIFS(Summary!$I:$I,Summary!$A:$A,$A8,Summary!$B:$B,$B$3)</f>
        <v/>
      </c>
      <c r="E8" s="22" t="inlineStr">
        <is>
          <t>ETF %</t>
        </is>
      </c>
      <c r="F8" s="35">
        <f>IF(F7=0,0,F5/F7)</f>
        <v/>
      </c>
      <c r="J8" s="41" t="n">
        <v>46113</v>
      </c>
      <c r="K8" s="18">
        <f>SUMIFS(Summary!$C:$C,Summary!$B:$B,$J8,Summary!$A:$A,"&lt;&gt;Savings")</f>
        <v/>
      </c>
      <c r="L8" s="18">
        <f>SUMIFS(Summary!$C:$C,Summary!$B:$B,$J8,Summary!$A:$A,"Savings")</f>
        <v/>
      </c>
      <c r="M8" s="18">
        <f>K8+L8</f>
        <v/>
      </c>
      <c r="N8" s="18">
        <f>SUMIFS(Summary!$F:$F,Summary!$B:$B,$J8,Summary!$A:$A,"&lt;&gt;Savings")</f>
        <v/>
      </c>
      <c r="O8" s="18">
        <f>SUMIFS(Summary!$H:$H,Summary!$B:$B,$J8,Summary!$A:$A,"&lt;&gt;Savings")</f>
        <v/>
      </c>
    </row>
    <row r="9">
      <c r="A9" s="24" t="inlineStr">
        <is>
          <t>Global Gov Bond</t>
        </is>
      </c>
      <c r="B9" s="25">
        <f>SUMIFS(Summary!$C:$C,Summary!$A:$A,$A9,Summary!$B:$B,$B$3)</f>
        <v/>
      </c>
      <c r="C9" s="25">
        <f>SUMIFS(Summary!$F:$F,Summary!$A:$A,$A9,Summary!$B:$B,$B$3)</f>
        <v/>
      </c>
      <c r="D9" s="34">
        <f>SUMIFS(Summary!$I:$I,Summary!$A:$A,$A9,Summary!$B:$B,$B$3)</f>
        <v/>
      </c>
      <c r="E9" s="22" t="inlineStr">
        <is>
          <t>Savings %</t>
        </is>
      </c>
      <c r="F9" s="35">
        <f>IF(F7=0,0,F6/F7)</f>
        <v/>
      </c>
      <c r="J9" s="41" t="n">
        <v>46143</v>
      </c>
      <c r="K9" s="18">
        <f>SUMIFS(Summary!$C:$C,Summary!$B:$B,$J9,Summary!$A:$A,"&lt;&gt;Savings")</f>
        <v/>
      </c>
      <c r="L9" s="18">
        <f>SUMIFS(Summary!$C:$C,Summary!$B:$B,$J9,Summary!$A:$A,"Savings")</f>
        <v/>
      </c>
      <c r="M9" s="18">
        <f>K9+L9</f>
        <v/>
      </c>
      <c r="N9" s="18">
        <f>SUMIFS(Summary!$F:$F,Summary!$B:$B,$J9,Summary!$A:$A,"&lt;&gt;Savings")</f>
        <v/>
      </c>
      <c r="O9" s="18">
        <f>SUMIFS(Summary!$H:$H,Summary!$B:$B,$J9,Summary!$A:$A,"&lt;&gt;Savings")</f>
        <v/>
      </c>
    </row>
    <row r="10">
      <c r="A10" s="24" t="inlineStr">
        <is>
          <t>Core EUR Corp Bond</t>
        </is>
      </c>
      <c r="B10" s="25">
        <f>SUMIFS(Summary!$C:$C,Summary!$A:$A,$A10,Summary!$B:$B,$B$3)</f>
        <v/>
      </c>
      <c r="C10" s="25">
        <f>SUMIFS(Summary!$F:$F,Summary!$A:$A,$A10,Summary!$B:$B,$B$3)</f>
        <v/>
      </c>
      <c r="D10" s="34">
        <f>SUMIFS(Summary!$I:$I,Summary!$A:$A,$A10,Summary!$B:$B,$B$3)</f>
        <v/>
      </c>
      <c r="E10" s="22" t="inlineStr">
        <is>
          <t>Monthly ETF Flow</t>
        </is>
      </c>
      <c r="F10" s="23">
        <f>SUM(C6:C13)</f>
        <v/>
      </c>
      <c r="J10" s="41" t="n">
        <v>46174</v>
      </c>
      <c r="K10" s="18">
        <f>SUMIFS(Summary!$C:$C,Summary!$B:$B,$J10,Summary!$A:$A,"&lt;&gt;Savings")</f>
        <v/>
      </c>
      <c r="L10" s="18">
        <f>SUMIFS(Summary!$C:$C,Summary!$B:$B,$J10,Summary!$A:$A,"Savings")</f>
        <v/>
      </c>
      <c r="M10" s="18">
        <f>K10+L10</f>
        <v/>
      </c>
      <c r="N10" s="18">
        <f>SUMIFS(Summary!$F:$F,Summary!$B:$B,$J10,Summary!$A:$A,"&lt;&gt;Savings")</f>
        <v/>
      </c>
      <c r="O10" s="18">
        <f>SUMIFS(Summary!$H:$H,Summary!$B:$B,$J10,Summary!$A:$A,"&lt;&gt;Savings")</f>
        <v/>
      </c>
    </row>
    <row r="11">
      <c r="A11" s="24" t="inlineStr">
        <is>
          <t>MSCI World Value</t>
        </is>
      </c>
      <c r="B11" s="25">
        <f>SUMIFS(Summary!$C:$C,Summary!$A:$A,$A11,Summary!$B:$B,$B$3)</f>
        <v/>
      </c>
      <c r="C11" s="25">
        <f>SUMIFS(Summary!$F:$F,Summary!$A:$A,$A11,Summary!$B:$B,$B$3)</f>
        <v/>
      </c>
      <c r="D11" s="34">
        <f>SUMIFS(Summary!$I:$I,Summary!$A:$A,$A11,Summary!$B:$B,$B$3)</f>
        <v/>
      </c>
      <c r="E11" s="22" t="inlineStr">
        <is>
          <t>Monthly ETF PnL</t>
        </is>
      </c>
      <c r="F11" s="23">
        <f>SUMIFS(Summary!$H:$H,Summary!$B:$B,$B$3,Summary!$A:$A,"&lt;&gt;Savings")</f>
        <v/>
      </c>
      <c r="J11" s="41" t="n">
        <v>46204</v>
      </c>
      <c r="K11" s="18">
        <f>SUMIFS(Summary!$C:$C,Summary!$B:$B,$J11,Summary!$A:$A,"&lt;&gt;Savings")</f>
        <v/>
      </c>
      <c r="L11" s="18">
        <f>SUMIFS(Summary!$C:$C,Summary!$B:$B,$J11,Summary!$A:$A,"Savings")</f>
        <v/>
      </c>
      <c r="M11" s="18">
        <f>K11+L11</f>
        <v/>
      </c>
      <c r="N11" s="18">
        <f>SUMIFS(Summary!$F:$F,Summary!$B:$B,$J11,Summary!$A:$A,"&lt;&gt;Savings")</f>
        <v/>
      </c>
      <c r="O11" s="18">
        <f>SUMIFS(Summary!$H:$H,Summary!$B:$B,$J11,Summary!$A:$A,"&lt;&gt;Savings")</f>
        <v/>
      </c>
    </row>
    <row r="12">
      <c r="A12" s="24" t="inlineStr">
        <is>
          <t>MSCI EM</t>
        </is>
      </c>
      <c r="B12" s="25">
        <f>SUMIFS(Summary!$C:$C,Summary!$A:$A,$A12,Summary!$B:$B,$B$3)</f>
        <v/>
      </c>
      <c r="C12" s="25">
        <f>SUMIFS(Summary!$F:$F,Summary!$A:$A,$A12,Summary!$B:$B,$B$3)</f>
        <v/>
      </c>
      <c r="D12" s="34">
        <f>SUMIFS(Summary!$I:$I,Summary!$A:$A,$A12,Summary!$B:$B,$B$3)</f>
        <v/>
      </c>
      <c r="H12" t="inlineStr">
        <is>
          <t>ETF</t>
        </is>
      </c>
      <c r="I12">
        <f>F5</f>
        <v/>
      </c>
      <c r="J12" s="41" t="n">
        <v>46235</v>
      </c>
      <c r="K12" s="18">
        <f>SUMIFS(Summary!$C:$C,Summary!$B:$B,$J12,Summary!$A:$A,"&lt;&gt;Savings")</f>
        <v/>
      </c>
      <c r="L12" s="18">
        <f>SUMIFS(Summary!$C:$C,Summary!$B:$B,$J12,Summary!$A:$A,"Savings")</f>
        <v/>
      </c>
      <c r="M12" s="18">
        <f>K12+L12</f>
        <v/>
      </c>
      <c r="N12" s="18">
        <f>SUMIFS(Summary!$F:$F,Summary!$B:$B,$J12,Summary!$A:$A,"&lt;&gt;Savings")</f>
        <v/>
      </c>
      <c r="O12" s="18">
        <f>SUMIFS(Summary!$H:$H,Summary!$B:$B,$J12,Summary!$A:$A,"&lt;&gt;Savings")</f>
        <v/>
      </c>
    </row>
    <row r="13">
      <c r="A13" s="24" t="inlineStr">
        <is>
          <t>Defence Tech</t>
        </is>
      </c>
      <c r="B13" s="25">
        <f>SUMIFS(Summary!$C:$C,Summary!$A:$A,$A13,Summary!$B:$B,$B$3)</f>
        <v/>
      </c>
      <c r="C13" s="25">
        <f>SUMIFS(Summary!$F:$F,Summary!$A:$A,$A13,Summary!$B:$B,$B$3)</f>
        <v/>
      </c>
      <c r="D13" s="34">
        <f>SUMIFS(Summary!$I:$I,Summary!$A:$A,$A13,Summary!$B:$B,$B$3)</f>
        <v/>
      </c>
      <c r="H13" t="inlineStr">
        <is>
          <t>Savings</t>
        </is>
      </c>
      <c r="I13">
        <f>F6</f>
        <v/>
      </c>
      <c r="J13" s="41" t="n">
        <v>46266</v>
      </c>
      <c r="K13" s="18">
        <f>SUMIFS(Summary!$C:$C,Summary!$B:$B,$J13,Summary!$A:$A,"&lt;&gt;Savings")</f>
        <v/>
      </c>
      <c r="L13" s="18">
        <f>SUMIFS(Summary!$C:$C,Summary!$B:$B,$J13,Summary!$A:$A,"Savings")</f>
        <v/>
      </c>
      <c r="M13" s="18">
        <f>K13+L13</f>
        <v/>
      </c>
      <c r="N13" s="18">
        <f>SUMIFS(Summary!$F:$F,Summary!$B:$B,$J13,Summary!$A:$A,"&lt;&gt;Savings")</f>
        <v/>
      </c>
      <c r="O13" s="18">
        <f>SUMIFS(Summary!$H:$H,Summary!$B:$B,$J13,Summary!$A:$A,"&lt;&gt;Savings")</f>
        <v/>
      </c>
    </row>
    <row r="14">
      <c r="A14" s="24" t="inlineStr">
        <is>
          <t>Savings</t>
        </is>
      </c>
      <c r="B14" s="25">
        <f>SUMIFS(Summary!$C:$C,Summary!$A:$A,$A14,Summary!$B:$B,$B$3)</f>
        <v/>
      </c>
      <c r="C14" s="25">
        <f>SUMIFS(Summary!$F:$F,Summary!$A:$A,$A14,Summary!$B:$B,$B$3)</f>
        <v/>
      </c>
      <c r="D14" s="34">
        <f>SUMIFS(Summary!$I:$I,Summary!$A:$A,$A14,Summary!$B:$B,$B$3)</f>
        <v/>
      </c>
      <c r="J14" s="41" t="n">
        <v>46296</v>
      </c>
      <c r="K14" s="18">
        <f>SUMIFS(Summary!$C:$C,Summary!$B:$B,$J14,Summary!$A:$A,"&lt;&gt;Savings")</f>
        <v/>
      </c>
      <c r="L14" s="18">
        <f>SUMIFS(Summary!$C:$C,Summary!$B:$B,$J14,Summary!$A:$A,"Savings")</f>
        <v/>
      </c>
      <c r="M14" s="18">
        <f>K14+L14</f>
        <v/>
      </c>
      <c r="N14" s="18">
        <f>SUMIFS(Summary!$F:$F,Summary!$B:$B,$J14,Summary!$A:$A,"&lt;&gt;Savings")</f>
        <v/>
      </c>
      <c r="O14" s="18">
        <f>SUMIFS(Summary!$H:$H,Summary!$B:$B,$J14,Summary!$A:$A,"&lt;&gt;Savings")</f>
        <v/>
      </c>
    </row>
    <row r="15">
      <c r="J15" s="41" t="n">
        <v>46327</v>
      </c>
      <c r="K15" s="18">
        <f>SUMIFS(Summary!$C:$C,Summary!$B:$B,$J15,Summary!$A:$A,"&lt;&gt;Savings")</f>
        <v/>
      </c>
      <c r="L15" s="18">
        <f>SUMIFS(Summary!$C:$C,Summary!$B:$B,$J15,Summary!$A:$A,"Savings")</f>
        <v/>
      </c>
      <c r="M15" s="18">
        <f>K15+L15</f>
        <v/>
      </c>
      <c r="N15" s="18">
        <f>SUMIFS(Summary!$F:$F,Summary!$B:$B,$J15,Summary!$A:$A,"&lt;&gt;Savings")</f>
        <v/>
      </c>
      <c r="O15" s="18">
        <f>SUMIFS(Summary!$H:$H,Summary!$B:$B,$J15,Summary!$A:$A,"&lt;&gt;Savings")</f>
        <v/>
      </c>
    </row>
    <row r="16">
      <c r="A16" s="43" t="inlineStr">
        <is>
          <t>Note: Apr/26 onward PAC is currently zero until you tell me the new monthly PAC amounts.</t>
        </is>
      </c>
      <c r="J16" s="41" t="n">
        <v>46357</v>
      </c>
      <c r="K16" s="18">
        <f>SUMIFS(Summary!$C:$C,Summary!$B:$B,$J16,Summary!$A:$A,"&lt;&gt;Savings")</f>
        <v/>
      </c>
      <c r="L16" s="18">
        <f>SUMIFS(Summary!$C:$C,Summary!$B:$B,$J16,Summary!$A:$A,"Savings")</f>
        <v/>
      </c>
      <c r="M16" s="18">
        <f>K16+L16</f>
        <v/>
      </c>
      <c r="N16" s="18">
        <f>SUMIFS(Summary!$F:$F,Summary!$B:$B,$J16,Summary!$A:$A,"&lt;&gt;Savings")</f>
        <v/>
      </c>
      <c r="O16" s="18">
        <f>SUMIFS(Summary!$H:$H,Summary!$B:$B,$J16,Summary!$A:$A,"&lt;&gt;Savings")</f>
        <v/>
      </c>
    </row>
    <row r="17">
      <c r="J17" s="41" t="n">
        <v>46388</v>
      </c>
      <c r="K17" s="18">
        <f>SUMIFS(Summary!$C:$C,Summary!$B:$B,$J17,Summary!$A:$A,"&lt;&gt;Savings")</f>
        <v/>
      </c>
      <c r="L17" s="18">
        <f>SUMIFS(Summary!$C:$C,Summary!$B:$B,$J17,Summary!$A:$A,"Savings")</f>
        <v/>
      </c>
      <c r="M17" s="18">
        <f>K17+L17</f>
        <v/>
      </c>
      <c r="N17" s="18">
        <f>SUMIFS(Summary!$F:$F,Summary!$B:$B,$J17,Summary!$A:$A,"&lt;&gt;Savings")</f>
        <v/>
      </c>
      <c r="O17" s="18">
        <f>SUMIFS(Summary!$H:$H,Summary!$B:$B,$J17,Summary!$A:$A,"&lt;&gt;Savings")</f>
        <v/>
      </c>
    </row>
    <row r="18">
      <c r="J18" s="41" t="n">
        <v>46419</v>
      </c>
      <c r="K18" s="18">
        <f>SUMIFS(Summary!$C:$C,Summary!$B:$B,$J18,Summary!$A:$A,"&lt;&gt;Savings")</f>
        <v/>
      </c>
      <c r="L18" s="18">
        <f>SUMIFS(Summary!$C:$C,Summary!$B:$B,$J18,Summary!$A:$A,"Savings")</f>
        <v/>
      </c>
      <c r="M18" s="18">
        <f>K18+L18</f>
        <v/>
      </c>
      <c r="N18" s="18">
        <f>SUMIFS(Summary!$F:$F,Summary!$B:$B,$J18,Summary!$A:$A,"&lt;&gt;Savings")</f>
        <v/>
      </c>
      <c r="O18" s="18">
        <f>SUMIFS(Summary!$H:$H,Summary!$B:$B,$J18,Summary!$A:$A,"&lt;&gt;Savings")</f>
        <v/>
      </c>
    </row>
    <row r="19">
      <c r="J19" s="41" t="n">
        <v>46447</v>
      </c>
      <c r="K19" s="18">
        <f>SUMIFS(Summary!$C:$C,Summary!$B:$B,$J19,Summary!$A:$A,"&lt;&gt;Savings")</f>
        <v/>
      </c>
      <c r="L19" s="18">
        <f>SUMIFS(Summary!$C:$C,Summary!$B:$B,$J19,Summary!$A:$A,"Savings")</f>
        <v/>
      </c>
      <c r="M19" s="18">
        <f>K19+L19</f>
        <v/>
      </c>
      <c r="N19" s="18">
        <f>SUMIFS(Summary!$F:$F,Summary!$B:$B,$J19,Summary!$A:$A,"&lt;&gt;Savings")</f>
        <v/>
      </c>
      <c r="O19" s="18">
        <f>SUMIFS(Summary!$H:$H,Summary!$B:$B,$J19,Summary!$A:$A,"&lt;&gt;Savings")</f>
        <v/>
      </c>
    </row>
    <row r="20">
      <c r="J20" s="41" t="n">
        <v>46478</v>
      </c>
      <c r="K20" s="18">
        <f>SUMIFS(Summary!$C:$C,Summary!$B:$B,$J20,Summary!$A:$A,"&lt;&gt;Savings")</f>
        <v/>
      </c>
      <c r="L20" s="18">
        <f>SUMIFS(Summary!$C:$C,Summary!$B:$B,$J20,Summary!$A:$A,"Savings")</f>
        <v/>
      </c>
      <c r="M20" s="18">
        <f>K20+L20</f>
        <v/>
      </c>
      <c r="N20" s="18">
        <f>SUMIFS(Summary!$F:$F,Summary!$B:$B,$J20,Summary!$A:$A,"&lt;&gt;Savings")</f>
        <v/>
      </c>
      <c r="O20" s="18">
        <f>SUMIFS(Summary!$H:$H,Summary!$B:$B,$J20,Summary!$A:$A,"&lt;&gt;Savings")</f>
        <v/>
      </c>
    </row>
    <row r="21">
      <c r="J21" s="41" t="n">
        <v>46508</v>
      </c>
      <c r="K21" s="18">
        <f>SUMIFS(Summary!$C:$C,Summary!$B:$B,$J21,Summary!$A:$A,"&lt;&gt;Savings")</f>
        <v/>
      </c>
      <c r="L21" s="18">
        <f>SUMIFS(Summary!$C:$C,Summary!$B:$B,$J21,Summary!$A:$A,"Savings")</f>
        <v/>
      </c>
      <c r="M21" s="18">
        <f>K21+L21</f>
        <v/>
      </c>
      <c r="N21" s="18">
        <f>SUMIFS(Summary!$F:$F,Summary!$B:$B,$J21,Summary!$A:$A,"&lt;&gt;Savings")</f>
        <v/>
      </c>
      <c r="O21" s="18">
        <f>SUMIFS(Summary!$H:$H,Summary!$B:$B,$J21,Summary!$A:$A,"&lt;&gt;Savings")</f>
        <v/>
      </c>
    </row>
    <row r="22">
      <c r="J22" s="41" t="n">
        <v>46539</v>
      </c>
      <c r="K22" s="18">
        <f>SUMIFS(Summary!$C:$C,Summary!$B:$B,$J22,Summary!$A:$A,"&lt;&gt;Savings")</f>
        <v/>
      </c>
      <c r="L22" s="18">
        <f>SUMIFS(Summary!$C:$C,Summary!$B:$B,$J22,Summary!$A:$A,"Savings")</f>
        <v/>
      </c>
      <c r="M22" s="18">
        <f>K22+L22</f>
        <v/>
      </c>
      <c r="N22" s="18">
        <f>SUMIFS(Summary!$F:$F,Summary!$B:$B,$J22,Summary!$A:$A,"&lt;&gt;Savings")</f>
        <v/>
      </c>
      <c r="O22" s="18">
        <f>SUMIFS(Summary!$H:$H,Summary!$B:$B,$J22,Summary!$A:$A,"&lt;&gt;Savings")</f>
        <v/>
      </c>
    </row>
    <row r="23">
      <c r="J23" s="41" t="n">
        <v>46569</v>
      </c>
      <c r="K23" s="18">
        <f>SUMIFS(Summary!$C:$C,Summary!$B:$B,$J23,Summary!$A:$A,"&lt;&gt;Savings")</f>
        <v/>
      </c>
      <c r="L23" s="18">
        <f>SUMIFS(Summary!$C:$C,Summary!$B:$B,$J23,Summary!$A:$A,"Savings")</f>
        <v/>
      </c>
      <c r="M23" s="18">
        <f>K23+L23</f>
        <v/>
      </c>
      <c r="N23" s="18">
        <f>SUMIFS(Summary!$F:$F,Summary!$B:$B,$J23,Summary!$A:$A,"&lt;&gt;Savings")</f>
        <v/>
      </c>
      <c r="O23" s="18">
        <f>SUMIFS(Summary!$H:$H,Summary!$B:$B,$J23,Summary!$A:$A,"&lt;&gt;Savings")</f>
        <v/>
      </c>
    </row>
    <row r="24">
      <c r="J24" s="41" t="n">
        <v>46600</v>
      </c>
      <c r="K24" s="18">
        <f>SUMIFS(Summary!$C:$C,Summary!$B:$B,$J24,Summary!$A:$A,"&lt;&gt;Savings")</f>
        <v/>
      </c>
      <c r="L24" s="18">
        <f>SUMIFS(Summary!$C:$C,Summary!$B:$B,$J24,Summary!$A:$A,"Savings")</f>
        <v/>
      </c>
      <c r="M24" s="18">
        <f>K24+L24</f>
        <v/>
      </c>
      <c r="N24" s="18">
        <f>SUMIFS(Summary!$F:$F,Summary!$B:$B,$J24,Summary!$A:$A,"&lt;&gt;Savings")</f>
        <v/>
      </c>
      <c r="O24" s="18">
        <f>SUMIFS(Summary!$H:$H,Summary!$B:$B,$J24,Summary!$A:$A,"&lt;&gt;Savings")</f>
        <v/>
      </c>
    </row>
    <row r="25">
      <c r="J25" s="41" t="n">
        <v>46631</v>
      </c>
      <c r="K25" s="18">
        <f>SUMIFS(Summary!$C:$C,Summary!$B:$B,$J25,Summary!$A:$A,"&lt;&gt;Savings")</f>
        <v/>
      </c>
      <c r="L25" s="18">
        <f>SUMIFS(Summary!$C:$C,Summary!$B:$B,$J25,Summary!$A:$A,"Savings")</f>
        <v/>
      </c>
      <c r="M25" s="18">
        <f>K25+L25</f>
        <v/>
      </c>
      <c r="N25" s="18">
        <f>SUMIFS(Summary!$F:$F,Summary!$B:$B,$J25,Summary!$A:$A,"&lt;&gt;Savings")</f>
        <v/>
      </c>
      <c r="O25" s="18">
        <f>SUMIFS(Summary!$H:$H,Summary!$B:$B,$J25,Summary!$A:$A,"&lt;&gt;Savings")</f>
        <v/>
      </c>
    </row>
    <row r="26">
      <c r="J26" s="41" t="n">
        <v>46661</v>
      </c>
      <c r="K26" s="18">
        <f>SUMIFS(Summary!$C:$C,Summary!$B:$B,$J26,Summary!$A:$A,"&lt;&gt;Savings")</f>
        <v/>
      </c>
      <c r="L26" s="18">
        <f>SUMIFS(Summary!$C:$C,Summary!$B:$B,$J26,Summary!$A:$A,"Savings")</f>
        <v/>
      </c>
      <c r="M26" s="18">
        <f>K26+L26</f>
        <v/>
      </c>
      <c r="N26" s="18">
        <f>SUMIFS(Summary!$F:$F,Summary!$B:$B,$J26,Summary!$A:$A,"&lt;&gt;Savings")</f>
        <v/>
      </c>
      <c r="O26" s="18">
        <f>SUMIFS(Summary!$H:$H,Summary!$B:$B,$J26,Summary!$A:$A,"&lt;&gt;Savings")</f>
        <v/>
      </c>
    </row>
    <row r="27">
      <c r="J27" s="41" t="n">
        <v>46692</v>
      </c>
      <c r="K27" s="18">
        <f>SUMIFS(Summary!$C:$C,Summary!$B:$B,$J27,Summary!$A:$A,"&lt;&gt;Savings")</f>
        <v/>
      </c>
      <c r="L27" s="18">
        <f>SUMIFS(Summary!$C:$C,Summary!$B:$B,$J27,Summary!$A:$A,"Savings")</f>
        <v/>
      </c>
      <c r="M27" s="18">
        <f>K27+L27</f>
        <v/>
      </c>
      <c r="N27" s="18">
        <f>SUMIFS(Summary!$F:$F,Summary!$B:$B,$J27,Summary!$A:$A,"&lt;&gt;Savings")</f>
        <v/>
      </c>
      <c r="O27" s="18">
        <f>SUMIFS(Summary!$H:$H,Summary!$B:$B,$J27,Summary!$A:$A,"&lt;&gt;Savings")</f>
        <v/>
      </c>
    </row>
    <row r="28">
      <c r="J28" s="41" t="n">
        <v>46722</v>
      </c>
      <c r="K28" s="18">
        <f>SUMIFS(Summary!$C:$C,Summary!$B:$B,$J28,Summary!$A:$A,"&lt;&gt;Savings")</f>
        <v/>
      </c>
      <c r="L28" s="18">
        <f>SUMIFS(Summary!$C:$C,Summary!$B:$B,$J28,Summary!$A:$A,"Savings")</f>
        <v/>
      </c>
      <c r="M28" s="18">
        <f>K28+L28</f>
        <v/>
      </c>
      <c r="N28" s="18">
        <f>SUMIFS(Summary!$F:$F,Summary!$B:$B,$J28,Summary!$A:$A,"&lt;&gt;Savings")</f>
        <v/>
      </c>
      <c r="O28" s="18">
        <f>SUMIFS(Summary!$H:$H,Summary!$B:$B,$J28,Summary!$A:$A,"&lt;&gt;Savings")</f>
        <v/>
      </c>
    </row>
    <row r="29">
      <c r="J29" s="41" t="n">
        <v>46753</v>
      </c>
      <c r="K29" s="18">
        <f>SUMIFS(Summary!$C:$C,Summary!$B:$B,$J29,Summary!$A:$A,"&lt;&gt;Savings")</f>
        <v/>
      </c>
      <c r="L29" s="18">
        <f>SUMIFS(Summary!$C:$C,Summary!$B:$B,$J29,Summary!$A:$A,"Savings")</f>
        <v/>
      </c>
      <c r="M29" s="18">
        <f>K29+L29</f>
        <v/>
      </c>
      <c r="N29" s="18">
        <f>SUMIFS(Summary!$F:$F,Summary!$B:$B,$J29,Summary!$A:$A,"&lt;&gt;Savings")</f>
        <v/>
      </c>
      <c r="O29" s="18">
        <f>SUMIFS(Summary!$H:$H,Summary!$B:$B,$J29,Summary!$A:$A,"&lt;&gt;Savings")</f>
        <v/>
      </c>
    </row>
    <row r="30">
      <c r="J30" s="41" t="n">
        <v>46784</v>
      </c>
      <c r="K30" s="18">
        <f>SUMIFS(Summary!$C:$C,Summary!$B:$B,$J30,Summary!$A:$A,"&lt;&gt;Savings")</f>
        <v/>
      </c>
      <c r="L30" s="18">
        <f>SUMIFS(Summary!$C:$C,Summary!$B:$B,$J30,Summary!$A:$A,"Savings")</f>
        <v/>
      </c>
      <c r="M30" s="18">
        <f>K30+L30</f>
        <v/>
      </c>
      <c r="N30" s="18">
        <f>SUMIFS(Summary!$F:$F,Summary!$B:$B,$J30,Summary!$A:$A,"&lt;&gt;Savings")</f>
        <v/>
      </c>
      <c r="O30" s="18">
        <f>SUMIFS(Summary!$H:$H,Summary!$B:$B,$J30,Summary!$A:$A,"&lt;&gt;Savings")</f>
        <v/>
      </c>
    </row>
    <row r="31">
      <c r="J31" s="41" t="n">
        <v>46813</v>
      </c>
      <c r="K31" s="18">
        <f>SUMIFS(Summary!$C:$C,Summary!$B:$B,$J31,Summary!$A:$A,"&lt;&gt;Savings")</f>
        <v/>
      </c>
      <c r="L31" s="18">
        <f>SUMIFS(Summary!$C:$C,Summary!$B:$B,$J31,Summary!$A:$A,"Savings")</f>
        <v/>
      </c>
      <c r="M31" s="18">
        <f>K31+L31</f>
        <v/>
      </c>
      <c r="N31" s="18">
        <f>SUMIFS(Summary!$F:$F,Summary!$B:$B,$J31,Summary!$A:$A,"&lt;&gt;Savings")</f>
        <v/>
      </c>
      <c r="O31" s="18">
        <f>SUMIFS(Summary!$H:$H,Summary!$B:$B,$J31,Summary!$A:$A,"&lt;&gt;Savings")</f>
        <v/>
      </c>
    </row>
    <row r="32">
      <c r="J32" s="41" t="n">
        <v>46844</v>
      </c>
      <c r="K32" s="18">
        <f>SUMIFS(Summary!$C:$C,Summary!$B:$B,$J32,Summary!$A:$A,"&lt;&gt;Savings")</f>
        <v/>
      </c>
      <c r="L32" s="18">
        <f>SUMIFS(Summary!$C:$C,Summary!$B:$B,$J32,Summary!$A:$A,"Savings")</f>
        <v/>
      </c>
      <c r="M32" s="18">
        <f>K32+L32</f>
        <v/>
      </c>
      <c r="N32" s="18">
        <f>SUMIFS(Summary!$F:$F,Summary!$B:$B,$J32,Summary!$A:$A,"&lt;&gt;Savings")</f>
        <v/>
      </c>
      <c r="O32" s="18">
        <f>SUMIFS(Summary!$H:$H,Summary!$B:$B,$J32,Summary!$A:$A,"&lt;&gt;Savings")</f>
        <v/>
      </c>
    </row>
    <row r="33">
      <c r="J33" s="41" t="n">
        <v>46874</v>
      </c>
      <c r="K33" s="18">
        <f>SUMIFS(Summary!$C:$C,Summary!$B:$B,$J33,Summary!$A:$A,"&lt;&gt;Savings")</f>
        <v/>
      </c>
      <c r="L33" s="18">
        <f>SUMIFS(Summary!$C:$C,Summary!$B:$B,$J33,Summary!$A:$A,"Savings")</f>
        <v/>
      </c>
      <c r="M33" s="18">
        <f>K33+L33</f>
        <v/>
      </c>
      <c r="N33" s="18">
        <f>SUMIFS(Summary!$F:$F,Summary!$B:$B,$J33,Summary!$A:$A,"&lt;&gt;Savings")</f>
        <v/>
      </c>
      <c r="O33" s="18">
        <f>SUMIFS(Summary!$H:$H,Summary!$B:$B,$J33,Summary!$A:$A,"&lt;&gt;Savings")</f>
        <v/>
      </c>
    </row>
    <row r="34">
      <c r="J34" s="41" t="n">
        <v>46905</v>
      </c>
      <c r="K34" s="18">
        <f>SUMIFS(Summary!$C:$C,Summary!$B:$B,$J34,Summary!$A:$A,"&lt;&gt;Savings")</f>
        <v/>
      </c>
      <c r="L34" s="18">
        <f>SUMIFS(Summary!$C:$C,Summary!$B:$B,$J34,Summary!$A:$A,"Savings")</f>
        <v/>
      </c>
      <c r="M34" s="18">
        <f>K34+L34</f>
        <v/>
      </c>
      <c r="N34" s="18">
        <f>SUMIFS(Summary!$F:$F,Summary!$B:$B,$J34,Summary!$A:$A,"&lt;&gt;Savings")</f>
        <v/>
      </c>
      <c r="O34" s="18">
        <f>SUMIFS(Summary!$H:$H,Summary!$B:$B,$J34,Summary!$A:$A,"&lt;&gt;Savings")</f>
        <v/>
      </c>
    </row>
    <row r="35">
      <c r="J35" s="41" t="n">
        <v>46935</v>
      </c>
      <c r="K35" s="18">
        <f>SUMIFS(Summary!$C:$C,Summary!$B:$B,$J35,Summary!$A:$A,"&lt;&gt;Savings")</f>
        <v/>
      </c>
      <c r="L35" s="18">
        <f>SUMIFS(Summary!$C:$C,Summary!$B:$B,$J35,Summary!$A:$A,"Savings")</f>
        <v/>
      </c>
      <c r="M35" s="18">
        <f>K35+L35</f>
        <v/>
      </c>
      <c r="N35" s="18">
        <f>SUMIFS(Summary!$F:$F,Summary!$B:$B,$J35,Summary!$A:$A,"&lt;&gt;Savings")</f>
        <v/>
      </c>
      <c r="O35" s="18">
        <f>SUMIFS(Summary!$H:$H,Summary!$B:$B,$J35,Summary!$A:$A,"&lt;&gt;Savings")</f>
        <v/>
      </c>
    </row>
    <row r="36">
      <c r="J36" s="41" t="n">
        <v>46966</v>
      </c>
      <c r="K36" s="18">
        <f>SUMIFS(Summary!$C:$C,Summary!$B:$B,$J36,Summary!$A:$A,"&lt;&gt;Savings")</f>
        <v/>
      </c>
      <c r="L36" s="18">
        <f>SUMIFS(Summary!$C:$C,Summary!$B:$B,$J36,Summary!$A:$A,"Savings")</f>
        <v/>
      </c>
      <c r="M36" s="18">
        <f>K36+L36</f>
        <v/>
      </c>
      <c r="N36" s="18">
        <f>SUMIFS(Summary!$F:$F,Summary!$B:$B,$J36,Summary!$A:$A,"&lt;&gt;Savings")</f>
        <v/>
      </c>
      <c r="O36" s="18">
        <f>SUMIFS(Summary!$H:$H,Summary!$B:$B,$J36,Summary!$A:$A,"&lt;&gt;Savings")</f>
        <v/>
      </c>
    </row>
    <row r="37">
      <c r="J37" s="41" t="n">
        <v>46997</v>
      </c>
      <c r="K37" s="18">
        <f>SUMIFS(Summary!$C:$C,Summary!$B:$B,$J37,Summary!$A:$A,"&lt;&gt;Savings")</f>
        <v/>
      </c>
      <c r="L37" s="18">
        <f>SUMIFS(Summary!$C:$C,Summary!$B:$B,$J37,Summary!$A:$A,"Savings")</f>
        <v/>
      </c>
      <c r="M37" s="18">
        <f>K37+L37</f>
        <v/>
      </c>
      <c r="N37" s="18">
        <f>SUMIFS(Summary!$F:$F,Summary!$B:$B,$J37,Summary!$A:$A,"&lt;&gt;Savings")</f>
        <v/>
      </c>
      <c r="O37" s="18">
        <f>SUMIFS(Summary!$H:$H,Summary!$B:$B,$J37,Summary!$A:$A,"&lt;&gt;Savings")</f>
        <v/>
      </c>
    </row>
  </sheetData>
  <dataValidations count="1">
    <dataValidation sqref="B3" showDropDown="0" showInputMessage="0" showErrorMessage="0" allowBlank="0" type="list">
      <formula1>'Dashboard'!$J$2:$J$37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2026-04-07T16:05:03Z</dcterms:created>
  <dcterms:modified xmlns:dcterms="http://purl.org/dc/terms/" xmlns:xsi="http://www.w3.org/2001/XMLSchema-instance" xsi:type="dcterms:W3CDTF">2026-04-07T16:28:12Z</dcterms:modified>
</cp:coreProperties>
</file>