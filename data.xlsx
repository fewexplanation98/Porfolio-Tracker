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MEASIL\Downloads\"/>
    </mc:Choice>
  </mc:AlternateContent>
  <xr:revisionPtr revIDLastSave="0" documentId="8_{DC67F12B-7650-4590-AF6B-5AA32831B973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README" sheetId="1" r:id="rId1"/>
    <sheet name="Assets" sheetId="2" r:id="rId2"/>
    <sheet name="Transactions_PAC" sheetId="3" r:id="rId3"/>
    <sheet name="Transactions_Manual" sheetId="4" r:id="rId4"/>
    <sheet name="Month_End" sheetId="5" r:id="rId5"/>
    <sheet name="Summary" sheetId="6" r:id="rId6"/>
    <sheet name="Dashboard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2" i="6"/>
  <c r="G10" i="2"/>
  <c r="L36" i="7"/>
  <c r="L20" i="7"/>
  <c r="G352" i="6"/>
  <c r="C352" i="6"/>
  <c r="D351" i="6"/>
  <c r="C351" i="6"/>
  <c r="G350" i="6"/>
  <c r="C350" i="6"/>
  <c r="G351" i="6" s="1"/>
  <c r="D349" i="6"/>
  <c r="C349" i="6"/>
  <c r="L37" i="7" s="1"/>
  <c r="G348" i="6"/>
  <c r="C348" i="6"/>
  <c r="G349" i="6" s="1"/>
  <c r="D347" i="6"/>
  <c r="C347" i="6"/>
  <c r="L35" i="7" s="1"/>
  <c r="C346" i="6"/>
  <c r="G347" i="6" s="1"/>
  <c r="D345" i="6"/>
  <c r="C345" i="6"/>
  <c r="L33" i="7" s="1"/>
  <c r="G344" i="6"/>
  <c r="C344" i="6"/>
  <c r="D343" i="6"/>
  <c r="C343" i="6"/>
  <c r="L31" i="7" s="1"/>
  <c r="C342" i="6"/>
  <c r="D341" i="6"/>
  <c r="C341" i="6"/>
  <c r="L29" i="7" s="1"/>
  <c r="G340" i="6"/>
  <c r="C340" i="6"/>
  <c r="G341" i="6" s="1"/>
  <c r="D339" i="6"/>
  <c r="C339" i="6"/>
  <c r="L27" i="7" s="1"/>
  <c r="C338" i="6"/>
  <c r="D337" i="6"/>
  <c r="C337" i="6"/>
  <c r="L25" i="7" s="1"/>
  <c r="G336" i="6"/>
  <c r="C336" i="6"/>
  <c r="D335" i="6"/>
  <c r="C335" i="6"/>
  <c r="L23" i="7" s="1"/>
  <c r="C334" i="6"/>
  <c r="G335" i="6" s="1"/>
  <c r="D333" i="6"/>
  <c r="C333" i="6"/>
  <c r="L21" i="7" s="1"/>
  <c r="G332" i="6"/>
  <c r="C332" i="6"/>
  <c r="G333" i="6" s="1"/>
  <c r="D331" i="6"/>
  <c r="C331" i="6"/>
  <c r="L19" i="7" s="1"/>
  <c r="D330" i="6"/>
  <c r="C330" i="6"/>
  <c r="D329" i="6"/>
  <c r="C329" i="6"/>
  <c r="L17" i="7" s="1"/>
  <c r="D328" i="6"/>
  <c r="C328" i="6"/>
  <c r="D327" i="6"/>
  <c r="C327" i="6"/>
  <c r="L15" i="7" s="1"/>
  <c r="D326" i="6"/>
  <c r="C326" i="6"/>
  <c r="G327" i="6" s="1"/>
  <c r="D325" i="6"/>
  <c r="C325" i="6"/>
  <c r="G324" i="6"/>
  <c r="D324" i="6"/>
  <c r="C324" i="6"/>
  <c r="D323" i="6"/>
  <c r="C323" i="6"/>
  <c r="L11" i="7" s="1"/>
  <c r="D322" i="6"/>
  <c r="C322" i="6"/>
  <c r="D321" i="6"/>
  <c r="C321" i="6"/>
  <c r="D320" i="6"/>
  <c r="C320" i="6"/>
  <c r="D319" i="6"/>
  <c r="C319" i="6"/>
  <c r="G318" i="6"/>
  <c r="D318" i="6"/>
  <c r="C318" i="6"/>
  <c r="D317" i="6"/>
  <c r="C317" i="6"/>
  <c r="L5" i="7" s="1"/>
  <c r="D316" i="6"/>
  <c r="C316" i="6"/>
  <c r="G317" i="6" s="1"/>
  <c r="D315" i="6"/>
  <c r="C315" i="6"/>
  <c r="L3" i="7" s="1"/>
  <c r="C314" i="6"/>
  <c r="G315" i="6" s="1"/>
  <c r="C313" i="6"/>
  <c r="G312" i="6"/>
  <c r="C312" i="6"/>
  <c r="G313" i="6" s="1"/>
  <c r="C311" i="6"/>
  <c r="G310" i="6"/>
  <c r="C310" i="6"/>
  <c r="G311" i="6" s="1"/>
  <c r="C309" i="6"/>
  <c r="G308" i="6"/>
  <c r="C308" i="6"/>
  <c r="G309" i="6" s="1"/>
  <c r="C307" i="6"/>
  <c r="C306" i="6"/>
  <c r="G307" i="6" s="1"/>
  <c r="C305" i="6"/>
  <c r="G306" i="6" s="1"/>
  <c r="C304" i="6"/>
  <c r="G305" i="6" s="1"/>
  <c r="C303" i="6"/>
  <c r="G304" i="6" s="1"/>
  <c r="G302" i="6"/>
  <c r="C302" i="6"/>
  <c r="G303" i="6" s="1"/>
  <c r="C301" i="6"/>
  <c r="G300" i="6"/>
  <c r="C300" i="6"/>
  <c r="C299" i="6"/>
  <c r="G298" i="6"/>
  <c r="C298" i="6"/>
  <c r="G299" i="6" s="1"/>
  <c r="C297" i="6"/>
  <c r="G296" i="6"/>
  <c r="C296" i="6"/>
  <c r="G297" i="6" s="1"/>
  <c r="C295" i="6"/>
  <c r="G294" i="6"/>
  <c r="C294" i="6"/>
  <c r="G295" i="6" s="1"/>
  <c r="C293" i="6"/>
  <c r="C292" i="6"/>
  <c r="G293" i="6" s="1"/>
  <c r="C291" i="6"/>
  <c r="G292" i="6" s="1"/>
  <c r="C290" i="6"/>
  <c r="G291" i="6" s="1"/>
  <c r="C289" i="6"/>
  <c r="G290" i="6" s="1"/>
  <c r="G288" i="6"/>
  <c r="C288" i="6"/>
  <c r="G289" i="6" s="1"/>
  <c r="C287" i="6"/>
  <c r="G286" i="6"/>
  <c r="C286" i="6"/>
  <c r="C285" i="6"/>
  <c r="G284" i="6"/>
  <c r="C284" i="6"/>
  <c r="G285" i="6" s="1"/>
  <c r="C283" i="6"/>
  <c r="C282" i="6"/>
  <c r="G283" i="6" s="1"/>
  <c r="C281" i="6"/>
  <c r="G282" i="6" s="1"/>
  <c r="G280" i="6"/>
  <c r="C280" i="6"/>
  <c r="C279" i="6"/>
  <c r="C278" i="6"/>
  <c r="G279" i="6" s="1"/>
  <c r="C277" i="6"/>
  <c r="G278" i="6" s="1"/>
  <c r="C276" i="6"/>
  <c r="G277" i="6" s="1"/>
  <c r="C275" i="6"/>
  <c r="G276" i="6" s="1"/>
  <c r="G274" i="6"/>
  <c r="C274" i="6"/>
  <c r="C273" i="6"/>
  <c r="C272" i="6"/>
  <c r="G273" i="6" s="1"/>
  <c r="C271" i="6"/>
  <c r="G272" i="6" s="1"/>
  <c r="C270" i="6"/>
  <c r="G271" i="6" s="1"/>
  <c r="C269" i="6"/>
  <c r="G270" i="6" s="1"/>
  <c r="C268" i="6"/>
  <c r="G269" i="6" s="1"/>
  <c r="C267" i="6"/>
  <c r="C266" i="6"/>
  <c r="G267" i="6" s="1"/>
  <c r="C265" i="6"/>
  <c r="G266" i="6" s="1"/>
  <c r="G264" i="6"/>
  <c r="C264" i="6"/>
  <c r="G265" i="6" s="1"/>
  <c r="C263" i="6"/>
  <c r="G262" i="6"/>
  <c r="C262" i="6"/>
  <c r="G263" i="6" s="1"/>
  <c r="C261" i="6"/>
  <c r="C260" i="6"/>
  <c r="G261" i="6" s="1"/>
  <c r="C259" i="6"/>
  <c r="G260" i="6" s="1"/>
  <c r="C258" i="6"/>
  <c r="G259" i="6" s="1"/>
  <c r="C257" i="6"/>
  <c r="G258" i="6" s="1"/>
  <c r="G256" i="6"/>
  <c r="C256" i="6"/>
  <c r="G257" i="6" s="1"/>
  <c r="C255" i="6"/>
  <c r="G254" i="6"/>
  <c r="C254" i="6"/>
  <c r="G255" i="6" s="1"/>
  <c r="C253" i="6"/>
  <c r="C252" i="6"/>
  <c r="G253" i="6" s="1"/>
  <c r="C251" i="6"/>
  <c r="G252" i="6" s="1"/>
  <c r="G250" i="6"/>
  <c r="C250" i="6"/>
  <c r="C249" i="6"/>
  <c r="G248" i="6"/>
  <c r="C248" i="6"/>
  <c r="G249" i="6" s="1"/>
  <c r="C247" i="6"/>
  <c r="C246" i="6"/>
  <c r="G247" i="6" s="1"/>
  <c r="C245" i="6"/>
  <c r="G246" i="6" s="1"/>
  <c r="C244" i="6"/>
  <c r="G245" i="6" s="1"/>
  <c r="C243" i="6"/>
  <c r="G244" i="6" s="1"/>
  <c r="G242" i="6"/>
  <c r="C242" i="6"/>
  <c r="G243" i="6" s="1"/>
  <c r="C241" i="6"/>
  <c r="B12" i="7" s="1"/>
  <c r="C240" i="6"/>
  <c r="G241" i="6" s="1"/>
  <c r="C239" i="6"/>
  <c r="G240" i="6" s="1"/>
  <c r="C238" i="6"/>
  <c r="G239" i="6" s="1"/>
  <c r="C237" i="6"/>
  <c r="G238" i="6" s="1"/>
  <c r="C236" i="6"/>
  <c r="G237" i="6" s="1"/>
  <c r="C235" i="6"/>
  <c r="G234" i="6"/>
  <c r="C234" i="6"/>
  <c r="G235" i="6" s="1"/>
  <c r="C233" i="6"/>
  <c r="C232" i="6"/>
  <c r="G233" i="6" s="1"/>
  <c r="C231" i="6"/>
  <c r="G232" i="6" s="1"/>
  <c r="G230" i="6"/>
  <c r="C230" i="6"/>
  <c r="G231" i="6" s="1"/>
  <c r="G229" i="6"/>
  <c r="C229" i="6"/>
  <c r="C228" i="6"/>
  <c r="C227" i="6"/>
  <c r="G228" i="6" s="1"/>
  <c r="G226" i="6"/>
  <c r="C226" i="6"/>
  <c r="G227" i="6" s="1"/>
  <c r="G225" i="6"/>
  <c r="C225" i="6"/>
  <c r="G224" i="6"/>
  <c r="C224" i="6"/>
  <c r="G223" i="6"/>
  <c r="C223" i="6"/>
  <c r="G222" i="6"/>
  <c r="C222" i="6"/>
  <c r="C221" i="6"/>
  <c r="G220" i="6"/>
  <c r="C220" i="6"/>
  <c r="G221" i="6" s="1"/>
  <c r="G219" i="6"/>
  <c r="C219" i="6"/>
  <c r="C218" i="6"/>
  <c r="G217" i="6"/>
  <c r="C217" i="6"/>
  <c r="G218" i="6" s="1"/>
  <c r="G216" i="6"/>
  <c r="C216" i="6"/>
  <c r="C215" i="6"/>
  <c r="G214" i="6"/>
  <c r="C214" i="6"/>
  <c r="G215" i="6" s="1"/>
  <c r="C213" i="6"/>
  <c r="C212" i="6"/>
  <c r="G213" i="6" s="1"/>
  <c r="C211" i="6"/>
  <c r="G212" i="6" s="1"/>
  <c r="G210" i="6"/>
  <c r="C210" i="6"/>
  <c r="G211" i="6" s="1"/>
  <c r="G209" i="6"/>
  <c r="C209" i="6"/>
  <c r="G208" i="6"/>
  <c r="C208" i="6"/>
  <c r="G207" i="6"/>
  <c r="C207" i="6"/>
  <c r="C206" i="6"/>
  <c r="C205" i="6"/>
  <c r="G206" i="6" s="1"/>
  <c r="C204" i="6"/>
  <c r="G205" i="6" s="1"/>
  <c r="C203" i="6"/>
  <c r="G204" i="6" s="1"/>
  <c r="G202" i="6"/>
  <c r="C202" i="6"/>
  <c r="G201" i="6"/>
  <c r="C201" i="6"/>
  <c r="G200" i="6"/>
  <c r="C200" i="6"/>
  <c r="C199" i="6"/>
  <c r="C198" i="6"/>
  <c r="G199" i="6" s="1"/>
  <c r="C197" i="6"/>
  <c r="G198" i="6" s="1"/>
  <c r="C196" i="6"/>
  <c r="C195" i="6"/>
  <c r="G196" i="6" s="1"/>
  <c r="C194" i="6"/>
  <c r="G195" i="6" s="1"/>
  <c r="C193" i="6"/>
  <c r="G194" i="6" s="1"/>
  <c r="C192" i="6"/>
  <c r="G193" i="6" s="1"/>
  <c r="C191" i="6"/>
  <c r="G192" i="6" s="1"/>
  <c r="C190" i="6"/>
  <c r="G191" i="6" s="1"/>
  <c r="C189" i="6"/>
  <c r="G190" i="6" s="1"/>
  <c r="C188" i="6"/>
  <c r="C187" i="6"/>
  <c r="G188" i="6" s="1"/>
  <c r="C186" i="6"/>
  <c r="G187" i="6" s="1"/>
  <c r="C185" i="6"/>
  <c r="G186" i="6" s="1"/>
  <c r="C184" i="6"/>
  <c r="G185" i="6" s="1"/>
  <c r="C183" i="6"/>
  <c r="G184" i="6" s="1"/>
  <c r="C182" i="6"/>
  <c r="G183" i="6" s="1"/>
  <c r="C181" i="6"/>
  <c r="G182" i="6" s="1"/>
  <c r="C180" i="6"/>
  <c r="G181" i="6" s="1"/>
  <c r="C179" i="6"/>
  <c r="G180" i="6" s="1"/>
  <c r="C178" i="6"/>
  <c r="G179" i="6" s="1"/>
  <c r="C177" i="6"/>
  <c r="G178" i="6" s="1"/>
  <c r="C176" i="6"/>
  <c r="G177" i="6" s="1"/>
  <c r="C175" i="6"/>
  <c r="G176" i="6" s="1"/>
  <c r="C174" i="6"/>
  <c r="G175" i="6" s="1"/>
  <c r="C173" i="6"/>
  <c r="G174" i="6" s="1"/>
  <c r="C172" i="6"/>
  <c r="G173" i="6" s="1"/>
  <c r="C171" i="6"/>
  <c r="G172" i="6" s="1"/>
  <c r="C170" i="6"/>
  <c r="G171" i="6" s="1"/>
  <c r="C169" i="6"/>
  <c r="G170" i="6" s="1"/>
  <c r="C168" i="6"/>
  <c r="G169" i="6" s="1"/>
  <c r="C167" i="6"/>
  <c r="G168" i="6" s="1"/>
  <c r="C166" i="6"/>
  <c r="G167" i="6" s="1"/>
  <c r="C165" i="6"/>
  <c r="G166" i="6" s="1"/>
  <c r="C164" i="6"/>
  <c r="G165" i="6" s="1"/>
  <c r="C163" i="6"/>
  <c r="C162" i="6"/>
  <c r="G163" i="6" s="1"/>
  <c r="C161" i="6"/>
  <c r="G162" i="6" s="1"/>
  <c r="C160" i="6"/>
  <c r="G161" i="6" s="1"/>
  <c r="C159" i="6"/>
  <c r="C158" i="6"/>
  <c r="G159" i="6" s="1"/>
  <c r="G157" i="6"/>
  <c r="C157" i="6"/>
  <c r="G156" i="6"/>
  <c r="C156" i="6"/>
  <c r="G155" i="6"/>
  <c r="C155" i="6"/>
  <c r="C154" i="6"/>
  <c r="C153" i="6"/>
  <c r="G154" i="6" s="1"/>
  <c r="G152" i="6"/>
  <c r="C152" i="6"/>
  <c r="G151" i="6"/>
  <c r="C151" i="6"/>
  <c r="G150" i="6"/>
  <c r="C150" i="6"/>
  <c r="G149" i="6"/>
  <c r="C149" i="6"/>
  <c r="G148" i="6"/>
  <c r="C148" i="6"/>
  <c r="C147" i="6"/>
  <c r="C146" i="6"/>
  <c r="G147" i="6" s="1"/>
  <c r="G145" i="6"/>
  <c r="C145" i="6"/>
  <c r="G144" i="6"/>
  <c r="C144" i="6"/>
  <c r="G143" i="6"/>
  <c r="C143" i="6"/>
  <c r="G142" i="6"/>
  <c r="C142" i="6"/>
  <c r="C141" i="6"/>
  <c r="G140" i="6"/>
  <c r="C140" i="6"/>
  <c r="G141" i="6" s="1"/>
  <c r="C139" i="6"/>
  <c r="C138" i="6"/>
  <c r="G139" i="6" s="1"/>
  <c r="C137" i="6"/>
  <c r="G138" i="6" s="1"/>
  <c r="C136" i="6"/>
  <c r="G137" i="6" s="1"/>
  <c r="C135" i="6"/>
  <c r="G136" i="6" s="1"/>
  <c r="C134" i="6"/>
  <c r="G135" i="6" s="1"/>
  <c r="G133" i="6"/>
  <c r="C133" i="6"/>
  <c r="G134" i="6" s="1"/>
  <c r="G132" i="6"/>
  <c r="C132" i="6"/>
  <c r="C131" i="6"/>
  <c r="G130" i="6"/>
  <c r="C130" i="6"/>
  <c r="G131" i="6" s="1"/>
  <c r="C129" i="6"/>
  <c r="G128" i="6"/>
  <c r="C128" i="6"/>
  <c r="C127" i="6"/>
  <c r="C126" i="6"/>
  <c r="G127" i="6" s="1"/>
  <c r="C125" i="6"/>
  <c r="G126" i="6" s="1"/>
  <c r="C124" i="6"/>
  <c r="C123" i="6"/>
  <c r="G124" i="6" s="1"/>
  <c r="C122" i="6"/>
  <c r="G123" i="6" s="1"/>
  <c r="C121" i="6"/>
  <c r="G122" i="6" s="1"/>
  <c r="C120" i="6"/>
  <c r="G121" i="6" s="1"/>
  <c r="C119" i="6"/>
  <c r="G120" i="6" s="1"/>
  <c r="C118" i="6"/>
  <c r="G117" i="6"/>
  <c r="C117" i="6"/>
  <c r="G118" i="6" s="1"/>
  <c r="C116" i="6"/>
  <c r="G115" i="6"/>
  <c r="C115" i="6"/>
  <c r="G116" i="6" s="1"/>
  <c r="C114" i="6"/>
  <c r="C113" i="6"/>
  <c r="G114" i="6" s="1"/>
  <c r="C112" i="6"/>
  <c r="G113" i="6" s="1"/>
  <c r="C111" i="6"/>
  <c r="G112" i="6" s="1"/>
  <c r="C110" i="6"/>
  <c r="G111" i="6" s="1"/>
  <c r="C109" i="6"/>
  <c r="G110" i="6" s="1"/>
  <c r="C108" i="6"/>
  <c r="G109" i="6" s="1"/>
  <c r="C107" i="6"/>
  <c r="G108" i="6" s="1"/>
  <c r="C106" i="6"/>
  <c r="G107" i="6" s="1"/>
  <c r="G105" i="6"/>
  <c r="C105" i="6"/>
  <c r="G106" i="6" s="1"/>
  <c r="C104" i="6"/>
  <c r="G103" i="6"/>
  <c r="C103" i="6"/>
  <c r="G104" i="6" s="1"/>
  <c r="C102" i="6"/>
  <c r="C101" i="6"/>
  <c r="G102" i="6" s="1"/>
  <c r="C100" i="6"/>
  <c r="G101" i="6" s="1"/>
  <c r="C99" i="6"/>
  <c r="G100" i="6" s="1"/>
  <c r="C98" i="6"/>
  <c r="G99" i="6" s="1"/>
  <c r="C97" i="6"/>
  <c r="G98" i="6" s="1"/>
  <c r="C96" i="6"/>
  <c r="G97" i="6" s="1"/>
  <c r="C95" i="6"/>
  <c r="G96" i="6" s="1"/>
  <c r="C94" i="6"/>
  <c r="G95" i="6" s="1"/>
  <c r="G93" i="6"/>
  <c r="C93" i="6"/>
  <c r="G94" i="6" s="1"/>
  <c r="C92" i="6"/>
  <c r="C91" i="6"/>
  <c r="G92" i="6" s="1"/>
  <c r="C90" i="6"/>
  <c r="G91" i="6" s="1"/>
  <c r="C89" i="6"/>
  <c r="G90" i="6" s="1"/>
  <c r="C88" i="6"/>
  <c r="G89" i="6" s="1"/>
  <c r="C87" i="6"/>
  <c r="G88" i="6" s="1"/>
  <c r="C86" i="6"/>
  <c r="G87" i="6" s="1"/>
  <c r="G85" i="6"/>
  <c r="C85" i="6"/>
  <c r="C84" i="6"/>
  <c r="C83" i="6"/>
  <c r="G84" i="6" s="1"/>
  <c r="C82" i="6"/>
  <c r="G83" i="6" s="1"/>
  <c r="G81" i="6"/>
  <c r="C81" i="6"/>
  <c r="G82" i="6" s="1"/>
  <c r="C80" i="6"/>
  <c r="G79" i="6"/>
  <c r="C79" i="6"/>
  <c r="C78" i="6"/>
  <c r="G77" i="6"/>
  <c r="C77" i="6"/>
  <c r="G76" i="6"/>
  <c r="C76" i="6"/>
  <c r="C75" i="6"/>
  <c r="C74" i="6"/>
  <c r="G75" i="6" s="1"/>
  <c r="G73" i="6"/>
  <c r="C73" i="6"/>
  <c r="G74" i="6" s="1"/>
  <c r="C72" i="6"/>
  <c r="G71" i="6"/>
  <c r="C71" i="6"/>
  <c r="G72" i="6" s="1"/>
  <c r="C70" i="6"/>
  <c r="C69" i="6"/>
  <c r="G70" i="6" s="1"/>
  <c r="G68" i="6"/>
  <c r="C68" i="6"/>
  <c r="G69" i="6" s="1"/>
  <c r="C67" i="6"/>
  <c r="G66" i="6"/>
  <c r="C66" i="6"/>
  <c r="G67" i="6" s="1"/>
  <c r="G65" i="6"/>
  <c r="C65" i="6"/>
  <c r="G64" i="6"/>
  <c r="C64" i="6"/>
  <c r="G63" i="6"/>
  <c r="C63" i="6"/>
  <c r="G62" i="6"/>
  <c r="C62" i="6"/>
  <c r="C61" i="6"/>
  <c r="C60" i="6"/>
  <c r="G61" i="6" s="1"/>
  <c r="G59" i="6"/>
  <c r="C59" i="6"/>
  <c r="G60" i="6" s="1"/>
  <c r="C58" i="6"/>
  <c r="C57" i="6"/>
  <c r="G58" i="6" s="1"/>
  <c r="C56" i="6"/>
  <c r="G57" i="6" s="1"/>
  <c r="C55" i="6"/>
  <c r="G56" i="6" s="1"/>
  <c r="C54" i="6"/>
  <c r="G55" i="6" s="1"/>
  <c r="C53" i="6"/>
  <c r="G54" i="6" s="1"/>
  <c r="C52" i="6"/>
  <c r="G53" i="6" s="1"/>
  <c r="C51" i="6"/>
  <c r="G52" i="6" s="1"/>
  <c r="C50" i="6"/>
  <c r="G51" i="6" s="1"/>
  <c r="G49" i="6"/>
  <c r="C49" i="6"/>
  <c r="G50" i="6" s="1"/>
  <c r="C48" i="6"/>
  <c r="C47" i="6"/>
  <c r="G48" i="6" s="1"/>
  <c r="C46" i="6"/>
  <c r="G45" i="6"/>
  <c r="C45" i="6"/>
  <c r="G46" i="6" s="1"/>
  <c r="C44" i="6"/>
  <c r="G43" i="6"/>
  <c r="C43" i="6"/>
  <c r="G44" i="6" s="1"/>
  <c r="C42" i="6"/>
  <c r="C41" i="6"/>
  <c r="G42" i="6" s="1"/>
  <c r="G40" i="6"/>
  <c r="C40" i="6"/>
  <c r="C39" i="6"/>
  <c r="C38" i="6"/>
  <c r="G39" i="6" s="1"/>
  <c r="C37" i="6"/>
  <c r="G36" i="6"/>
  <c r="C36" i="6"/>
  <c r="C35" i="6"/>
  <c r="K35" i="7" s="1"/>
  <c r="M35" i="7" s="1"/>
  <c r="C34" i="6"/>
  <c r="C33" i="6"/>
  <c r="G32" i="6"/>
  <c r="C32" i="6"/>
  <c r="C31" i="6"/>
  <c r="K31" i="7" s="1"/>
  <c r="M31" i="7" s="1"/>
  <c r="C30" i="6"/>
  <c r="C29" i="6"/>
  <c r="C28" i="6"/>
  <c r="C27" i="6"/>
  <c r="K27" i="7" s="1"/>
  <c r="M27" i="7" s="1"/>
  <c r="C26" i="6"/>
  <c r="C25" i="6"/>
  <c r="G24" i="6"/>
  <c r="C24" i="6"/>
  <c r="C23" i="6"/>
  <c r="C22" i="6"/>
  <c r="C21" i="6"/>
  <c r="K21" i="7" s="1"/>
  <c r="M21" i="7" s="1"/>
  <c r="C20" i="6"/>
  <c r="C19" i="6"/>
  <c r="K19" i="7" s="1"/>
  <c r="M19" i="7" s="1"/>
  <c r="G18" i="6"/>
  <c r="C18" i="6"/>
  <c r="C17" i="6"/>
  <c r="C16" i="6"/>
  <c r="C15" i="6"/>
  <c r="G14" i="6"/>
  <c r="C14" i="6"/>
  <c r="C13" i="6"/>
  <c r="C12" i="6"/>
  <c r="C11" i="6"/>
  <c r="G10" i="6"/>
  <c r="C10" i="6"/>
  <c r="C9" i="6"/>
  <c r="K9" i="7" s="1"/>
  <c r="G8" i="6"/>
  <c r="C8" i="6"/>
  <c r="C7" i="6"/>
  <c r="C6" i="6"/>
  <c r="C5" i="6"/>
  <c r="G4" i="6"/>
  <c r="C4" i="6"/>
  <c r="C3" i="6"/>
  <c r="K3" i="7" s="1"/>
  <c r="M3" i="7" s="1"/>
  <c r="C2" i="6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1057" i="3"/>
  <c r="B1056" i="3"/>
  <c r="B1055" i="3"/>
  <c r="B1054" i="3"/>
  <c r="B1053" i="3"/>
  <c r="B1052" i="3"/>
  <c r="B1051" i="3"/>
  <c r="B1050" i="3"/>
  <c r="B1049" i="3"/>
  <c r="B1048" i="3"/>
  <c r="B1047" i="3"/>
  <c r="B1046" i="3"/>
  <c r="B1045" i="3"/>
  <c r="B1044" i="3"/>
  <c r="B1043" i="3"/>
  <c r="B1042" i="3"/>
  <c r="B1041" i="3"/>
  <c r="B1040" i="3"/>
  <c r="B1039" i="3"/>
  <c r="B1038" i="3"/>
  <c r="B1037" i="3"/>
  <c r="B1036" i="3"/>
  <c r="B1035" i="3"/>
  <c r="B1034" i="3"/>
  <c r="B1033" i="3"/>
  <c r="B1032" i="3"/>
  <c r="B1031" i="3"/>
  <c r="B1030" i="3"/>
  <c r="B1029" i="3"/>
  <c r="B1028" i="3"/>
  <c r="B1027" i="3"/>
  <c r="B1026" i="3"/>
  <c r="B1025" i="3"/>
  <c r="B1024" i="3"/>
  <c r="B1023" i="3"/>
  <c r="B1022" i="3"/>
  <c r="B1021" i="3"/>
  <c r="B1020" i="3"/>
  <c r="B1019" i="3"/>
  <c r="B1018" i="3"/>
  <c r="B1017" i="3"/>
  <c r="B1016" i="3"/>
  <c r="B1015" i="3"/>
  <c r="B1014" i="3"/>
  <c r="B1013" i="3"/>
  <c r="B1012" i="3"/>
  <c r="B1011" i="3"/>
  <c r="B1010" i="3"/>
  <c r="B1009" i="3"/>
  <c r="B1008" i="3"/>
  <c r="B1007" i="3"/>
  <c r="B1006" i="3"/>
  <c r="B1005" i="3"/>
  <c r="B1004" i="3"/>
  <c r="B1003" i="3"/>
  <c r="B1002" i="3"/>
  <c r="B1001" i="3"/>
  <c r="B1000" i="3"/>
  <c r="B999" i="3"/>
  <c r="B998" i="3"/>
  <c r="B997" i="3"/>
  <c r="B996" i="3"/>
  <c r="B995" i="3"/>
  <c r="B994" i="3"/>
  <c r="B993" i="3"/>
  <c r="B992" i="3"/>
  <c r="B991" i="3"/>
  <c r="B990" i="3"/>
  <c r="B989" i="3"/>
  <c r="B988" i="3"/>
  <c r="B987" i="3"/>
  <c r="B986" i="3"/>
  <c r="B985" i="3"/>
  <c r="B984" i="3"/>
  <c r="B983" i="3"/>
  <c r="B982" i="3"/>
  <c r="B981" i="3"/>
  <c r="B980" i="3"/>
  <c r="B979" i="3"/>
  <c r="B978" i="3"/>
  <c r="B977" i="3"/>
  <c r="B976" i="3"/>
  <c r="B975" i="3"/>
  <c r="B974" i="3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43" i="3"/>
  <c r="B942" i="3"/>
  <c r="B941" i="3"/>
  <c r="B940" i="3"/>
  <c r="B939" i="3"/>
  <c r="B938" i="3"/>
  <c r="B937" i="3"/>
  <c r="B936" i="3"/>
  <c r="B935" i="3"/>
  <c r="B934" i="3"/>
  <c r="B933" i="3"/>
  <c r="B932" i="3"/>
  <c r="B931" i="3"/>
  <c r="B930" i="3"/>
  <c r="B929" i="3"/>
  <c r="B928" i="3"/>
  <c r="B927" i="3"/>
  <c r="B926" i="3"/>
  <c r="B925" i="3"/>
  <c r="B924" i="3"/>
  <c r="B923" i="3"/>
  <c r="B922" i="3"/>
  <c r="B921" i="3"/>
  <c r="B920" i="3"/>
  <c r="B919" i="3"/>
  <c r="B918" i="3"/>
  <c r="B917" i="3"/>
  <c r="B916" i="3"/>
  <c r="B915" i="3"/>
  <c r="B914" i="3"/>
  <c r="B913" i="3"/>
  <c r="B912" i="3"/>
  <c r="B911" i="3"/>
  <c r="B910" i="3"/>
  <c r="B909" i="3"/>
  <c r="B908" i="3"/>
  <c r="B907" i="3"/>
  <c r="B906" i="3"/>
  <c r="B905" i="3"/>
  <c r="B904" i="3"/>
  <c r="B903" i="3"/>
  <c r="B902" i="3"/>
  <c r="B901" i="3"/>
  <c r="B900" i="3"/>
  <c r="B899" i="3"/>
  <c r="B898" i="3"/>
  <c r="B897" i="3"/>
  <c r="B896" i="3"/>
  <c r="B895" i="3"/>
  <c r="B894" i="3"/>
  <c r="B893" i="3"/>
  <c r="B892" i="3"/>
  <c r="B891" i="3"/>
  <c r="B890" i="3"/>
  <c r="B889" i="3"/>
  <c r="B888" i="3"/>
  <c r="B887" i="3"/>
  <c r="B886" i="3"/>
  <c r="B885" i="3"/>
  <c r="B884" i="3"/>
  <c r="B883" i="3"/>
  <c r="B882" i="3"/>
  <c r="B881" i="3"/>
  <c r="B880" i="3"/>
  <c r="B879" i="3"/>
  <c r="B878" i="3"/>
  <c r="B877" i="3"/>
  <c r="B876" i="3"/>
  <c r="B875" i="3"/>
  <c r="B874" i="3"/>
  <c r="B873" i="3"/>
  <c r="B872" i="3"/>
  <c r="B871" i="3"/>
  <c r="B870" i="3"/>
  <c r="B869" i="3"/>
  <c r="B868" i="3"/>
  <c r="B867" i="3"/>
  <c r="B866" i="3"/>
  <c r="B865" i="3"/>
  <c r="B864" i="3"/>
  <c r="B863" i="3"/>
  <c r="B862" i="3"/>
  <c r="B861" i="3"/>
  <c r="B860" i="3"/>
  <c r="B859" i="3"/>
  <c r="B858" i="3"/>
  <c r="B857" i="3"/>
  <c r="B856" i="3"/>
  <c r="B855" i="3"/>
  <c r="B854" i="3"/>
  <c r="B853" i="3"/>
  <c r="B852" i="3"/>
  <c r="B851" i="3"/>
  <c r="B850" i="3"/>
  <c r="B849" i="3"/>
  <c r="B848" i="3"/>
  <c r="B847" i="3"/>
  <c r="B846" i="3"/>
  <c r="B845" i="3"/>
  <c r="B844" i="3"/>
  <c r="B843" i="3"/>
  <c r="B842" i="3"/>
  <c r="B841" i="3"/>
  <c r="B840" i="3"/>
  <c r="B839" i="3"/>
  <c r="B838" i="3"/>
  <c r="B837" i="3"/>
  <c r="B836" i="3"/>
  <c r="B835" i="3"/>
  <c r="B834" i="3"/>
  <c r="B833" i="3"/>
  <c r="B832" i="3"/>
  <c r="B831" i="3"/>
  <c r="B830" i="3"/>
  <c r="B829" i="3"/>
  <c r="B828" i="3"/>
  <c r="B827" i="3"/>
  <c r="B826" i="3"/>
  <c r="B825" i="3"/>
  <c r="B824" i="3"/>
  <c r="B823" i="3"/>
  <c r="B822" i="3"/>
  <c r="B821" i="3"/>
  <c r="B820" i="3"/>
  <c r="B819" i="3"/>
  <c r="B818" i="3"/>
  <c r="B817" i="3"/>
  <c r="B816" i="3"/>
  <c r="B815" i="3"/>
  <c r="B814" i="3"/>
  <c r="B813" i="3"/>
  <c r="B812" i="3"/>
  <c r="B811" i="3"/>
  <c r="B810" i="3"/>
  <c r="B809" i="3"/>
  <c r="B808" i="3"/>
  <c r="B807" i="3"/>
  <c r="B806" i="3"/>
  <c r="B805" i="3"/>
  <c r="B804" i="3"/>
  <c r="B803" i="3"/>
  <c r="B802" i="3"/>
  <c r="B801" i="3"/>
  <c r="B800" i="3"/>
  <c r="B799" i="3"/>
  <c r="B798" i="3"/>
  <c r="B797" i="3"/>
  <c r="B796" i="3"/>
  <c r="B795" i="3"/>
  <c r="B794" i="3"/>
  <c r="B793" i="3"/>
  <c r="B792" i="3"/>
  <c r="B791" i="3"/>
  <c r="B790" i="3"/>
  <c r="B789" i="3"/>
  <c r="B788" i="3"/>
  <c r="B787" i="3"/>
  <c r="B786" i="3"/>
  <c r="B785" i="3"/>
  <c r="B784" i="3"/>
  <c r="B783" i="3"/>
  <c r="B782" i="3"/>
  <c r="B781" i="3"/>
  <c r="B780" i="3"/>
  <c r="B779" i="3"/>
  <c r="B778" i="3"/>
  <c r="B777" i="3"/>
  <c r="B776" i="3"/>
  <c r="B775" i="3"/>
  <c r="B774" i="3"/>
  <c r="B773" i="3"/>
  <c r="B772" i="3"/>
  <c r="B771" i="3"/>
  <c r="B770" i="3"/>
  <c r="B769" i="3"/>
  <c r="B768" i="3"/>
  <c r="B767" i="3"/>
  <c r="B766" i="3"/>
  <c r="B765" i="3"/>
  <c r="B764" i="3"/>
  <c r="B763" i="3"/>
  <c r="B762" i="3"/>
  <c r="B761" i="3"/>
  <c r="B760" i="3"/>
  <c r="B759" i="3"/>
  <c r="B758" i="3"/>
  <c r="B757" i="3"/>
  <c r="B756" i="3"/>
  <c r="B755" i="3"/>
  <c r="B754" i="3"/>
  <c r="B753" i="3"/>
  <c r="B752" i="3"/>
  <c r="B751" i="3"/>
  <c r="B750" i="3"/>
  <c r="B749" i="3"/>
  <c r="B748" i="3"/>
  <c r="B747" i="3"/>
  <c r="B746" i="3"/>
  <c r="B745" i="3"/>
  <c r="B744" i="3"/>
  <c r="B743" i="3"/>
  <c r="B742" i="3"/>
  <c r="B741" i="3"/>
  <c r="B740" i="3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E475" i="3"/>
  <c r="H475" i="3" s="1"/>
  <c r="B475" i="3"/>
  <c r="B474" i="3"/>
  <c r="B473" i="3"/>
  <c r="B472" i="3"/>
  <c r="B471" i="3"/>
  <c r="B470" i="3"/>
  <c r="B469" i="3"/>
  <c r="B468" i="3"/>
  <c r="B467" i="3"/>
  <c r="B466" i="3"/>
  <c r="B465" i="3"/>
  <c r="E464" i="3"/>
  <c r="H464" i="3" s="1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E441" i="3"/>
  <c r="H441" i="3" s="1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E310" i="3"/>
  <c r="H310" i="3" s="1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E208" i="3"/>
  <c r="H208" i="3" s="1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E183" i="3"/>
  <c r="H183" i="3" s="1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E144" i="3"/>
  <c r="H144" i="3" s="1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E124" i="3"/>
  <c r="H124" i="3" s="1"/>
  <c r="B124" i="3"/>
  <c r="B123" i="3"/>
  <c r="E122" i="3"/>
  <c r="H122" i="3" s="1"/>
  <c r="B122" i="3"/>
  <c r="B121" i="3"/>
  <c r="B120" i="3"/>
  <c r="B119" i="3"/>
  <c r="B118" i="3"/>
  <c r="B117" i="3"/>
  <c r="B116" i="3"/>
  <c r="B115" i="3"/>
  <c r="B114" i="3"/>
  <c r="B113" i="3"/>
  <c r="E112" i="3"/>
  <c r="H112" i="3" s="1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E17" i="3"/>
  <c r="H17" i="3" s="1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G9" i="2"/>
  <c r="E254" i="3" s="1"/>
  <c r="H254" i="3" s="1"/>
  <c r="G8" i="2"/>
  <c r="E380" i="3" s="1"/>
  <c r="H380" i="3" s="1"/>
  <c r="G7" i="2"/>
  <c r="E598" i="3" s="1"/>
  <c r="H598" i="3" s="1"/>
  <c r="G6" i="2"/>
  <c r="E821" i="3" s="1"/>
  <c r="H821" i="3" s="1"/>
  <c r="G5" i="2"/>
  <c r="E849" i="3" s="1"/>
  <c r="H849" i="3" s="1"/>
  <c r="G4" i="2"/>
  <c r="E394" i="3" s="1"/>
  <c r="H394" i="3" s="1"/>
  <c r="G3" i="2"/>
  <c r="E454" i="3" s="1"/>
  <c r="H454" i="3" s="1"/>
  <c r="G2" i="2"/>
  <c r="E997" i="3" s="1"/>
  <c r="H997" i="3" s="1"/>
  <c r="E90" i="3" l="1"/>
  <c r="H90" i="3" s="1"/>
  <c r="E650" i="3"/>
  <c r="H650" i="3" s="1"/>
  <c r="E55" i="3"/>
  <c r="H55" i="3" s="1"/>
  <c r="E56" i="3"/>
  <c r="H56" i="3" s="1"/>
  <c r="E31" i="3"/>
  <c r="H31" i="3" s="1"/>
  <c r="E505" i="3"/>
  <c r="H505" i="3" s="1"/>
  <c r="E866" i="3"/>
  <c r="H866" i="3" s="1"/>
  <c r="E180" i="3"/>
  <c r="H180" i="3" s="1"/>
  <c r="E219" i="3"/>
  <c r="H219" i="3" s="1"/>
  <c r="E412" i="3"/>
  <c r="H412" i="3" s="1"/>
  <c r="E854" i="3"/>
  <c r="H854" i="3" s="1"/>
  <c r="E247" i="3"/>
  <c r="H247" i="3" s="1"/>
  <c r="E417" i="3"/>
  <c r="H417" i="3" s="1"/>
  <c r="E101" i="3"/>
  <c r="H101" i="3" s="1"/>
  <c r="E965" i="3"/>
  <c r="H965" i="3" s="1"/>
  <c r="E300" i="3"/>
  <c r="H300" i="3" s="1"/>
  <c r="E12" i="3"/>
  <c r="H12" i="3" s="1"/>
  <c r="E81" i="3"/>
  <c r="H81" i="3" s="1"/>
  <c r="E115" i="3"/>
  <c r="H115" i="3" s="1"/>
  <c r="E341" i="3"/>
  <c r="H341" i="3" s="1"/>
  <c r="E46" i="3"/>
  <c r="H46" i="3" s="1"/>
  <c r="E151" i="3"/>
  <c r="H151" i="3" s="1"/>
  <c r="E224" i="3"/>
  <c r="H224" i="3" s="1"/>
  <c r="E457" i="3"/>
  <c r="H457" i="3" s="1"/>
  <c r="E535" i="3"/>
  <c r="H535" i="3" s="1"/>
  <c r="E601" i="3"/>
  <c r="H601" i="3" s="1"/>
  <c r="E82" i="3"/>
  <c r="H82" i="3" s="1"/>
  <c r="E14" i="3"/>
  <c r="H14" i="3" s="1"/>
  <c r="E24" i="3"/>
  <c r="H24" i="3" s="1"/>
  <c r="E95" i="3"/>
  <c r="H95" i="3" s="1"/>
  <c r="E165" i="3"/>
  <c r="H165" i="3" s="1"/>
  <c r="E188" i="3"/>
  <c r="H188" i="3" s="1"/>
  <c r="E305" i="3"/>
  <c r="H305" i="3" s="1"/>
  <c r="E331" i="3"/>
  <c r="H331" i="3" s="1"/>
  <c r="E657" i="3"/>
  <c r="H657" i="3" s="1"/>
  <c r="E753" i="3"/>
  <c r="H753" i="3" s="1"/>
  <c r="E917" i="3"/>
  <c r="H917" i="3" s="1"/>
  <c r="E48" i="3"/>
  <c r="H48" i="3" s="1"/>
  <c r="E129" i="3"/>
  <c r="H129" i="3" s="1"/>
  <c r="E153" i="3"/>
  <c r="H153" i="3" s="1"/>
  <c r="E178" i="3"/>
  <c r="H178" i="3" s="1"/>
  <c r="E226" i="3"/>
  <c r="H226" i="3" s="1"/>
  <c r="E396" i="3"/>
  <c r="H396" i="3" s="1"/>
  <c r="E447" i="3"/>
  <c r="H447" i="3" s="1"/>
  <c r="E511" i="3"/>
  <c r="H511" i="3" s="1"/>
  <c r="E38" i="3"/>
  <c r="H38" i="3" s="1"/>
  <c r="E109" i="3"/>
  <c r="H109" i="3" s="1"/>
  <c r="E119" i="3"/>
  <c r="H119" i="3" s="1"/>
  <c r="E143" i="3"/>
  <c r="H143" i="3" s="1"/>
  <c r="E216" i="3"/>
  <c r="H216" i="3" s="1"/>
  <c r="E371" i="3"/>
  <c r="H371" i="3" s="1"/>
  <c r="E728" i="3"/>
  <c r="H728" i="3" s="1"/>
  <c r="E16" i="3"/>
  <c r="H16" i="3" s="1"/>
  <c r="E61" i="3"/>
  <c r="H61" i="3" s="1"/>
  <c r="E346" i="3"/>
  <c r="H346" i="3" s="1"/>
  <c r="E397" i="3"/>
  <c r="H397" i="3" s="1"/>
  <c r="E566" i="3"/>
  <c r="H566" i="3" s="1"/>
  <c r="E853" i="3"/>
  <c r="H853" i="3" s="1"/>
  <c r="E388" i="3"/>
  <c r="H388" i="3" s="1"/>
  <c r="E11" i="3"/>
  <c r="H11" i="3" s="1"/>
  <c r="E80" i="3"/>
  <c r="H80" i="3" s="1"/>
  <c r="E114" i="3"/>
  <c r="H114" i="3" s="1"/>
  <c r="E365" i="3"/>
  <c r="H365" i="3" s="1"/>
  <c r="E493" i="3"/>
  <c r="H493" i="3" s="1"/>
  <c r="E21" i="3"/>
  <c r="H21" i="3" s="1"/>
  <c r="E45" i="3"/>
  <c r="H45" i="3" s="1"/>
  <c r="E174" i="3"/>
  <c r="H174" i="3" s="1"/>
  <c r="E560" i="3"/>
  <c r="H560" i="3" s="1"/>
  <c r="E586" i="3"/>
  <c r="H586" i="3" s="1"/>
  <c r="E125" i="3"/>
  <c r="H125" i="3" s="1"/>
  <c r="E26" i="3"/>
  <c r="H26" i="3" s="1"/>
  <c r="E58" i="3"/>
  <c r="H58" i="3" s="1"/>
  <c r="E27" i="3"/>
  <c r="H27" i="3" s="1"/>
  <c r="E60" i="3"/>
  <c r="H60" i="3" s="1"/>
  <c r="E667" i="3"/>
  <c r="H667" i="3" s="1"/>
  <c r="E28" i="3"/>
  <c r="H28" i="3" s="1"/>
  <c r="E154" i="3"/>
  <c r="H154" i="3" s="1"/>
  <c r="E156" i="3"/>
  <c r="H156" i="3" s="1"/>
  <c r="E411" i="3"/>
  <c r="H411" i="3" s="1"/>
  <c r="E796" i="3"/>
  <c r="H796" i="3" s="1"/>
  <c r="E440" i="3"/>
  <c r="H440" i="3" s="1"/>
  <c r="E214" i="3"/>
  <c r="H214" i="3" s="1"/>
  <c r="E760" i="3"/>
  <c r="H760" i="3" s="1"/>
  <c r="E87" i="3"/>
  <c r="H87" i="3" s="1"/>
  <c r="E534" i="3"/>
  <c r="H534" i="3" s="1"/>
  <c r="E279" i="3"/>
  <c r="H279" i="3" s="1"/>
  <c r="E149" i="3"/>
  <c r="H149" i="3" s="1"/>
  <c r="E788" i="3"/>
  <c r="H788" i="3" s="1"/>
  <c r="E51" i="3"/>
  <c r="H51" i="3" s="1"/>
  <c r="E309" i="3"/>
  <c r="H309" i="3" s="1"/>
  <c r="E435" i="3"/>
  <c r="H435" i="3" s="1"/>
  <c r="E19" i="3"/>
  <c r="H19" i="3" s="1"/>
  <c r="E117" i="3"/>
  <c r="H117" i="3" s="1"/>
  <c r="E85" i="3"/>
  <c r="H85" i="3" s="1"/>
  <c r="E499" i="3"/>
  <c r="H499" i="3" s="1"/>
  <c r="E53" i="3"/>
  <c r="H53" i="3" s="1"/>
  <c r="E275" i="3"/>
  <c r="H275" i="3" s="1"/>
  <c r="E565" i="3"/>
  <c r="H565" i="3" s="1"/>
  <c r="E402" i="3"/>
  <c r="H402" i="3" s="1"/>
  <c r="E110" i="3"/>
  <c r="H110" i="3" s="1"/>
  <c r="E175" i="3"/>
  <c r="H175" i="3" s="1"/>
  <c r="E336" i="3"/>
  <c r="H336" i="3" s="1"/>
  <c r="E401" i="3"/>
  <c r="H401" i="3" s="1"/>
  <c r="E751" i="3"/>
  <c r="H751" i="3" s="1"/>
  <c r="E366" i="3"/>
  <c r="H366" i="3" s="1"/>
  <c r="E591" i="3"/>
  <c r="H591" i="3" s="1"/>
  <c r="E206" i="3"/>
  <c r="H206" i="3" s="1"/>
  <c r="E523" i="3"/>
  <c r="H523" i="3" s="1"/>
  <c r="E139" i="3"/>
  <c r="H139" i="3" s="1"/>
  <c r="E269" i="3"/>
  <c r="H269" i="3" s="1"/>
  <c r="E429" i="3"/>
  <c r="H429" i="3" s="1"/>
  <c r="E264" i="3"/>
  <c r="H264" i="3" s="1"/>
  <c r="E361" i="3"/>
  <c r="H361" i="3" s="1"/>
  <c r="E295" i="3"/>
  <c r="H295" i="3" s="1"/>
  <c r="E391" i="3"/>
  <c r="H391" i="3" s="1"/>
  <c r="E423" i="3"/>
  <c r="H423" i="3" s="1"/>
  <c r="E41" i="3"/>
  <c r="H41" i="3" s="1"/>
  <c r="E392" i="3"/>
  <c r="H392" i="3" s="1"/>
  <c r="E487" i="3"/>
  <c r="H487" i="3" s="1"/>
  <c r="E72" i="3"/>
  <c r="H72" i="3" s="1"/>
  <c r="E105" i="3"/>
  <c r="H105" i="3" s="1"/>
  <c r="E360" i="3"/>
  <c r="H360" i="3" s="1"/>
  <c r="E104" i="3"/>
  <c r="H104" i="3" s="1"/>
  <c r="E6" i="3"/>
  <c r="H6" i="3" s="1"/>
  <c r="E7" i="3"/>
  <c r="H7" i="3" s="1"/>
  <c r="E326" i="3"/>
  <c r="H326" i="3" s="1"/>
  <c r="E100" i="3"/>
  <c r="H100" i="3" s="1"/>
  <c r="E164" i="3"/>
  <c r="H164" i="3" s="1"/>
  <c r="E258" i="3"/>
  <c r="H258" i="3" s="1"/>
  <c r="E387" i="3"/>
  <c r="H387" i="3" s="1"/>
  <c r="E706" i="3"/>
  <c r="H706" i="3" s="1"/>
  <c r="E741" i="3"/>
  <c r="H741" i="3" s="1"/>
  <c r="E3" i="3"/>
  <c r="H3" i="3" s="1"/>
  <c r="E195" i="3"/>
  <c r="H195" i="3" s="1"/>
  <c r="E291" i="3"/>
  <c r="H291" i="3" s="1"/>
  <c r="E323" i="3"/>
  <c r="H323" i="3" s="1"/>
  <c r="E355" i="3"/>
  <c r="H355" i="3" s="1"/>
  <c r="E546" i="3"/>
  <c r="H546" i="3" s="1"/>
  <c r="E578" i="3"/>
  <c r="H578" i="3" s="1"/>
  <c r="E611" i="3"/>
  <c r="H611" i="3" s="1"/>
  <c r="E645" i="3"/>
  <c r="H645" i="3" s="1"/>
  <c r="E900" i="3"/>
  <c r="H900" i="3" s="1"/>
  <c r="E292" i="3"/>
  <c r="H292" i="3" s="1"/>
  <c r="E356" i="3"/>
  <c r="H356" i="3" s="1"/>
  <c r="E418" i="3"/>
  <c r="H418" i="3" s="1"/>
  <c r="E482" i="3"/>
  <c r="H482" i="3" s="1"/>
  <c r="E66" i="3"/>
  <c r="H66" i="3" s="1"/>
  <c r="E227" i="3"/>
  <c r="H227" i="3" s="1"/>
  <c r="E293" i="3"/>
  <c r="H293" i="3" s="1"/>
  <c r="E357" i="3"/>
  <c r="H357" i="3" s="1"/>
  <c r="E389" i="3"/>
  <c r="H389" i="3" s="1"/>
  <c r="E419" i="3"/>
  <c r="H419" i="3" s="1"/>
  <c r="E580" i="3"/>
  <c r="H580" i="3" s="1"/>
  <c r="E930" i="3"/>
  <c r="H930" i="3" s="1"/>
  <c r="E994" i="3"/>
  <c r="H994" i="3" s="1"/>
  <c r="E324" i="3"/>
  <c r="H324" i="3" s="1"/>
  <c r="E5" i="3"/>
  <c r="H5" i="3" s="1"/>
  <c r="E130" i="3"/>
  <c r="H130" i="3" s="1"/>
  <c r="E197" i="3"/>
  <c r="H197" i="3" s="1"/>
  <c r="E261" i="3"/>
  <c r="H261" i="3" s="1"/>
  <c r="E325" i="3"/>
  <c r="H325" i="3" s="1"/>
  <c r="E483" i="3"/>
  <c r="H483" i="3" s="1"/>
  <c r="E515" i="3"/>
  <c r="H515" i="3" s="1"/>
  <c r="E613" i="3"/>
  <c r="H613" i="3" s="1"/>
  <c r="E770" i="3"/>
  <c r="H770" i="3" s="1"/>
  <c r="E259" i="3"/>
  <c r="H259" i="3" s="1"/>
  <c r="E196" i="3"/>
  <c r="H196" i="3" s="1"/>
  <c r="E450" i="3"/>
  <c r="H450" i="3" s="1"/>
  <c r="E547" i="3"/>
  <c r="H547" i="3" s="1"/>
  <c r="E612" i="3"/>
  <c r="H612" i="3" s="1"/>
  <c r="E709" i="3"/>
  <c r="H709" i="3" s="1"/>
  <c r="E804" i="3"/>
  <c r="H804" i="3" s="1"/>
  <c r="E867" i="3"/>
  <c r="H867" i="3" s="1"/>
  <c r="E67" i="3"/>
  <c r="H67" i="3" s="1"/>
  <c r="E228" i="3"/>
  <c r="H228" i="3" s="1"/>
  <c r="E420" i="3"/>
  <c r="H420" i="3" s="1"/>
  <c r="E451" i="3"/>
  <c r="H451" i="3" s="1"/>
  <c r="E548" i="3"/>
  <c r="H548" i="3" s="1"/>
  <c r="E738" i="3"/>
  <c r="H738" i="3" s="1"/>
  <c r="E868" i="3"/>
  <c r="H868" i="3" s="1"/>
  <c r="E931" i="3"/>
  <c r="H931" i="3" s="1"/>
  <c r="E131" i="3"/>
  <c r="H131" i="3" s="1"/>
  <c r="E516" i="3"/>
  <c r="H516" i="3" s="1"/>
  <c r="E581" i="3"/>
  <c r="H581" i="3" s="1"/>
  <c r="E642" i="3"/>
  <c r="H642" i="3" s="1"/>
  <c r="E675" i="3"/>
  <c r="H675" i="3" s="1"/>
  <c r="E771" i="3"/>
  <c r="H771" i="3" s="1"/>
  <c r="E835" i="3"/>
  <c r="H835" i="3" s="1"/>
  <c r="E996" i="3"/>
  <c r="H996" i="3" s="1"/>
  <c r="E421" i="3"/>
  <c r="H421" i="3" s="1"/>
  <c r="E452" i="3"/>
  <c r="H452" i="3" s="1"/>
  <c r="E98" i="3"/>
  <c r="H98" i="3" s="1"/>
  <c r="E229" i="3"/>
  <c r="H229" i="3" s="1"/>
  <c r="E517" i="3"/>
  <c r="H517" i="3" s="1"/>
  <c r="E676" i="3"/>
  <c r="H676" i="3" s="1"/>
  <c r="E739" i="3"/>
  <c r="H739" i="3" s="1"/>
  <c r="E898" i="3"/>
  <c r="H898" i="3" s="1"/>
  <c r="E933" i="3"/>
  <c r="H933" i="3" s="1"/>
  <c r="O2" i="7"/>
  <c r="E132" i="3"/>
  <c r="H132" i="3" s="1"/>
  <c r="E549" i="3"/>
  <c r="H549" i="3" s="1"/>
  <c r="E34" i="3"/>
  <c r="H34" i="3" s="1"/>
  <c r="E643" i="3"/>
  <c r="H643" i="3" s="1"/>
  <c r="E68" i="3"/>
  <c r="H68" i="3" s="1"/>
  <c r="E485" i="3"/>
  <c r="H485" i="3" s="1"/>
  <c r="E69" i="3"/>
  <c r="H69" i="3" s="1"/>
  <c r="E99" i="3"/>
  <c r="H99" i="3" s="1"/>
  <c r="E163" i="3"/>
  <c r="H163" i="3" s="1"/>
  <c r="E290" i="3"/>
  <c r="H290" i="3" s="1"/>
  <c r="E322" i="3"/>
  <c r="H322" i="3" s="1"/>
  <c r="E453" i="3"/>
  <c r="H453" i="3" s="1"/>
  <c r="E677" i="3"/>
  <c r="H677" i="3" s="1"/>
  <c r="E740" i="3"/>
  <c r="H740" i="3" s="1"/>
  <c r="E773" i="3"/>
  <c r="H773" i="3" s="1"/>
  <c r="E837" i="3"/>
  <c r="H837" i="3" s="1"/>
  <c r="E962" i="3"/>
  <c r="H962" i="3" s="1"/>
  <c r="E1027" i="3"/>
  <c r="H1027" i="3" s="1"/>
  <c r="E4" i="3"/>
  <c r="H4" i="3" s="1"/>
  <c r="E37" i="3"/>
  <c r="H37" i="3" s="1"/>
  <c r="E514" i="3"/>
  <c r="H514" i="3" s="1"/>
  <c r="E579" i="3"/>
  <c r="H579" i="3" s="1"/>
  <c r="E2" i="3"/>
  <c r="H2" i="3" s="1"/>
  <c r="E35" i="3"/>
  <c r="H35" i="3" s="1"/>
  <c r="E133" i="3"/>
  <c r="H133" i="3" s="1"/>
  <c r="E194" i="3"/>
  <c r="H194" i="3" s="1"/>
  <c r="E354" i="3"/>
  <c r="H354" i="3" s="1"/>
  <c r="E644" i="3"/>
  <c r="H644" i="3" s="1"/>
  <c r="E899" i="3"/>
  <c r="H899" i="3" s="1"/>
  <c r="D275" i="6"/>
  <c r="D314" i="6"/>
  <c r="D352" i="6"/>
  <c r="D350" i="6"/>
  <c r="D348" i="6"/>
  <c r="F348" i="6" s="1"/>
  <c r="D346" i="6"/>
  <c r="F346" i="6" s="1"/>
  <c r="D344" i="6"/>
  <c r="F344" i="6" s="1"/>
  <c r="D342" i="6"/>
  <c r="D340" i="6"/>
  <c r="D338" i="6"/>
  <c r="D336" i="6"/>
  <c r="D334" i="6"/>
  <c r="D332" i="6"/>
  <c r="D2" i="6"/>
  <c r="D4" i="6"/>
  <c r="D7" i="6"/>
  <c r="D6" i="6"/>
  <c r="D3" i="6"/>
  <c r="D5" i="6"/>
  <c r="E960" i="3"/>
  <c r="H960" i="3" s="1"/>
  <c r="E862" i="3"/>
  <c r="H862" i="3" s="1"/>
  <c r="E1056" i="3"/>
  <c r="H1056" i="3" s="1"/>
  <c r="E1023" i="3"/>
  <c r="H1023" i="3" s="1"/>
  <c r="E897" i="3"/>
  <c r="H897" i="3" s="1"/>
  <c r="E1054" i="3"/>
  <c r="H1054" i="3" s="1"/>
  <c r="E798" i="3"/>
  <c r="H798" i="3" s="1"/>
  <c r="E736" i="3"/>
  <c r="H736" i="3" s="1"/>
  <c r="E638" i="3"/>
  <c r="H638" i="3" s="1"/>
  <c r="E512" i="3"/>
  <c r="H512" i="3" s="1"/>
  <c r="E414" i="3"/>
  <c r="H414" i="3" s="1"/>
  <c r="E288" i="3"/>
  <c r="H288" i="3" s="1"/>
  <c r="E190" i="3"/>
  <c r="H190" i="3" s="1"/>
  <c r="E64" i="3"/>
  <c r="H64" i="3" s="1"/>
  <c r="E992" i="3"/>
  <c r="H992" i="3" s="1"/>
  <c r="E929" i="3"/>
  <c r="H929" i="3" s="1"/>
  <c r="E735" i="3"/>
  <c r="H735" i="3" s="1"/>
  <c r="E609" i="3"/>
  <c r="H609" i="3" s="1"/>
  <c r="E1024" i="3"/>
  <c r="H1024" i="3" s="1"/>
  <c r="E959" i="3"/>
  <c r="H959" i="3" s="1"/>
  <c r="E831" i="3"/>
  <c r="H831" i="3" s="1"/>
  <c r="E702" i="3"/>
  <c r="H702" i="3" s="1"/>
  <c r="E576" i="3"/>
  <c r="H576" i="3" s="1"/>
  <c r="E1057" i="3"/>
  <c r="H1057" i="3" s="1"/>
  <c r="E991" i="3"/>
  <c r="H991" i="3" s="1"/>
  <c r="E928" i="3"/>
  <c r="H928" i="3" s="1"/>
  <c r="E990" i="3"/>
  <c r="H990" i="3" s="1"/>
  <c r="E958" i="3"/>
  <c r="H958" i="3" s="1"/>
  <c r="E927" i="3"/>
  <c r="H927" i="3" s="1"/>
  <c r="E896" i="3"/>
  <c r="H896" i="3" s="1"/>
  <c r="E830" i="3"/>
  <c r="H830" i="3" s="1"/>
  <c r="E673" i="3"/>
  <c r="H673" i="3" s="1"/>
  <c r="E865" i="3"/>
  <c r="H865" i="3" s="1"/>
  <c r="E800" i="3"/>
  <c r="H800" i="3" s="1"/>
  <c r="E766" i="3"/>
  <c r="H766" i="3" s="1"/>
  <c r="E1022" i="3"/>
  <c r="H1022" i="3" s="1"/>
  <c r="E1055" i="3"/>
  <c r="H1055" i="3" s="1"/>
  <c r="E926" i="3"/>
  <c r="H926" i="3" s="1"/>
  <c r="E832" i="3"/>
  <c r="H832" i="3" s="1"/>
  <c r="E769" i="3"/>
  <c r="H769" i="3" s="1"/>
  <c r="E513" i="3"/>
  <c r="H513" i="3" s="1"/>
  <c r="E799" i="3"/>
  <c r="H799" i="3" s="1"/>
  <c r="E671" i="3"/>
  <c r="H671" i="3" s="1"/>
  <c r="E577" i="3"/>
  <c r="H577" i="3" s="1"/>
  <c r="E542" i="3"/>
  <c r="H542" i="3" s="1"/>
  <c r="E478" i="3"/>
  <c r="H478" i="3" s="1"/>
  <c r="E1025" i="3"/>
  <c r="H1025" i="3" s="1"/>
  <c r="E864" i="3"/>
  <c r="H864" i="3" s="1"/>
  <c r="E768" i="3"/>
  <c r="H768" i="3" s="1"/>
  <c r="E641" i="3"/>
  <c r="H641" i="3" s="1"/>
  <c r="E448" i="3"/>
  <c r="H448" i="3" s="1"/>
  <c r="E895" i="3"/>
  <c r="H895" i="3" s="1"/>
  <c r="E767" i="3"/>
  <c r="H767" i="3" s="1"/>
  <c r="E737" i="3"/>
  <c r="H737" i="3" s="1"/>
  <c r="E670" i="3"/>
  <c r="H670" i="3" s="1"/>
  <c r="E608" i="3"/>
  <c r="H608" i="3" s="1"/>
  <c r="E863" i="3"/>
  <c r="H863" i="3" s="1"/>
  <c r="E894" i="3"/>
  <c r="H894" i="3" s="1"/>
  <c r="E705" i="3"/>
  <c r="H705" i="3" s="1"/>
  <c r="E607" i="3"/>
  <c r="H607" i="3" s="1"/>
  <c r="E481" i="3"/>
  <c r="H481" i="3" s="1"/>
  <c r="E383" i="3"/>
  <c r="H383" i="3" s="1"/>
  <c r="E192" i="3"/>
  <c r="H192" i="3" s="1"/>
  <c r="E833" i="3"/>
  <c r="H833" i="3" s="1"/>
  <c r="E801" i="3"/>
  <c r="H801" i="3" s="1"/>
  <c r="E734" i="3"/>
  <c r="H734" i="3" s="1"/>
  <c r="D236" i="6"/>
  <c r="D238" i="6"/>
  <c r="F238" i="6" s="1"/>
  <c r="D239" i="6"/>
  <c r="D237" i="6"/>
  <c r="D240" i="6"/>
  <c r="F240" i="6" s="1"/>
  <c r="D241" i="6"/>
  <c r="E65" i="3"/>
  <c r="H65" i="3" s="1"/>
  <c r="E158" i="3"/>
  <c r="H158" i="3" s="1"/>
  <c r="E193" i="3"/>
  <c r="H193" i="3" s="1"/>
  <c r="E320" i="3"/>
  <c r="H320" i="3" s="1"/>
  <c r="E350" i="3"/>
  <c r="H350" i="3" s="1"/>
  <c r="E510" i="3"/>
  <c r="H510" i="3" s="1"/>
  <c r="E70" i="3"/>
  <c r="H70" i="3" s="1"/>
  <c r="E75" i="3"/>
  <c r="H75" i="3" s="1"/>
  <c r="E168" i="3"/>
  <c r="H168" i="3" s="1"/>
  <c r="E173" i="3"/>
  <c r="H173" i="3" s="1"/>
  <c r="E198" i="3"/>
  <c r="H198" i="3" s="1"/>
  <c r="E203" i="3"/>
  <c r="H203" i="3" s="1"/>
  <c r="E213" i="3"/>
  <c r="H213" i="3" s="1"/>
  <c r="E234" i="3"/>
  <c r="H234" i="3" s="1"/>
  <c r="E239" i="3"/>
  <c r="H239" i="3" s="1"/>
  <c r="E244" i="3"/>
  <c r="H244" i="3" s="1"/>
  <c r="E249" i="3"/>
  <c r="H249" i="3" s="1"/>
  <c r="E315" i="3"/>
  <c r="H315" i="3" s="1"/>
  <c r="E376" i="3"/>
  <c r="H376" i="3" s="1"/>
  <c r="E381" i="3"/>
  <c r="H381" i="3" s="1"/>
  <c r="E406" i="3"/>
  <c r="H406" i="3" s="1"/>
  <c r="E463" i="3"/>
  <c r="H463" i="3" s="1"/>
  <c r="E469" i="3"/>
  <c r="H469" i="3" s="1"/>
  <c r="E522" i="3"/>
  <c r="H522" i="3" s="1"/>
  <c r="E528" i="3"/>
  <c r="H528" i="3" s="1"/>
  <c r="E541" i="3"/>
  <c r="H541" i="3" s="1"/>
  <c r="E559" i="3"/>
  <c r="H559" i="3" s="1"/>
  <c r="E622" i="3"/>
  <c r="H622" i="3" s="1"/>
  <c r="E629" i="3"/>
  <c r="H629" i="3" s="1"/>
  <c r="E636" i="3"/>
  <c r="H636" i="3" s="1"/>
  <c r="E692" i="3"/>
  <c r="H692" i="3" s="1"/>
  <c r="E718" i="3"/>
  <c r="H718" i="3" s="1"/>
  <c r="E795" i="3"/>
  <c r="H795" i="3" s="1"/>
  <c r="E874" i="3"/>
  <c r="H874" i="3" s="1"/>
  <c r="E941" i="3"/>
  <c r="H941" i="3" s="1"/>
  <c r="E951" i="3"/>
  <c r="H951" i="3" s="1"/>
  <c r="E961" i="3"/>
  <c r="H961" i="3" s="1"/>
  <c r="E993" i="3"/>
  <c r="H993" i="3" s="1"/>
  <c r="E351" i="3"/>
  <c r="H351" i="3" s="1"/>
  <c r="E32" i="3"/>
  <c r="H32" i="3" s="1"/>
  <c r="E71" i="3"/>
  <c r="H71" i="3" s="1"/>
  <c r="E76" i="3"/>
  <c r="H76" i="3" s="1"/>
  <c r="E135" i="3"/>
  <c r="H135" i="3" s="1"/>
  <c r="E169" i="3"/>
  <c r="H169" i="3" s="1"/>
  <c r="E179" i="3"/>
  <c r="H179" i="3" s="1"/>
  <c r="E189" i="3"/>
  <c r="H189" i="3" s="1"/>
  <c r="E199" i="3"/>
  <c r="H199" i="3" s="1"/>
  <c r="E209" i="3"/>
  <c r="H209" i="3" s="1"/>
  <c r="E235" i="3"/>
  <c r="H235" i="3" s="1"/>
  <c r="E240" i="3"/>
  <c r="H240" i="3" s="1"/>
  <c r="E245" i="3"/>
  <c r="H245" i="3" s="1"/>
  <c r="E250" i="3"/>
  <c r="H250" i="3" s="1"/>
  <c r="E270" i="3"/>
  <c r="H270" i="3" s="1"/>
  <c r="E286" i="3"/>
  <c r="H286" i="3" s="1"/>
  <c r="E377" i="3"/>
  <c r="H377" i="3" s="1"/>
  <c r="E407" i="3"/>
  <c r="H407" i="3" s="1"/>
  <c r="E494" i="3"/>
  <c r="H494" i="3" s="1"/>
  <c r="E500" i="3"/>
  <c r="H500" i="3" s="1"/>
  <c r="E529" i="3"/>
  <c r="H529" i="3" s="1"/>
  <c r="E543" i="3"/>
  <c r="H543" i="3" s="1"/>
  <c r="E567" i="3"/>
  <c r="H567" i="3" s="1"/>
  <c r="E594" i="3"/>
  <c r="H594" i="3" s="1"/>
  <c r="E711" i="3"/>
  <c r="H711" i="3" s="1"/>
  <c r="E745" i="3"/>
  <c r="H745" i="3" s="1"/>
  <c r="E817" i="3"/>
  <c r="H817" i="3" s="1"/>
  <c r="E943" i="3"/>
  <c r="H943" i="3" s="1"/>
  <c r="K5" i="7"/>
  <c r="M5" i="7" s="1"/>
  <c r="G6" i="6"/>
  <c r="D201" i="6"/>
  <c r="D198" i="6"/>
  <c r="D200" i="6"/>
  <c r="F200" i="6" s="1"/>
  <c r="D197" i="6"/>
  <c r="D202" i="6"/>
  <c r="D199" i="6"/>
  <c r="D163" i="6"/>
  <c r="F163" i="6" s="1"/>
  <c r="D158" i="6"/>
  <c r="D160" i="6"/>
  <c r="D162" i="6"/>
  <c r="F162" i="6" s="1"/>
  <c r="D161" i="6"/>
  <c r="D159" i="6"/>
  <c r="E42" i="3"/>
  <c r="H42" i="3" s="1"/>
  <c r="E47" i="3"/>
  <c r="H47" i="3" s="1"/>
  <c r="E52" i="3"/>
  <c r="H52" i="3" s="1"/>
  <c r="E86" i="3"/>
  <c r="H86" i="3" s="1"/>
  <c r="E91" i="3"/>
  <c r="H91" i="3" s="1"/>
  <c r="E96" i="3"/>
  <c r="H96" i="3" s="1"/>
  <c r="E140" i="3"/>
  <c r="H140" i="3" s="1"/>
  <c r="E145" i="3"/>
  <c r="H145" i="3" s="1"/>
  <c r="E150" i="3"/>
  <c r="H150" i="3" s="1"/>
  <c r="E184" i="3"/>
  <c r="H184" i="3" s="1"/>
  <c r="E220" i="3"/>
  <c r="H220" i="3" s="1"/>
  <c r="E225" i="3"/>
  <c r="H225" i="3" s="1"/>
  <c r="E230" i="3"/>
  <c r="H230" i="3" s="1"/>
  <c r="E255" i="3"/>
  <c r="H255" i="3" s="1"/>
  <c r="E265" i="3"/>
  <c r="H265" i="3" s="1"/>
  <c r="E276" i="3"/>
  <c r="H276" i="3" s="1"/>
  <c r="E281" i="3"/>
  <c r="H281" i="3" s="1"/>
  <c r="E296" i="3"/>
  <c r="H296" i="3" s="1"/>
  <c r="E301" i="3"/>
  <c r="H301" i="3" s="1"/>
  <c r="E306" i="3"/>
  <c r="H306" i="3" s="1"/>
  <c r="E311" i="3"/>
  <c r="H311" i="3" s="1"/>
  <c r="E332" i="3"/>
  <c r="H332" i="3" s="1"/>
  <c r="E337" i="3"/>
  <c r="H337" i="3" s="1"/>
  <c r="E342" i="3"/>
  <c r="H342" i="3" s="1"/>
  <c r="E347" i="3"/>
  <c r="H347" i="3" s="1"/>
  <c r="E413" i="3"/>
  <c r="H413" i="3" s="1"/>
  <c r="E424" i="3"/>
  <c r="H424" i="3" s="1"/>
  <c r="E430" i="3"/>
  <c r="H430" i="3" s="1"/>
  <c r="E436" i="3"/>
  <c r="H436" i="3" s="1"/>
  <c r="E459" i="3"/>
  <c r="H459" i="3" s="1"/>
  <c r="E506" i="3"/>
  <c r="H506" i="3" s="1"/>
  <c r="E518" i="3"/>
  <c r="H518" i="3" s="1"/>
  <c r="E536" i="3"/>
  <c r="H536" i="3" s="1"/>
  <c r="E561" i="3"/>
  <c r="H561" i="3" s="1"/>
  <c r="E574" i="3"/>
  <c r="H574" i="3" s="1"/>
  <c r="E587" i="3"/>
  <c r="H587" i="3" s="1"/>
  <c r="E602" i="3"/>
  <c r="H602" i="3" s="1"/>
  <c r="E703" i="3"/>
  <c r="H703" i="3" s="1"/>
  <c r="E754" i="3"/>
  <c r="H754" i="3" s="1"/>
  <c r="E789" i="3"/>
  <c r="H789" i="3" s="1"/>
  <c r="E827" i="3"/>
  <c r="H827" i="3" s="1"/>
  <c r="E910" i="3"/>
  <c r="H910" i="3" s="1"/>
  <c r="E170" i="6"/>
  <c r="E321" i="3"/>
  <c r="H321" i="3" s="1"/>
  <c r="E13" i="3"/>
  <c r="H13" i="3" s="1"/>
  <c r="E18" i="3"/>
  <c r="H18" i="3" s="1"/>
  <c r="E23" i="3"/>
  <c r="H23" i="3" s="1"/>
  <c r="E57" i="3"/>
  <c r="H57" i="3" s="1"/>
  <c r="E62" i="3"/>
  <c r="H62" i="3" s="1"/>
  <c r="E111" i="3"/>
  <c r="H111" i="3" s="1"/>
  <c r="E116" i="3"/>
  <c r="H116" i="3" s="1"/>
  <c r="E121" i="3"/>
  <c r="H121" i="3" s="1"/>
  <c r="E155" i="3"/>
  <c r="H155" i="3" s="1"/>
  <c r="E160" i="3"/>
  <c r="H160" i="3" s="1"/>
  <c r="E200" i="3"/>
  <c r="H200" i="3" s="1"/>
  <c r="E205" i="3"/>
  <c r="H205" i="3" s="1"/>
  <c r="E215" i="3"/>
  <c r="H215" i="3" s="1"/>
  <c r="E271" i="3"/>
  <c r="H271" i="3" s="1"/>
  <c r="E317" i="3"/>
  <c r="H317" i="3" s="1"/>
  <c r="E327" i="3"/>
  <c r="H327" i="3" s="1"/>
  <c r="E352" i="3"/>
  <c r="H352" i="3" s="1"/>
  <c r="E362" i="3"/>
  <c r="H362" i="3" s="1"/>
  <c r="E367" i="3"/>
  <c r="H367" i="3" s="1"/>
  <c r="E393" i="3"/>
  <c r="H393" i="3" s="1"/>
  <c r="E398" i="3"/>
  <c r="H398" i="3" s="1"/>
  <c r="E403" i="3"/>
  <c r="H403" i="3" s="1"/>
  <c r="E408" i="3"/>
  <c r="H408" i="3" s="1"/>
  <c r="E465" i="3"/>
  <c r="H465" i="3" s="1"/>
  <c r="E471" i="3"/>
  <c r="H471" i="3" s="1"/>
  <c r="E489" i="3"/>
  <c r="H489" i="3" s="1"/>
  <c r="E495" i="3"/>
  <c r="H495" i="3" s="1"/>
  <c r="E524" i="3"/>
  <c r="H524" i="3" s="1"/>
  <c r="E544" i="3"/>
  <c r="H544" i="3" s="1"/>
  <c r="E555" i="3"/>
  <c r="H555" i="3" s="1"/>
  <c r="E617" i="3"/>
  <c r="H617" i="3" s="1"/>
  <c r="E639" i="3"/>
  <c r="H639" i="3" s="1"/>
  <c r="E661" i="3"/>
  <c r="H661" i="3" s="1"/>
  <c r="E669" i="3"/>
  <c r="H669" i="3" s="1"/>
  <c r="E712" i="3"/>
  <c r="H712" i="3" s="1"/>
  <c r="E746" i="3"/>
  <c r="H746" i="3" s="1"/>
  <c r="E809" i="3"/>
  <c r="H809" i="3" s="1"/>
  <c r="E33" i="3"/>
  <c r="H33" i="3" s="1"/>
  <c r="E77" i="3"/>
  <c r="H77" i="3" s="1"/>
  <c r="E126" i="3"/>
  <c r="H126" i="3" s="1"/>
  <c r="E136" i="3"/>
  <c r="H136" i="3" s="1"/>
  <c r="E170" i="3"/>
  <c r="H170" i="3" s="1"/>
  <c r="E210" i="3"/>
  <c r="H210" i="3" s="1"/>
  <c r="E241" i="3"/>
  <c r="H241" i="3" s="1"/>
  <c r="E251" i="3"/>
  <c r="H251" i="3" s="1"/>
  <c r="E256" i="3"/>
  <c r="H256" i="3" s="1"/>
  <c r="E266" i="3"/>
  <c r="H266" i="3" s="1"/>
  <c r="E287" i="3"/>
  <c r="H287" i="3" s="1"/>
  <c r="E312" i="3"/>
  <c r="H312" i="3" s="1"/>
  <c r="E373" i="3"/>
  <c r="H373" i="3" s="1"/>
  <c r="E425" i="3"/>
  <c r="H425" i="3" s="1"/>
  <c r="E443" i="3"/>
  <c r="H443" i="3" s="1"/>
  <c r="E449" i="3"/>
  <c r="H449" i="3" s="1"/>
  <c r="E477" i="3"/>
  <c r="H477" i="3" s="1"/>
  <c r="E501" i="3"/>
  <c r="H501" i="3" s="1"/>
  <c r="E562" i="3"/>
  <c r="H562" i="3" s="1"/>
  <c r="E575" i="3"/>
  <c r="H575" i="3" s="1"/>
  <c r="E588" i="3"/>
  <c r="H588" i="3" s="1"/>
  <c r="E603" i="3"/>
  <c r="H603" i="3" s="1"/>
  <c r="E686" i="3"/>
  <c r="H686" i="3" s="1"/>
  <c r="E704" i="3"/>
  <c r="H704" i="3" s="1"/>
  <c r="E1021" i="3"/>
  <c r="H1021" i="3" s="1"/>
  <c r="E163" i="6"/>
  <c r="E140" i="6"/>
  <c r="E1030" i="3"/>
  <c r="H1030" i="3" s="1"/>
  <c r="E904" i="3"/>
  <c r="H904" i="3" s="1"/>
  <c r="E806" i="3"/>
  <c r="H806" i="3" s="1"/>
  <c r="E967" i="3"/>
  <c r="H967" i="3" s="1"/>
  <c r="E998" i="3"/>
  <c r="H998" i="3" s="1"/>
  <c r="E1031" i="3"/>
  <c r="H1031" i="3" s="1"/>
  <c r="E935" i="3"/>
  <c r="H935" i="3" s="1"/>
  <c r="E873" i="3"/>
  <c r="H873" i="3" s="1"/>
  <c r="E808" i="3"/>
  <c r="H808" i="3" s="1"/>
  <c r="E680" i="3"/>
  <c r="H680" i="3" s="1"/>
  <c r="E582" i="3"/>
  <c r="H582" i="3" s="1"/>
  <c r="E456" i="3"/>
  <c r="H456" i="3" s="1"/>
  <c r="E358" i="3"/>
  <c r="H358" i="3" s="1"/>
  <c r="E232" i="3"/>
  <c r="H232" i="3" s="1"/>
  <c r="E134" i="3"/>
  <c r="H134" i="3" s="1"/>
  <c r="E8" i="3"/>
  <c r="H8" i="3" s="1"/>
  <c r="E934" i="3"/>
  <c r="H934" i="3" s="1"/>
  <c r="E903" i="3"/>
  <c r="H903" i="3" s="1"/>
  <c r="E872" i="3"/>
  <c r="H872" i="3" s="1"/>
  <c r="E841" i="3"/>
  <c r="H841" i="3" s="1"/>
  <c r="E807" i="3"/>
  <c r="H807" i="3" s="1"/>
  <c r="E679" i="3"/>
  <c r="H679" i="3" s="1"/>
  <c r="E777" i="3"/>
  <c r="H777" i="3" s="1"/>
  <c r="E744" i="3"/>
  <c r="H744" i="3" s="1"/>
  <c r="E646" i="3"/>
  <c r="H646" i="3" s="1"/>
  <c r="E969" i="3"/>
  <c r="H969" i="3" s="1"/>
  <c r="E902" i="3"/>
  <c r="H902" i="3" s="1"/>
  <c r="E871" i="3"/>
  <c r="H871" i="3" s="1"/>
  <c r="E1001" i="3"/>
  <c r="H1001" i="3" s="1"/>
  <c r="E776" i="3"/>
  <c r="H776" i="3" s="1"/>
  <c r="E743" i="3"/>
  <c r="H743" i="3" s="1"/>
  <c r="E968" i="3"/>
  <c r="H968" i="3" s="1"/>
  <c r="E937" i="3"/>
  <c r="H937" i="3" s="1"/>
  <c r="E870" i="3"/>
  <c r="H870" i="3" s="1"/>
  <c r="E710" i="3"/>
  <c r="H710" i="3" s="1"/>
  <c r="E1033" i="3"/>
  <c r="H1033" i="3" s="1"/>
  <c r="E1000" i="3"/>
  <c r="H1000" i="3" s="1"/>
  <c r="E678" i="3"/>
  <c r="H678" i="3" s="1"/>
  <c r="E999" i="3"/>
  <c r="H999" i="3" s="1"/>
  <c r="E905" i="3"/>
  <c r="H905" i="3" s="1"/>
  <c r="E838" i="3"/>
  <c r="H838" i="3" s="1"/>
  <c r="E648" i="3"/>
  <c r="H648" i="3" s="1"/>
  <c r="E615" i="3"/>
  <c r="H615" i="3" s="1"/>
  <c r="E552" i="3"/>
  <c r="H552" i="3" s="1"/>
  <c r="E774" i="3"/>
  <c r="H774" i="3" s="1"/>
  <c r="E488" i="3"/>
  <c r="H488" i="3" s="1"/>
  <c r="E647" i="3"/>
  <c r="H647" i="3" s="1"/>
  <c r="E713" i="3"/>
  <c r="H713" i="3" s="1"/>
  <c r="E614" i="3"/>
  <c r="H614" i="3" s="1"/>
  <c r="E551" i="3"/>
  <c r="H551" i="3" s="1"/>
  <c r="E742" i="3"/>
  <c r="H742" i="3" s="1"/>
  <c r="E1032" i="3"/>
  <c r="H1032" i="3" s="1"/>
  <c r="E936" i="3"/>
  <c r="H936" i="3" s="1"/>
  <c r="E585" i="3"/>
  <c r="H585" i="3" s="1"/>
  <c r="E520" i="3"/>
  <c r="H520" i="3" s="1"/>
  <c r="E486" i="3"/>
  <c r="H486" i="3" s="1"/>
  <c r="E422" i="3"/>
  <c r="H422" i="3" s="1"/>
  <c r="E329" i="3"/>
  <c r="H329" i="3" s="1"/>
  <c r="E231" i="3"/>
  <c r="H231" i="3" s="1"/>
  <c r="E839" i="3"/>
  <c r="H839" i="3" s="1"/>
  <c r="E649" i="3"/>
  <c r="H649" i="3" s="1"/>
  <c r="E616" i="3"/>
  <c r="H616" i="3" s="1"/>
  <c r="E553" i="3"/>
  <c r="H553" i="3" s="1"/>
  <c r="E455" i="3"/>
  <c r="H455" i="3" s="1"/>
  <c r="E9" i="3"/>
  <c r="H9" i="3" s="1"/>
  <c r="D119" i="6"/>
  <c r="D124" i="6"/>
  <c r="F124" i="6" s="1"/>
  <c r="D122" i="6"/>
  <c r="D120" i="6"/>
  <c r="D123" i="6"/>
  <c r="F123" i="6" s="1"/>
  <c r="E43" i="3"/>
  <c r="H43" i="3" s="1"/>
  <c r="E97" i="3"/>
  <c r="H97" i="3" s="1"/>
  <c r="E102" i="3"/>
  <c r="H102" i="3" s="1"/>
  <c r="E107" i="3"/>
  <c r="H107" i="3" s="1"/>
  <c r="E141" i="3"/>
  <c r="H141" i="3" s="1"/>
  <c r="E146" i="3"/>
  <c r="H146" i="3" s="1"/>
  <c r="E185" i="3"/>
  <c r="H185" i="3" s="1"/>
  <c r="E221" i="3"/>
  <c r="H221" i="3" s="1"/>
  <c r="E277" i="3"/>
  <c r="H277" i="3" s="1"/>
  <c r="E282" i="3"/>
  <c r="H282" i="3" s="1"/>
  <c r="E297" i="3"/>
  <c r="H297" i="3" s="1"/>
  <c r="E307" i="3"/>
  <c r="H307" i="3" s="1"/>
  <c r="E333" i="3"/>
  <c r="H333" i="3" s="1"/>
  <c r="E338" i="3"/>
  <c r="H338" i="3" s="1"/>
  <c r="E343" i="3"/>
  <c r="H343" i="3" s="1"/>
  <c r="E348" i="3"/>
  <c r="H348" i="3" s="1"/>
  <c r="E368" i="3"/>
  <c r="H368" i="3" s="1"/>
  <c r="E384" i="3"/>
  <c r="H384" i="3" s="1"/>
  <c r="E431" i="3"/>
  <c r="H431" i="3" s="1"/>
  <c r="E437" i="3"/>
  <c r="H437" i="3" s="1"/>
  <c r="E466" i="3"/>
  <c r="H466" i="3" s="1"/>
  <c r="E472" i="3"/>
  <c r="H472" i="3" s="1"/>
  <c r="E490" i="3"/>
  <c r="H490" i="3" s="1"/>
  <c r="E507" i="3"/>
  <c r="H507" i="3" s="1"/>
  <c r="E519" i="3"/>
  <c r="H519" i="3" s="1"/>
  <c r="E538" i="3"/>
  <c r="H538" i="3" s="1"/>
  <c r="E654" i="3"/>
  <c r="H654" i="3" s="1"/>
  <c r="E662" i="3"/>
  <c r="H662" i="3" s="1"/>
  <c r="E976" i="3"/>
  <c r="H976" i="3" s="1"/>
  <c r="E1048" i="3"/>
  <c r="H1048" i="3" s="1"/>
  <c r="K29" i="7"/>
  <c r="M29" i="7" s="1"/>
  <c r="G30" i="6"/>
  <c r="E382" i="3"/>
  <c r="H382" i="3" s="1"/>
  <c r="E63" i="3"/>
  <c r="H63" i="3" s="1"/>
  <c r="E161" i="3"/>
  <c r="H161" i="3" s="1"/>
  <c r="E166" i="3"/>
  <c r="H166" i="3" s="1"/>
  <c r="E191" i="3"/>
  <c r="H191" i="3" s="1"/>
  <c r="E201" i="3"/>
  <c r="H201" i="3" s="1"/>
  <c r="E237" i="3"/>
  <c r="H237" i="3" s="1"/>
  <c r="E242" i="3"/>
  <c r="H242" i="3" s="1"/>
  <c r="E272" i="3"/>
  <c r="H272" i="3" s="1"/>
  <c r="E318" i="3"/>
  <c r="H318" i="3" s="1"/>
  <c r="E328" i="3"/>
  <c r="H328" i="3" s="1"/>
  <c r="E353" i="3"/>
  <c r="H353" i="3" s="1"/>
  <c r="E363" i="3"/>
  <c r="H363" i="3" s="1"/>
  <c r="E374" i="3"/>
  <c r="H374" i="3" s="1"/>
  <c r="E379" i="3"/>
  <c r="H379" i="3" s="1"/>
  <c r="E399" i="3"/>
  <c r="H399" i="3" s="1"/>
  <c r="E404" i="3"/>
  <c r="H404" i="3" s="1"/>
  <c r="E409" i="3"/>
  <c r="H409" i="3" s="1"/>
  <c r="E496" i="3"/>
  <c r="H496" i="3" s="1"/>
  <c r="E531" i="3"/>
  <c r="H531" i="3" s="1"/>
  <c r="E545" i="3"/>
  <c r="H545" i="3" s="1"/>
  <c r="E550" i="3"/>
  <c r="H550" i="3" s="1"/>
  <c r="E569" i="3"/>
  <c r="H569" i="3" s="1"/>
  <c r="E597" i="3"/>
  <c r="H597" i="3" s="1"/>
  <c r="E633" i="3"/>
  <c r="H633" i="3" s="1"/>
  <c r="E640" i="3"/>
  <c r="H640" i="3" s="1"/>
  <c r="E697" i="3"/>
  <c r="H697" i="3" s="1"/>
  <c r="E765" i="3"/>
  <c r="H765" i="3" s="1"/>
  <c r="E791" i="3"/>
  <c r="H791" i="3" s="1"/>
  <c r="D121" i="6"/>
  <c r="E159" i="3"/>
  <c r="H159" i="3" s="1"/>
  <c r="E1002" i="3"/>
  <c r="H1002" i="3" s="1"/>
  <c r="E876" i="3"/>
  <c r="H876" i="3" s="1"/>
  <c r="E778" i="3"/>
  <c r="H778" i="3" s="1"/>
  <c r="E1037" i="3"/>
  <c r="H1037" i="3" s="1"/>
  <c r="E939" i="3"/>
  <c r="H939" i="3" s="1"/>
  <c r="E970" i="3"/>
  <c r="H970" i="3" s="1"/>
  <c r="E940" i="3"/>
  <c r="H940" i="3" s="1"/>
  <c r="E909" i="3"/>
  <c r="H909" i="3" s="1"/>
  <c r="E842" i="3"/>
  <c r="H842" i="3" s="1"/>
  <c r="E652" i="3"/>
  <c r="H652" i="3" s="1"/>
  <c r="E554" i="3"/>
  <c r="H554" i="3" s="1"/>
  <c r="E428" i="3"/>
  <c r="H428" i="3" s="1"/>
  <c r="E330" i="3"/>
  <c r="H330" i="3" s="1"/>
  <c r="E204" i="3"/>
  <c r="H204" i="3" s="1"/>
  <c r="E106" i="3"/>
  <c r="H106" i="3" s="1"/>
  <c r="E1003" i="3"/>
  <c r="H1003" i="3" s="1"/>
  <c r="E1035" i="3"/>
  <c r="H1035" i="3" s="1"/>
  <c r="E908" i="3"/>
  <c r="H908" i="3" s="1"/>
  <c r="E877" i="3"/>
  <c r="H877" i="3" s="1"/>
  <c r="E749" i="3"/>
  <c r="H749" i="3" s="1"/>
  <c r="E651" i="3"/>
  <c r="H651" i="3" s="1"/>
  <c r="E716" i="3"/>
  <c r="H716" i="3" s="1"/>
  <c r="E618" i="3"/>
  <c r="H618" i="3" s="1"/>
  <c r="E938" i="3"/>
  <c r="H938" i="3" s="1"/>
  <c r="E781" i="3"/>
  <c r="H781" i="3" s="1"/>
  <c r="E715" i="3"/>
  <c r="H715" i="3" s="1"/>
  <c r="E906" i="3"/>
  <c r="H906" i="3" s="1"/>
  <c r="E875" i="3"/>
  <c r="H875" i="3" s="1"/>
  <c r="E810" i="3"/>
  <c r="H810" i="3" s="1"/>
  <c r="E682" i="3"/>
  <c r="H682" i="3" s="1"/>
  <c r="E973" i="3"/>
  <c r="H973" i="3" s="1"/>
  <c r="E1036" i="3"/>
  <c r="H1036" i="3" s="1"/>
  <c r="E845" i="3"/>
  <c r="H845" i="3" s="1"/>
  <c r="E813" i="3"/>
  <c r="H813" i="3" s="1"/>
  <c r="E714" i="3"/>
  <c r="H714" i="3" s="1"/>
  <c r="E684" i="3"/>
  <c r="H684" i="3" s="1"/>
  <c r="E557" i="3"/>
  <c r="H557" i="3" s="1"/>
  <c r="E972" i="3"/>
  <c r="H972" i="3" s="1"/>
  <c r="E844" i="3"/>
  <c r="H844" i="3" s="1"/>
  <c r="E780" i="3"/>
  <c r="H780" i="3" s="1"/>
  <c r="E653" i="3"/>
  <c r="H653" i="3" s="1"/>
  <c r="E1034" i="3"/>
  <c r="H1034" i="3" s="1"/>
  <c r="E683" i="3"/>
  <c r="H683" i="3" s="1"/>
  <c r="E1005" i="3"/>
  <c r="H1005" i="3" s="1"/>
  <c r="E971" i="3"/>
  <c r="H971" i="3" s="1"/>
  <c r="E843" i="3"/>
  <c r="H843" i="3" s="1"/>
  <c r="E812" i="3"/>
  <c r="H812" i="3" s="1"/>
  <c r="E556" i="3"/>
  <c r="H556" i="3" s="1"/>
  <c r="E492" i="3"/>
  <c r="H492" i="3" s="1"/>
  <c r="E458" i="3"/>
  <c r="H458" i="3" s="1"/>
  <c r="E779" i="3"/>
  <c r="H779" i="3" s="1"/>
  <c r="E619" i="3"/>
  <c r="H619" i="3" s="1"/>
  <c r="E1004" i="3"/>
  <c r="H1004" i="3" s="1"/>
  <c r="E747" i="3"/>
  <c r="H747" i="3" s="1"/>
  <c r="E525" i="3"/>
  <c r="H525" i="3" s="1"/>
  <c r="E427" i="3"/>
  <c r="H427" i="3" s="1"/>
  <c r="E236" i="3"/>
  <c r="H236" i="3" s="1"/>
  <c r="E907" i="3"/>
  <c r="H907" i="3" s="1"/>
  <c r="E685" i="3"/>
  <c r="H685" i="3" s="1"/>
  <c r="E460" i="3"/>
  <c r="H460" i="3" s="1"/>
  <c r="E974" i="3"/>
  <c r="H974" i="3" s="1"/>
  <c r="E848" i="3"/>
  <c r="H848" i="3" s="1"/>
  <c r="E1009" i="3"/>
  <c r="H1009" i="3" s="1"/>
  <c r="E911" i="3"/>
  <c r="H911" i="3" s="1"/>
  <c r="E1040" i="3"/>
  <c r="H1040" i="3" s="1"/>
  <c r="E945" i="3"/>
  <c r="H945" i="3" s="1"/>
  <c r="E878" i="3"/>
  <c r="H878" i="3" s="1"/>
  <c r="E847" i="3"/>
  <c r="H847" i="3" s="1"/>
  <c r="E750" i="3"/>
  <c r="H750" i="3" s="1"/>
  <c r="E624" i="3"/>
  <c r="H624" i="3" s="1"/>
  <c r="E526" i="3"/>
  <c r="H526" i="3" s="1"/>
  <c r="E400" i="3"/>
  <c r="H400" i="3" s="1"/>
  <c r="E302" i="3"/>
  <c r="H302" i="3" s="1"/>
  <c r="E176" i="3"/>
  <c r="H176" i="3" s="1"/>
  <c r="E78" i="3"/>
  <c r="H78" i="3" s="1"/>
  <c r="E1041" i="3"/>
  <c r="H1041" i="3" s="1"/>
  <c r="E1008" i="3"/>
  <c r="H1008" i="3" s="1"/>
  <c r="E944" i="3"/>
  <c r="H944" i="3" s="1"/>
  <c r="E913" i="3"/>
  <c r="H913" i="3" s="1"/>
  <c r="E846" i="3"/>
  <c r="H846" i="3" s="1"/>
  <c r="E721" i="3"/>
  <c r="H721" i="3" s="1"/>
  <c r="E623" i="3"/>
  <c r="H623" i="3" s="1"/>
  <c r="E975" i="3"/>
  <c r="H975" i="3" s="1"/>
  <c r="E782" i="3"/>
  <c r="H782" i="3" s="1"/>
  <c r="E688" i="3"/>
  <c r="H688" i="3" s="1"/>
  <c r="E590" i="3"/>
  <c r="H590" i="3" s="1"/>
  <c r="E1007" i="3"/>
  <c r="H1007" i="3" s="1"/>
  <c r="E1039" i="3"/>
  <c r="H1039" i="3" s="1"/>
  <c r="E815" i="3"/>
  <c r="H815" i="3" s="1"/>
  <c r="E687" i="3"/>
  <c r="H687" i="3" s="1"/>
  <c r="E1006" i="3"/>
  <c r="H1006" i="3" s="1"/>
  <c r="E752" i="3"/>
  <c r="H752" i="3" s="1"/>
  <c r="E942" i="3"/>
  <c r="H942" i="3" s="1"/>
  <c r="E880" i="3"/>
  <c r="H880" i="3" s="1"/>
  <c r="E1038" i="3"/>
  <c r="H1038" i="3" s="1"/>
  <c r="E881" i="3"/>
  <c r="H881" i="3" s="1"/>
  <c r="E720" i="3"/>
  <c r="H720" i="3" s="1"/>
  <c r="E593" i="3"/>
  <c r="H593" i="3" s="1"/>
  <c r="E689" i="3"/>
  <c r="H689" i="3" s="1"/>
  <c r="E912" i="3"/>
  <c r="H912" i="3" s="1"/>
  <c r="E719" i="3"/>
  <c r="H719" i="3" s="1"/>
  <c r="E625" i="3"/>
  <c r="H625" i="3" s="1"/>
  <c r="E497" i="3"/>
  <c r="H497" i="3" s="1"/>
  <c r="E785" i="3"/>
  <c r="H785" i="3" s="1"/>
  <c r="E592" i="3"/>
  <c r="H592" i="3" s="1"/>
  <c r="E879" i="3"/>
  <c r="H879" i="3" s="1"/>
  <c r="E816" i="3"/>
  <c r="H816" i="3" s="1"/>
  <c r="E784" i="3"/>
  <c r="H784" i="3" s="1"/>
  <c r="E432" i="3"/>
  <c r="H432" i="3" s="1"/>
  <c r="E334" i="3"/>
  <c r="H334" i="3" s="1"/>
  <c r="E814" i="3"/>
  <c r="H814" i="3" s="1"/>
  <c r="E558" i="3"/>
  <c r="H558" i="3" s="1"/>
  <c r="D80" i="6"/>
  <c r="D84" i="6"/>
  <c r="D81" i="6"/>
  <c r="F81" i="6" s="1"/>
  <c r="D83" i="6"/>
  <c r="D85" i="6"/>
  <c r="D82" i="6"/>
  <c r="E29" i="3"/>
  <c r="H29" i="3" s="1"/>
  <c r="E39" i="3"/>
  <c r="H39" i="3" s="1"/>
  <c r="E73" i="3"/>
  <c r="H73" i="3" s="1"/>
  <c r="E83" i="3"/>
  <c r="H83" i="3" s="1"/>
  <c r="E88" i="3"/>
  <c r="H88" i="3" s="1"/>
  <c r="E93" i="3"/>
  <c r="H93" i="3" s="1"/>
  <c r="E127" i="3"/>
  <c r="H127" i="3" s="1"/>
  <c r="E137" i="3"/>
  <c r="H137" i="3" s="1"/>
  <c r="E171" i="3"/>
  <c r="H171" i="3" s="1"/>
  <c r="E181" i="3"/>
  <c r="H181" i="3" s="1"/>
  <c r="E186" i="3"/>
  <c r="H186" i="3" s="1"/>
  <c r="E211" i="3"/>
  <c r="H211" i="3" s="1"/>
  <c r="E222" i="3"/>
  <c r="H222" i="3" s="1"/>
  <c r="E252" i="3"/>
  <c r="H252" i="3" s="1"/>
  <c r="E257" i="3"/>
  <c r="H257" i="3" s="1"/>
  <c r="E262" i="3"/>
  <c r="H262" i="3" s="1"/>
  <c r="E267" i="3"/>
  <c r="H267" i="3" s="1"/>
  <c r="E298" i="3"/>
  <c r="H298" i="3" s="1"/>
  <c r="E303" i="3"/>
  <c r="H303" i="3" s="1"/>
  <c r="E313" i="3"/>
  <c r="H313" i="3" s="1"/>
  <c r="E369" i="3"/>
  <c r="H369" i="3" s="1"/>
  <c r="E415" i="3"/>
  <c r="H415" i="3" s="1"/>
  <c r="E426" i="3"/>
  <c r="H426" i="3" s="1"/>
  <c r="E438" i="3"/>
  <c r="H438" i="3" s="1"/>
  <c r="E461" i="3"/>
  <c r="H461" i="3" s="1"/>
  <c r="E467" i="3"/>
  <c r="H467" i="3" s="1"/>
  <c r="E539" i="3"/>
  <c r="H539" i="3" s="1"/>
  <c r="E563" i="3"/>
  <c r="H563" i="3" s="1"/>
  <c r="E583" i="3"/>
  <c r="H583" i="3" s="1"/>
  <c r="E589" i="3"/>
  <c r="H589" i="3" s="1"/>
  <c r="E605" i="3"/>
  <c r="H605" i="3" s="1"/>
  <c r="E620" i="3"/>
  <c r="H620" i="3" s="1"/>
  <c r="E655" i="3"/>
  <c r="H655" i="3" s="1"/>
  <c r="E663" i="3"/>
  <c r="H663" i="3" s="1"/>
  <c r="E672" i="3"/>
  <c r="H672" i="3" s="1"/>
  <c r="E723" i="3"/>
  <c r="H723" i="3" s="1"/>
  <c r="E748" i="3"/>
  <c r="H748" i="3" s="1"/>
  <c r="E783" i="3"/>
  <c r="H783" i="3" s="1"/>
  <c r="E811" i="3"/>
  <c r="H811" i="3" s="1"/>
  <c r="E966" i="3"/>
  <c r="H966" i="3" s="1"/>
  <c r="E977" i="3"/>
  <c r="H977" i="3" s="1"/>
  <c r="E1044" i="3"/>
  <c r="H1044" i="3" s="1"/>
  <c r="E946" i="3"/>
  <c r="H946" i="3" s="1"/>
  <c r="E820" i="3"/>
  <c r="H820" i="3" s="1"/>
  <c r="E981" i="3"/>
  <c r="H981" i="3" s="1"/>
  <c r="E883" i="3"/>
  <c r="H883" i="3" s="1"/>
  <c r="E1012" i="3"/>
  <c r="H1012" i="3" s="1"/>
  <c r="E1042" i="3"/>
  <c r="H1042" i="3" s="1"/>
  <c r="E722" i="3"/>
  <c r="H722" i="3" s="1"/>
  <c r="E596" i="3"/>
  <c r="H596" i="3" s="1"/>
  <c r="E498" i="3"/>
  <c r="H498" i="3" s="1"/>
  <c r="E372" i="3"/>
  <c r="H372" i="3" s="1"/>
  <c r="E274" i="3"/>
  <c r="H274" i="3" s="1"/>
  <c r="E148" i="3"/>
  <c r="H148" i="3" s="1"/>
  <c r="E50" i="3"/>
  <c r="H50" i="3" s="1"/>
  <c r="E882" i="3"/>
  <c r="H882" i="3" s="1"/>
  <c r="E787" i="3"/>
  <c r="H787" i="3" s="1"/>
  <c r="E693" i="3"/>
  <c r="H693" i="3" s="1"/>
  <c r="E595" i="3"/>
  <c r="H595" i="3" s="1"/>
  <c r="E949" i="3"/>
  <c r="H949" i="3" s="1"/>
  <c r="E851" i="3"/>
  <c r="H851" i="3" s="1"/>
  <c r="E660" i="3"/>
  <c r="H660" i="3" s="1"/>
  <c r="E1013" i="3"/>
  <c r="H1013" i="3" s="1"/>
  <c r="E980" i="3"/>
  <c r="H980" i="3" s="1"/>
  <c r="E979" i="3"/>
  <c r="H979" i="3" s="1"/>
  <c r="E757" i="3"/>
  <c r="H757" i="3" s="1"/>
  <c r="E659" i="3"/>
  <c r="H659" i="3" s="1"/>
  <c r="E724" i="3"/>
  <c r="H724" i="3" s="1"/>
  <c r="E1011" i="3"/>
  <c r="H1011" i="3" s="1"/>
  <c r="E947" i="3"/>
  <c r="H947" i="3" s="1"/>
  <c r="E916" i="3"/>
  <c r="H916" i="3" s="1"/>
  <c r="E885" i="3"/>
  <c r="H885" i="3" s="1"/>
  <c r="E978" i="3"/>
  <c r="H978" i="3" s="1"/>
  <c r="E819" i="3"/>
  <c r="H819" i="3" s="1"/>
  <c r="E1045" i="3"/>
  <c r="H1045" i="3" s="1"/>
  <c r="E914" i="3"/>
  <c r="H914" i="3" s="1"/>
  <c r="E852" i="3"/>
  <c r="H852" i="3" s="1"/>
  <c r="E756" i="3"/>
  <c r="H756" i="3" s="1"/>
  <c r="E690" i="3"/>
  <c r="H690" i="3" s="1"/>
  <c r="E626" i="3"/>
  <c r="H626" i="3" s="1"/>
  <c r="E948" i="3"/>
  <c r="H948" i="3" s="1"/>
  <c r="E532" i="3"/>
  <c r="H532" i="3" s="1"/>
  <c r="E434" i="3"/>
  <c r="H434" i="3" s="1"/>
  <c r="E818" i="3"/>
  <c r="H818" i="3" s="1"/>
  <c r="E786" i="3"/>
  <c r="H786" i="3" s="1"/>
  <c r="E658" i="3"/>
  <c r="H658" i="3" s="1"/>
  <c r="E1043" i="3"/>
  <c r="H1043" i="3" s="1"/>
  <c r="E850" i="3"/>
  <c r="H850" i="3" s="1"/>
  <c r="E755" i="3"/>
  <c r="H755" i="3" s="1"/>
  <c r="E725" i="3"/>
  <c r="H725" i="3" s="1"/>
  <c r="E530" i="3"/>
  <c r="H530" i="3" s="1"/>
  <c r="E1010" i="3"/>
  <c r="H1010" i="3" s="1"/>
  <c r="E884" i="3"/>
  <c r="H884" i="3" s="1"/>
  <c r="E691" i="3"/>
  <c r="H691" i="3" s="1"/>
  <c r="E627" i="3"/>
  <c r="H627" i="3" s="1"/>
  <c r="E10" i="3"/>
  <c r="H10" i="3" s="1"/>
  <c r="E44" i="3"/>
  <c r="H44" i="3" s="1"/>
  <c r="E49" i="3"/>
  <c r="H49" i="3" s="1"/>
  <c r="E54" i="3"/>
  <c r="H54" i="3" s="1"/>
  <c r="E103" i="3"/>
  <c r="H103" i="3" s="1"/>
  <c r="E108" i="3"/>
  <c r="H108" i="3" s="1"/>
  <c r="E142" i="3"/>
  <c r="H142" i="3" s="1"/>
  <c r="E147" i="3"/>
  <c r="H147" i="3" s="1"/>
  <c r="E152" i="3"/>
  <c r="H152" i="3" s="1"/>
  <c r="E217" i="3"/>
  <c r="H217" i="3" s="1"/>
  <c r="E278" i="3"/>
  <c r="H278" i="3" s="1"/>
  <c r="E283" i="3"/>
  <c r="H283" i="3" s="1"/>
  <c r="E308" i="3"/>
  <c r="H308" i="3" s="1"/>
  <c r="E339" i="3"/>
  <c r="H339" i="3" s="1"/>
  <c r="E349" i="3"/>
  <c r="H349" i="3" s="1"/>
  <c r="E359" i="3"/>
  <c r="H359" i="3" s="1"/>
  <c r="E364" i="3"/>
  <c r="H364" i="3" s="1"/>
  <c r="E385" i="3"/>
  <c r="H385" i="3" s="1"/>
  <c r="E390" i="3"/>
  <c r="H390" i="3" s="1"/>
  <c r="E410" i="3"/>
  <c r="H410" i="3" s="1"/>
  <c r="E445" i="3"/>
  <c r="H445" i="3" s="1"/>
  <c r="E473" i="3"/>
  <c r="H473" i="3" s="1"/>
  <c r="E479" i="3"/>
  <c r="H479" i="3" s="1"/>
  <c r="E491" i="3"/>
  <c r="H491" i="3" s="1"/>
  <c r="E570" i="3"/>
  <c r="H570" i="3" s="1"/>
  <c r="E634" i="3"/>
  <c r="H634" i="3" s="1"/>
  <c r="E698" i="3"/>
  <c r="H698" i="3" s="1"/>
  <c r="E840" i="3"/>
  <c r="H840" i="3" s="1"/>
  <c r="E915" i="3"/>
  <c r="H915" i="3" s="1"/>
  <c r="E1016" i="3"/>
  <c r="H1016" i="3" s="1"/>
  <c r="E918" i="3"/>
  <c r="H918" i="3" s="1"/>
  <c r="E792" i="3"/>
  <c r="H792" i="3" s="1"/>
  <c r="E953" i="3"/>
  <c r="H953" i="3" s="1"/>
  <c r="E855" i="3"/>
  <c r="H855" i="3" s="1"/>
  <c r="E984" i="3"/>
  <c r="H984" i="3" s="1"/>
  <c r="E982" i="3"/>
  <c r="H982" i="3" s="1"/>
  <c r="E694" i="3"/>
  <c r="H694" i="3" s="1"/>
  <c r="E568" i="3"/>
  <c r="H568" i="3" s="1"/>
  <c r="E470" i="3"/>
  <c r="H470" i="3" s="1"/>
  <c r="E344" i="3"/>
  <c r="H344" i="3" s="1"/>
  <c r="E246" i="3"/>
  <c r="H246" i="3" s="1"/>
  <c r="E120" i="3"/>
  <c r="H120" i="3" s="1"/>
  <c r="E22" i="3"/>
  <c r="H22" i="3" s="1"/>
  <c r="E1014" i="3"/>
  <c r="H1014" i="3" s="1"/>
  <c r="E1046" i="3"/>
  <c r="H1046" i="3" s="1"/>
  <c r="E665" i="3"/>
  <c r="H665" i="3" s="1"/>
  <c r="E887" i="3"/>
  <c r="H887" i="3" s="1"/>
  <c r="E856" i="3"/>
  <c r="H856" i="3" s="1"/>
  <c r="E758" i="3"/>
  <c r="H758" i="3" s="1"/>
  <c r="E632" i="3"/>
  <c r="H632" i="3" s="1"/>
  <c r="E985" i="3"/>
  <c r="H985" i="3" s="1"/>
  <c r="E886" i="3"/>
  <c r="H886" i="3" s="1"/>
  <c r="E825" i="3"/>
  <c r="H825" i="3" s="1"/>
  <c r="E729" i="3"/>
  <c r="H729" i="3" s="1"/>
  <c r="E1017" i="3"/>
  <c r="H1017" i="3" s="1"/>
  <c r="E696" i="3"/>
  <c r="H696" i="3" s="1"/>
  <c r="E1049" i="3"/>
  <c r="H1049" i="3" s="1"/>
  <c r="E952" i="3"/>
  <c r="H952" i="3" s="1"/>
  <c r="E921" i="3"/>
  <c r="H921" i="3" s="1"/>
  <c r="E727" i="3"/>
  <c r="H727" i="3" s="1"/>
  <c r="E631" i="3"/>
  <c r="H631" i="3" s="1"/>
  <c r="E824" i="3"/>
  <c r="H824" i="3" s="1"/>
  <c r="E793" i="3"/>
  <c r="H793" i="3" s="1"/>
  <c r="E537" i="3"/>
  <c r="H537" i="3" s="1"/>
  <c r="E439" i="3"/>
  <c r="H439" i="3" s="1"/>
  <c r="E889" i="3"/>
  <c r="H889" i="3" s="1"/>
  <c r="E726" i="3"/>
  <c r="H726" i="3" s="1"/>
  <c r="E695" i="3"/>
  <c r="H695" i="3" s="1"/>
  <c r="E1015" i="3"/>
  <c r="H1015" i="3" s="1"/>
  <c r="E920" i="3"/>
  <c r="H920" i="3" s="1"/>
  <c r="E761" i="3"/>
  <c r="H761" i="3" s="1"/>
  <c r="E664" i="3"/>
  <c r="H664" i="3" s="1"/>
  <c r="E630" i="3"/>
  <c r="H630" i="3" s="1"/>
  <c r="E502" i="3"/>
  <c r="H502" i="3" s="1"/>
  <c r="E888" i="3"/>
  <c r="H888" i="3" s="1"/>
  <c r="E857" i="3"/>
  <c r="H857" i="3" s="1"/>
  <c r="E823" i="3"/>
  <c r="H823" i="3" s="1"/>
  <c r="E919" i="3"/>
  <c r="H919" i="3" s="1"/>
  <c r="E822" i="3"/>
  <c r="H822" i="3" s="1"/>
  <c r="E790" i="3"/>
  <c r="H790" i="3" s="1"/>
  <c r="E280" i="3"/>
  <c r="H280" i="3" s="1"/>
  <c r="E1047" i="3"/>
  <c r="H1047" i="3" s="1"/>
  <c r="E983" i="3"/>
  <c r="H983" i="3" s="1"/>
  <c r="E600" i="3"/>
  <c r="H600" i="3" s="1"/>
  <c r="E504" i="3"/>
  <c r="H504" i="3" s="1"/>
  <c r="E15" i="3"/>
  <c r="H15" i="3" s="1"/>
  <c r="E20" i="3"/>
  <c r="H20" i="3" s="1"/>
  <c r="E25" i="3"/>
  <c r="H25" i="3" s="1"/>
  <c r="D280" i="6"/>
  <c r="F280" i="6" s="1"/>
  <c r="D279" i="6"/>
  <c r="D276" i="6"/>
  <c r="F276" i="6" s="1"/>
  <c r="D278" i="6"/>
  <c r="D277" i="6"/>
  <c r="F277" i="6" s="1"/>
  <c r="E59" i="3"/>
  <c r="H59" i="3" s="1"/>
  <c r="E74" i="3"/>
  <c r="H74" i="3" s="1"/>
  <c r="E79" i="3"/>
  <c r="H79" i="3" s="1"/>
  <c r="E113" i="3"/>
  <c r="H113" i="3" s="1"/>
  <c r="E118" i="3"/>
  <c r="H118" i="3" s="1"/>
  <c r="E123" i="3"/>
  <c r="H123" i="3" s="1"/>
  <c r="D245" i="6" s="1"/>
  <c r="F245" i="6" s="1"/>
  <c r="E157" i="3"/>
  <c r="H157" i="3" s="1"/>
  <c r="E167" i="3"/>
  <c r="H167" i="3" s="1"/>
  <c r="E172" i="3"/>
  <c r="H172" i="3" s="1"/>
  <c r="E177" i="3"/>
  <c r="H177" i="3" s="1"/>
  <c r="E202" i="3"/>
  <c r="H202" i="3" s="1"/>
  <c r="E207" i="3"/>
  <c r="H207" i="3" s="1"/>
  <c r="E212" i="3"/>
  <c r="H212" i="3" s="1"/>
  <c r="E233" i="3"/>
  <c r="H233" i="3" s="1"/>
  <c r="E238" i="3"/>
  <c r="H238" i="3" s="1"/>
  <c r="E243" i="3"/>
  <c r="H243" i="3" s="1"/>
  <c r="E248" i="3"/>
  <c r="H248" i="3" s="1"/>
  <c r="E273" i="3"/>
  <c r="H273" i="3" s="1"/>
  <c r="E289" i="3"/>
  <c r="H289" i="3" s="1"/>
  <c r="E319" i="3"/>
  <c r="H319" i="3" s="1"/>
  <c r="E375" i="3"/>
  <c r="H375" i="3" s="1"/>
  <c r="E395" i="3"/>
  <c r="H395" i="3" s="1"/>
  <c r="E405" i="3"/>
  <c r="H405" i="3" s="1"/>
  <c r="E462" i="3"/>
  <c r="H462" i="3" s="1"/>
  <c r="E503" i="3"/>
  <c r="H503" i="3" s="1"/>
  <c r="E533" i="3"/>
  <c r="H533" i="3" s="1"/>
  <c r="E564" i="3"/>
  <c r="H564" i="3" s="1"/>
  <c r="E606" i="3"/>
  <c r="H606" i="3" s="1"/>
  <c r="E621" i="3"/>
  <c r="H621" i="3" s="1"/>
  <c r="E628" i="3"/>
  <c r="H628" i="3" s="1"/>
  <c r="E656" i="3"/>
  <c r="H656" i="3" s="1"/>
  <c r="E759" i="3"/>
  <c r="H759" i="3" s="1"/>
  <c r="E775" i="3"/>
  <c r="H775" i="3" s="1"/>
  <c r="E988" i="3"/>
  <c r="H988" i="3" s="1"/>
  <c r="E890" i="3"/>
  <c r="H890" i="3" s="1"/>
  <c r="E1051" i="3"/>
  <c r="H1051" i="3" s="1"/>
  <c r="E925" i="3"/>
  <c r="H925" i="3" s="1"/>
  <c r="E1053" i="3"/>
  <c r="H1053" i="3" s="1"/>
  <c r="E1020" i="3"/>
  <c r="H1020" i="3" s="1"/>
  <c r="E764" i="3"/>
  <c r="H764" i="3" s="1"/>
  <c r="E666" i="3"/>
  <c r="H666" i="3" s="1"/>
  <c r="E540" i="3"/>
  <c r="H540" i="3" s="1"/>
  <c r="E442" i="3"/>
  <c r="H442" i="3" s="1"/>
  <c r="E316" i="3"/>
  <c r="H316" i="3" s="1"/>
  <c r="E218" i="3"/>
  <c r="H218" i="3" s="1"/>
  <c r="E92" i="3"/>
  <c r="H92" i="3" s="1"/>
  <c r="E893" i="3"/>
  <c r="H893" i="3" s="1"/>
  <c r="E1052" i="3"/>
  <c r="H1052" i="3" s="1"/>
  <c r="E1019" i="3"/>
  <c r="H1019" i="3" s="1"/>
  <c r="E797" i="3"/>
  <c r="H797" i="3" s="1"/>
  <c r="E763" i="3"/>
  <c r="H763" i="3" s="1"/>
  <c r="E637" i="3"/>
  <c r="H637" i="3" s="1"/>
  <c r="E986" i="3"/>
  <c r="H986" i="3" s="1"/>
  <c r="E954" i="3"/>
  <c r="H954" i="3" s="1"/>
  <c r="E923" i="3"/>
  <c r="H923" i="3" s="1"/>
  <c r="E892" i="3"/>
  <c r="H892" i="3" s="1"/>
  <c r="E861" i="3"/>
  <c r="H861" i="3" s="1"/>
  <c r="E826" i="3"/>
  <c r="H826" i="3" s="1"/>
  <c r="E730" i="3"/>
  <c r="H730" i="3" s="1"/>
  <c r="E604" i="3"/>
  <c r="H604" i="3" s="1"/>
  <c r="E1018" i="3"/>
  <c r="H1018" i="3" s="1"/>
  <c r="E1050" i="3"/>
  <c r="H1050" i="3" s="1"/>
  <c r="E922" i="3"/>
  <c r="H922" i="3" s="1"/>
  <c r="E891" i="3"/>
  <c r="H891" i="3" s="1"/>
  <c r="E860" i="3"/>
  <c r="H860" i="3" s="1"/>
  <c r="E701" i="3"/>
  <c r="H701" i="3" s="1"/>
  <c r="E668" i="3"/>
  <c r="H668" i="3" s="1"/>
  <c r="E989" i="3"/>
  <c r="H989" i="3" s="1"/>
  <c r="E957" i="3"/>
  <c r="H957" i="3" s="1"/>
  <c r="E859" i="3"/>
  <c r="H859" i="3" s="1"/>
  <c r="E794" i="3"/>
  <c r="H794" i="3" s="1"/>
  <c r="E733" i="3"/>
  <c r="H733" i="3" s="1"/>
  <c r="E572" i="3"/>
  <c r="H572" i="3" s="1"/>
  <c r="E508" i="3"/>
  <c r="H508" i="3" s="1"/>
  <c r="E956" i="3"/>
  <c r="H956" i="3" s="1"/>
  <c r="E762" i="3"/>
  <c r="H762" i="3" s="1"/>
  <c r="E444" i="3"/>
  <c r="H444" i="3" s="1"/>
  <c r="E858" i="3"/>
  <c r="H858" i="3" s="1"/>
  <c r="E732" i="3"/>
  <c r="H732" i="3" s="1"/>
  <c r="E955" i="3"/>
  <c r="H955" i="3" s="1"/>
  <c r="E829" i="3"/>
  <c r="H829" i="3" s="1"/>
  <c r="E731" i="3"/>
  <c r="H731" i="3" s="1"/>
  <c r="E700" i="3"/>
  <c r="H700" i="3" s="1"/>
  <c r="E987" i="3"/>
  <c r="H987" i="3" s="1"/>
  <c r="E828" i="3"/>
  <c r="H828" i="3" s="1"/>
  <c r="E699" i="3"/>
  <c r="H699" i="3" s="1"/>
  <c r="E476" i="3"/>
  <c r="H476" i="3" s="1"/>
  <c r="E378" i="3"/>
  <c r="H378" i="3" s="1"/>
  <c r="E285" i="3"/>
  <c r="H285" i="3" s="1"/>
  <c r="E187" i="3"/>
  <c r="H187" i="3" s="1"/>
  <c r="E924" i="3"/>
  <c r="H924" i="3" s="1"/>
  <c r="E573" i="3"/>
  <c r="H573" i="3" s="1"/>
  <c r="E509" i="3"/>
  <c r="H509" i="3" s="1"/>
  <c r="D41" i="6"/>
  <c r="D46" i="6"/>
  <c r="D44" i="6"/>
  <c r="D42" i="6"/>
  <c r="D45" i="6"/>
  <c r="F45" i="6" s="1"/>
  <c r="D43" i="6"/>
  <c r="E30" i="3"/>
  <c r="H30" i="3" s="1"/>
  <c r="E40" i="3"/>
  <c r="H40" i="3" s="1"/>
  <c r="E84" i="3"/>
  <c r="H84" i="3" s="1"/>
  <c r="E89" i="3"/>
  <c r="H89" i="3" s="1"/>
  <c r="E94" i="3"/>
  <c r="H94" i="3" s="1"/>
  <c r="E128" i="3"/>
  <c r="H128" i="3" s="1"/>
  <c r="E138" i="3"/>
  <c r="H138" i="3" s="1"/>
  <c r="E182" i="3"/>
  <c r="H182" i="3" s="1"/>
  <c r="E223" i="3"/>
  <c r="H223" i="3" s="1"/>
  <c r="E253" i="3"/>
  <c r="H253" i="3" s="1"/>
  <c r="E263" i="3"/>
  <c r="H263" i="3" s="1"/>
  <c r="E268" i="3"/>
  <c r="H268" i="3" s="1"/>
  <c r="E284" i="3"/>
  <c r="H284" i="3" s="1"/>
  <c r="E294" i="3"/>
  <c r="H294" i="3" s="1"/>
  <c r="E299" i="3"/>
  <c r="H299" i="3" s="1"/>
  <c r="E304" i="3"/>
  <c r="H304" i="3" s="1"/>
  <c r="E314" i="3"/>
  <c r="H314" i="3" s="1"/>
  <c r="E335" i="3"/>
  <c r="H335" i="3" s="1"/>
  <c r="E340" i="3"/>
  <c r="H340" i="3" s="1"/>
  <c r="E345" i="3"/>
  <c r="H345" i="3" s="1"/>
  <c r="E370" i="3"/>
  <c r="H370" i="3" s="1"/>
  <c r="E416" i="3"/>
  <c r="H416" i="3" s="1"/>
  <c r="E433" i="3"/>
  <c r="H433" i="3" s="1"/>
  <c r="E446" i="3"/>
  <c r="H446" i="3" s="1"/>
  <c r="E468" i="3"/>
  <c r="H468" i="3" s="1"/>
  <c r="E474" i="3"/>
  <c r="H474" i="3" s="1"/>
  <c r="E480" i="3"/>
  <c r="H480" i="3" s="1"/>
  <c r="E521" i="3"/>
  <c r="H521" i="3" s="1"/>
  <c r="E527" i="3"/>
  <c r="H527" i="3" s="1"/>
  <c r="E571" i="3"/>
  <c r="H571" i="3" s="1"/>
  <c r="E584" i="3"/>
  <c r="H584" i="3" s="1"/>
  <c r="E599" i="3"/>
  <c r="H599" i="3" s="1"/>
  <c r="E635" i="3"/>
  <c r="H635" i="3" s="1"/>
  <c r="E681" i="3"/>
  <c r="H681" i="3" s="1"/>
  <c r="E717" i="3"/>
  <c r="H717" i="3" s="1"/>
  <c r="E950" i="3"/>
  <c r="H950" i="3" s="1"/>
  <c r="K37" i="7"/>
  <c r="M37" i="7" s="1"/>
  <c r="G38" i="6"/>
  <c r="B7" i="7"/>
  <c r="G47" i="6"/>
  <c r="K15" i="7"/>
  <c r="M15" i="7" s="1"/>
  <c r="G16" i="6"/>
  <c r="K8" i="7"/>
  <c r="G9" i="6"/>
  <c r="K33" i="7"/>
  <c r="M33" i="7" s="1"/>
  <c r="G34" i="6"/>
  <c r="K25" i="7"/>
  <c r="M25" i="7" s="1"/>
  <c r="G26" i="6"/>
  <c r="K18" i="7"/>
  <c r="G19" i="6"/>
  <c r="G78" i="6"/>
  <c r="K11" i="7"/>
  <c r="M11" i="7" s="1"/>
  <c r="G12" i="6"/>
  <c r="K2" i="7"/>
  <c r="G3" i="6"/>
  <c r="K22" i="7"/>
  <c r="G23" i="6"/>
  <c r="G22" i="6"/>
  <c r="K26" i="7"/>
  <c r="G27" i="6"/>
  <c r="K30" i="7"/>
  <c r="G31" i="6"/>
  <c r="K34" i="7"/>
  <c r="G35" i="6"/>
  <c r="E177" i="6"/>
  <c r="E805" i="3"/>
  <c r="H805" i="3" s="1"/>
  <c r="E901" i="3"/>
  <c r="H901" i="3" s="1"/>
  <c r="E963" i="3"/>
  <c r="H963" i="3" s="1"/>
  <c r="E1028" i="3"/>
  <c r="H1028" i="3" s="1"/>
  <c r="K12" i="7"/>
  <c r="G13" i="6"/>
  <c r="G86" i="6"/>
  <c r="B8" i="7"/>
  <c r="G323" i="6"/>
  <c r="L10" i="7"/>
  <c r="K23" i="7"/>
  <c r="M23" i="7" s="1"/>
  <c r="E85" i="6"/>
  <c r="E117" i="6"/>
  <c r="G287" i="6"/>
  <c r="K6" i="7"/>
  <c r="M6" i="7" s="1"/>
  <c r="G7" i="6"/>
  <c r="K16" i="7"/>
  <c r="G17" i="6"/>
  <c r="E964" i="3"/>
  <c r="H964" i="3" s="1"/>
  <c r="E1029" i="3"/>
  <c r="H1029" i="3" s="1"/>
  <c r="K13" i="7"/>
  <c r="M13" i="7" s="1"/>
  <c r="E674" i="3"/>
  <c r="H674" i="3" s="1"/>
  <c r="E772" i="3"/>
  <c r="H772" i="3" s="1"/>
  <c r="E836" i="3"/>
  <c r="H836" i="3" s="1"/>
  <c r="K20" i="7"/>
  <c r="M20" i="7" s="1"/>
  <c r="G21" i="6"/>
  <c r="E58" i="6"/>
  <c r="E103" i="6"/>
  <c r="E707" i="3"/>
  <c r="H707" i="3" s="1"/>
  <c r="E802" i="3"/>
  <c r="H802" i="3" s="1"/>
  <c r="E235" i="6"/>
  <c r="E233" i="6"/>
  <c r="E231" i="6"/>
  <c r="E229" i="6"/>
  <c r="E227" i="6"/>
  <c r="E225" i="6"/>
  <c r="E223" i="6"/>
  <c r="E221" i="6"/>
  <c r="E219" i="6"/>
  <c r="E217" i="6"/>
  <c r="E215" i="6"/>
  <c r="E275" i="6"/>
  <c r="E273" i="6"/>
  <c r="E271" i="6"/>
  <c r="E269" i="6"/>
  <c r="E267" i="6"/>
  <c r="E265" i="6"/>
  <c r="E263" i="6"/>
  <c r="E261" i="6"/>
  <c r="E259" i="6"/>
  <c r="E257" i="6"/>
  <c r="E255" i="6"/>
  <c r="E253" i="6"/>
  <c r="E251" i="6"/>
  <c r="E249" i="6"/>
  <c r="E247" i="6"/>
  <c r="E245" i="6"/>
  <c r="E243" i="6"/>
  <c r="E241" i="6"/>
  <c r="E239" i="6"/>
  <c r="E237" i="6"/>
  <c r="E313" i="6"/>
  <c r="E311" i="6"/>
  <c r="E309" i="6"/>
  <c r="E307" i="6"/>
  <c r="E305" i="6"/>
  <c r="E303" i="6"/>
  <c r="E301" i="6"/>
  <c r="E299" i="6"/>
  <c r="E297" i="6"/>
  <c r="E295" i="6"/>
  <c r="E293" i="6"/>
  <c r="E291" i="6"/>
  <c r="E289" i="6"/>
  <c r="E287" i="6"/>
  <c r="E285" i="6"/>
  <c r="E283" i="6"/>
  <c r="E281" i="6"/>
  <c r="E279" i="6"/>
  <c r="E277" i="6"/>
  <c r="E351" i="6"/>
  <c r="E349" i="6"/>
  <c r="F349" i="6" s="1"/>
  <c r="E347" i="6"/>
  <c r="F347" i="6" s="1"/>
  <c r="E345" i="6"/>
  <c r="E343" i="6"/>
  <c r="E341" i="6"/>
  <c r="E339" i="6"/>
  <c r="E337" i="6"/>
  <c r="E335" i="6"/>
  <c r="E333" i="6"/>
  <c r="E331" i="6"/>
  <c r="E329" i="6"/>
  <c r="E327" i="6"/>
  <c r="E325" i="6"/>
  <c r="E323" i="6"/>
  <c r="F323" i="6" s="1"/>
  <c r="E321" i="6"/>
  <c r="E319" i="6"/>
  <c r="F319" i="6" s="1"/>
  <c r="E317" i="6"/>
  <c r="E315" i="6"/>
  <c r="E352" i="6"/>
  <c r="E350" i="6"/>
  <c r="E348" i="6"/>
  <c r="E346" i="6"/>
  <c r="E344" i="6"/>
  <c r="E342" i="6"/>
  <c r="E340" i="6"/>
  <c r="E338" i="6"/>
  <c r="E336" i="6"/>
  <c r="E334" i="6"/>
  <c r="E332" i="6"/>
  <c r="E330" i="6"/>
  <c r="F330" i="6" s="1"/>
  <c r="E328" i="6"/>
  <c r="F328" i="6" s="1"/>
  <c r="E326" i="6"/>
  <c r="E324" i="6"/>
  <c r="F324" i="6" s="1"/>
  <c r="E322" i="6"/>
  <c r="E320" i="6"/>
  <c r="F320" i="6" s="1"/>
  <c r="E318" i="6"/>
  <c r="F318" i="6" s="1"/>
  <c r="E316" i="6"/>
  <c r="E266" i="6"/>
  <c r="E222" i="6"/>
  <c r="E310" i="6"/>
  <c r="E296" i="6"/>
  <c r="E282" i="6"/>
  <c r="E248" i="6"/>
  <c r="E258" i="6"/>
  <c r="E238" i="6"/>
  <c r="E197" i="6"/>
  <c r="E195" i="6"/>
  <c r="E193" i="6"/>
  <c r="E191" i="6"/>
  <c r="E189" i="6"/>
  <c r="E187" i="6"/>
  <c r="E185" i="6"/>
  <c r="E304" i="6"/>
  <c r="E290" i="6"/>
  <c r="E276" i="6"/>
  <c r="E268" i="6"/>
  <c r="E226" i="6"/>
  <c r="E250" i="6"/>
  <c r="E298" i="6"/>
  <c r="E284" i="6"/>
  <c r="E260" i="6"/>
  <c r="E312" i="6"/>
  <c r="E306" i="6"/>
  <c r="E292" i="6"/>
  <c r="E278" i="6"/>
  <c r="E252" i="6"/>
  <c r="E230" i="6"/>
  <c r="E254" i="6"/>
  <c r="E214" i="6"/>
  <c r="E212" i="6"/>
  <c r="E210" i="6"/>
  <c r="E208" i="6"/>
  <c r="E206" i="6"/>
  <c r="E204" i="6"/>
  <c r="E202" i="6"/>
  <c r="E200" i="6"/>
  <c r="E198" i="6"/>
  <c r="E302" i="6"/>
  <c r="E280" i="6"/>
  <c r="E218" i="6"/>
  <c r="E201" i="6"/>
  <c r="E190" i="6"/>
  <c r="E158" i="6"/>
  <c r="E151" i="6"/>
  <c r="E144" i="6"/>
  <c r="E131" i="6"/>
  <c r="E129" i="6"/>
  <c r="E127" i="6"/>
  <c r="E125" i="6"/>
  <c r="E123" i="6"/>
  <c r="E121" i="6"/>
  <c r="E274" i="6"/>
  <c r="E179" i="6"/>
  <c r="E172" i="6"/>
  <c r="E165" i="6"/>
  <c r="E133" i="6"/>
  <c r="E314" i="6"/>
  <c r="E308" i="6"/>
  <c r="E262" i="6"/>
  <c r="E244" i="6"/>
  <c r="E240" i="6"/>
  <c r="E209" i="6"/>
  <c r="E184" i="6"/>
  <c r="E153" i="6"/>
  <c r="E146" i="6"/>
  <c r="E135" i="6"/>
  <c r="E174" i="6"/>
  <c r="E167" i="6"/>
  <c r="E160" i="6"/>
  <c r="E137" i="6"/>
  <c r="E236" i="6"/>
  <c r="E220" i="6"/>
  <c r="E203" i="6"/>
  <c r="E192" i="6"/>
  <c r="E181" i="6"/>
  <c r="E155" i="6"/>
  <c r="E148" i="6"/>
  <c r="E139" i="6"/>
  <c r="E300" i="6"/>
  <c r="E256" i="6"/>
  <c r="E232" i="6"/>
  <c r="E176" i="6"/>
  <c r="E169" i="6"/>
  <c r="E162" i="6"/>
  <c r="E141" i="6"/>
  <c r="E80" i="6"/>
  <c r="E78" i="6"/>
  <c r="E76" i="6"/>
  <c r="E74" i="6"/>
  <c r="E72" i="6"/>
  <c r="E70" i="6"/>
  <c r="E294" i="6"/>
  <c r="E288" i="6"/>
  <c r="E272" i="6"/>
  <c r="E211" i="6"/>
  <c r="E186" i="6"/>
  <c r="E157" i="6"/>
  <c r="E150" i="6"/>
  <c r="E143" i="6"/>
  <c r="E118" i="6"/>
  <c r="E116" i="6"/>
  <c r="E114" i="6"/>
  <c r="E112" i="6"/>
  <c r="E110" i="6"/>
  <c r="E108" i="6"/>
  <c r="E106" i="6"/>
  <c r="E104" i="6"/>
  <c r="E102" i="6"/>
  <c r="E100" i="6"/>
  <c r="E98" i="6"/>
  <c r="E96" i="6"/>
  <c r="E94" i="6"/>
  <c r="E92" i="6"/>
  <c r="E90" i="6"/>
  <c r="E88" i="6"/>
  <c r="E86" i="6"/>
  <c r="E84" i="6"/>
  <c r="E82" i="6"/>
  <c r="E183" i="6"/>
  <c r="E178" i="6"/>
  <c r="E171" i="6"/>
  <c r="E164" i="6"/>
  <c r="E132" i="6"/>
  <c r="E130" i="6"/>
  <c r="E128" i="6"/>
  <c r="E126" i="6"/>
  <c r="E124" i="6"/>
  <c r="E122" i="6"/>
  <c r="E120" i="6"/>
  <c r="E228" i="6"/>
  <c r="E205" i="6"/>
  <c r="E194" i="6"/>
  <c r="E152" i="6"/>
  <c r="E145" i="6"/>
  <c r="E134" i="6"/>
  <c r="E246" i="6"/>
  <c r="E242" i="6"/>
  <c r="E173" i="6"/>
  <c r="E166" i="6"/>
  <c r="E159" i="6"/>
  <c r="E136" i="6"/>
  <c r="E286" i="6"/>
  <c r="E264" i="6"/>
  <c r="E224" i="6"/>
  <c r="E207" i="6"/>
  <c r="E196" i="6"/>
  <c r="E156" i="6"/>
  <c r="E149" i="6"/>
  <c r="E142" i="6"/>
  <c r="E79" i="6"/>
  <c r="E77" i="6"/>
  <c r="E75" i="6"/>
  <c r="E73" i="6"/>
  <c r="E71" i="6"/>
  <c r="E69" i="6"/>
  <c r="E67" i="6"/>
  <c r="E65" i="6"/>
  <c r="E63" i="6"/>
  <c r="E61" i="6"/>
  <c r="E59" i="6"/>
  <c r="E57" i="6"/>
  <c r="E55" i="6"/>
  <c r="E234" i="6"/>
  <c r="E93" i="6"/>
  <c r="E66" i="6"/>
  <c r="E41" i="6"/>
  <c r="E39" i="6"/>
  <c r="E37" i="6"/>
  <c r="E35" i="6"/>
  <c r="E33" i="6"/>
  <c r="E31" i="6"/>
  <c r="E29" i="6"/>
  <c r="E27" i="6"/>
  <c r="E25" i="6"/>
  <c r="E23" i="6"/>
  <c r="E21" i="6"/>
  <c r="E19" i="6"/>
  <c r="E17" i="6"/>
  <c r="E15" i="6"/>
  <c r="E13" i="6"/>
  <c r="E11" i="6"/>
  <c r="E9" i="6"/>
  <c r="E7" i="6"/>
  <c r="E5" i="6"/>
  <c r="E3" i="6"/>
  <c r="E182" i="6"/>
  <c r="E175" i="6"/>
  <c r="E168" i="6"/>
  <c r="E161" i="6"/>
  <c r="E109" i="6"/>
  <c r="E99" i="6"/>
  <c r="E87" i="6"/>
  <c r="E68" i="6"/>
  <c r="E53" i="6"/>
  <c r="E51" i="6"/>
  <c r="E49" i="6"/>
  <c r="E47" i="6"/>
  <c r="E45" i="6"/>
  <c r="E43" i="6"/>
  <c r="E188" i="6"/>
  <c r="E154" i="6"/>
  <c r="E119" i="6"/>
  <c r="E105" i="6"/>
  <c r="E81" i="6"/>
  <c r="E180" i="6"/>
  <c r="E213" i="6"/>
  <c r="E115" i="6"/>
  <c r="E95" i="6"/>
  <c r="E89" i="6"/>
  <c r="E147" i="6"/>
  <c r="E101" i="6"/>
  <c r="E2" i="6"/>
  <c r="E270" i="6"/>
  <c r="E199" i="6"/>
  <c r="E111" i="6"/>
  <c r="E83" i="6"/>
  <c r="E40" i="6"/>
  <c r="E38" i="6"/>
  <c r="E36" i="6"/>
  <c r="E34" i="6"/>
  <c r="E32" i="6"/>
  <c r="E30" i="6"/>
  <c r="E28" i="6"/>
  <c r="E26" i="6"/>
  <c r="E24" i="6"/>
  <c r="E22" i="6"/>
  <c r="E20" i="6"/>
  <c r="E18" i="6"/>
  <c r="E16" i="6"/>
  <c r="E14" i="6"/>
  <c r="E12" i="6"/>
  <c r="E10" i="6"/>
  <c r="E8" i="6"/>
  <c r="E6" i="6"/>
  <c r="E4" i="6"/>
  <c r="E54" i="6"/>
  <c r="E52" i="6"/>
  <c r="E50" i="6"/>
  <c r="E48" i="6"/>
  <c r="E46" i="6"/>
  <c r="E44" i="6"/>
  <c r="E42" i="6"/>
  <c r="E107" i="6"/>
  <c r="E91" i="6"/>
  <c r="E56" i="6"/>
  <c r="E216" i="6"/>
  <c r="E62" i="6"/>
  <c r="K17" i="7"/>
  <c r="M17" i="7" s="1"/>
  <c r="G20" i="6"/>
  <c r="B6" i="7"/>
  <c r="K7" i="7"/>
  <c r="M7" i="7" s="1"/>
  <c r="K10" i="7"/>
  <c r="G11" i="6"/>
  <c r="K24" i="7"/>
  <c r="G25" i="6"/>
  <c r="K28" i="7"/>
  <c r="M28" i="7" s="1"/>
  <c r="G29" i="6"/>
  <c r="K32" i="7"/>
  <c r="M32" i="7" s="1"/>
  <c r="G33" i="6"/>
  <c r="K36" i="7"/>
  <c r="M36" i="7" s="1"/>
  <c r="G37" i="6"/>
  <c r="E64" i="6"/>
  <c r="E113" i="6"/>
  <c r="K4" i="7"/>
  <c r="G5" i="6"/>
  <c r="G28" i="6"/>
  <c r="E932" i="3"/>
  <c r="H932" i="3" s="1"/>
  <c r="E834" i="3"/>
  <c r="H834" i="3" s="1"/>
  <c r="E995" i="3"/>
  <c r="H995" i="3" s="1"/>
  <c r="E869" i="3"/>
  <c r="H869" i="3" s="1"/>
  <c r="E1026" i="3"/>
  <c r="H1026" i="3" s="1"/>
  <c r="E36" i="3"/>
  <c r="H36" i="3" s="1"/>
  <c r="E162" i="3"/>
  <c r="H162" i="3" s="1"/>
  <c r="E260" i="3"/>
  <c r="H260" i="3" s="1"/>
  <c r="E386" i="3"/>
  <c r="H386" i="3" s="1"/>
  <c r="E484" i="3"/>
  <c r="H484" i="3" s="1"/>
  <c r="E610" i="3"/>
  <c r="H610" i="3" s="1"/>
  <c r="E708" i="3"/>
  <c r="H708" i="3" s="1"/>
  <c r="E803" i="3"/>
  <c r="H803" i="3" s="1"/>
  <c r="K14" i="7"/>
  <c r="G15" i="6"/>
  <c r="E60" i="6"/>
  <c r="E97" i="6"/>
  <c r="E138" i="6"/>
  <c r="G146" i="6"/>
  <c r="L9" i="7"/>
  <c r="M9" i="7" s="1"/>
  <c r="G322" i="6"/>
  <c r="F322" i="6"/>
  <c r="G153" i="6"/>
  <c r="F316" i="6"/>
  <c r="G160" i="6"/>
  <c r="G189" i="6"/>
  <c r="B11" i="7"/>
  <c r="G203" i="6"/>
  <c r="B9" i="7"/>
  <c r="G125" i="6"/>
  <c r="G129" i="6"/>
  <c r="G251" i="6"/>
  <c r="G319" i="6"/>
  <c r="L6" i="7"/>
  <c r="G301" i="6"/>
  <c r="G337" i="6"/>
  <c r="L24" i="7"/>
  <c r="G268" i="6"/>
  <c r="L32" i="7"/>
  <c r="G345" i="6"/>
  <c r="L13" i="7"/>
  <c r="G326" i="6"/>
  <c r="L28" i="7"/>
  <c r="F325" i="6"/>
  <c r="B10" i="7"/>
  <c r="G164" i="6"/>
  <c r="G281" i="6"/>
  <c r="B13" i="7"/>
  <c r="F326" i="6"/>
  <c r="F321" i="6"/>
  <c r="G328" i="6"/>
  <c r="L22" i="7"/>
  <c r="F315" i="6"/>
  <c r="F329" i="6"/>
  <c r="L2" i="7"/>
  <c r="B14" i="7"/>
  <c r="F6" i="7" s="1"/>
  <c r="I13" i="7" s="1"/>
  <c r="L7" i="7"/>
  <c r="L18" i="7"/>
  <c r="G331" i="6"/>
  <c r="F333" i="6"/>
  <c r="F337" i="6"/>
  <c r="F341" i="6"/>
  <c r="F345" i="6"/>
  <c r="G339" i="6"/>
  <c r="L26" i="7"/>
  <c r="G343" i="6"/>
  <c r="L30" i="7"/>
  <c r="L4" i="7"/>
  <c r="G321" i="6"/>
  <c r="L8" i="7"/>
  <c r="L14" i="7"/>
  <c r="G316" i="6"/>
  <c r="G330" i="6"/>
  <c r="G334" i="6"/>
  <c r="G338" i="6"/>
  <c r="G342" i="6"/>
  <c r="G346" i="6"/>
  <c r="L34" i="7"/>
  <c r="G325" i="6"/>
  <c r="L12" i="7"/>
  <c r="G320" i="6"/>
  <c r="F327" i="6"/>
  <c r="G329" i="6"/>
  <c r="L16" i="7"/>
  <c r="F317" i="6"/>
  <c r="F331" i="6"/>
  <c r="F335" i="6"/>
  <c r="F339" i="6"/>
  <c r="F343" i="6"/>
  <c r="F351" i="6"/>
  <c r="D242" i="6" l="1"/>
  <c r="F242" i="6" s="1"/>
  <c r="C14" i="7"/>
  <c r="C9" i="7"/>
  <c r="D36" i="6"/>
  <c r="F36" i="6" s="1"/>
  <c r="D14" i="7"/>
  <c r="C13" i="7"/>
  <c r="D32" i="6"/>
  <c r="F32" i="6" s="1"/>
  <c r="D243" i="6"/>
  <c r="F243" i="6" s="1"/>
  <c r="D98" i="6"/>
  <c r="F98" i="6" s="1"/>
  <c r="D125" i="6"/>
  <c r="F125" i="6" s="1"/>
  <c r="D16" i="6"/>
  <c r="F16" i="6" s="1"/>
  <c r="D13" i="6"/>
  <c r="F13" i="6" s="1"/>
  <c r="D254" i="6"/>
  <c r="F254" i="6" s="1"/>
  <c r="D221" i="6"/>
  <c r="F221" i="6" s="1"/>
  <c r="D17" i="6"/>
  <c r="F17" i="6" s="1"/>
  <c r="D167" i="6"/>
  <c r="F167" i="6" s="1"/>
  <c r="D68" i="6"/>
  <c r="F68" i="6" s="1"/>
  <c r="D15" i="6"/>
  <c r="F15" i="6" s="1"/>
  <c r="D60" i="6"/>
  <c r="F60" i="6" s="1"/>
  <c r="D164" i="6"/>
  <c r="F164" i="6" s="1"/>
  <c r="D143" i="6"/>
  <c r="F143" i="6" s="1"/>
  <c r="D283" i="6"/>
  <c r="F283" i="6" s="1"/>
  <c r="D310" i="6"/>
  <c r="F310" i="6" s="1"/>
  <c r="D128" i="6"/>
  <c r="F128" i="6" s="1"/>
  <c r="D61" i="6"/>
  <c r="F61" i="6" s="1"/>
  <c r="D281" i="6"/>
  <c r="F281" i="6" s="1"/>
  <c r="D142" i="6"/>
  <c r="F142" i="6" s="1"/>
  <c r="D129" i="6"/>
  <c r="F129" i="6" s="1"/>
  <c r="D232" i="6"/>
  <c r="F232" i="6" s="1"/>
  <c r="D188" i="6"/>
  <c r="F188" i="6" s="1"/>
  <c r="D22" i="6"/>
  <c r="F22" i="6" s="1"/>
  <c r="D56" i="6"/>
  <c r="F56" i="6" s="1"/>
  <c r="D14" i="6"/>
  <c r="F14" i="6" s="1"/>
  <c r="D307" i="6"/>
  <c r="F307" i="6" s="1"/>
  <c r="D11" i="6"/>
  <c r="D94" i="6"/>
  <c r="F94" i="6" s="1"/>
  <c r="D299" i="6"/>
  <c r="F299" i="6" s="1"/>
  <c r="D282" i="6"/>
  <c r="F282" i="6" s="1"/>
  <c r="D10" i="6"/>
  <c r="F10" i="6" s="1"/>
  <c r="D8" i="6"/>
  <c r="F8" i="6" s="1"/>
  <c r="D302" i="6"/>
  <c r="F302" i="6" s="1"/>
  <c r="D305" i="6"/>
  <c r="F305" i="6" s="1"/>
  <c r="D313" i="6"/>
  <c r="F313" i="6" s="1"/>
  <c r="D214" i="6"/>
  <c r="F214" i="6" s="1"/>
  <c r="D235" i="6"/>
  <c r="F235" i="6" s="1"/>
  <c r="D231" i="6"/>
  <c r="F231" i="6" s="1"/>
  <c r="D97" i="6"/>
  <c r="F97" i="6" s="1"/>
  <c r="D103" i="6"/>
  <c r="F103" i="6" s="1"/>
  <c r="D135" i="6"/>
  <c r="F135" i="6" s="1"/>
  <c r="D234" i="6"/>
  <c r="F234" i="6" s="1"/>
  <c r="D58" i="6"/>
  <c r="F58" i="6" s="1"/>
  <c r="D165" i="6"/>
  <c r="F165" i="6" s="1"/>
  <c r="D23" i="6"/>
  <c r="F23" i="6" s="1"/>
  <c r="D59" i="6"/>
  <c r="F59" i="6" s="1"/>
  <c r="D114" i="6"/>
  <c r="F114" i="6" s="1"/>
  <c r="D306" i="6"/>
  <c r="F306" i="6" s="1"/>
  <c r="D295" i="6"/>
  <c r="F295" i="6" s="1"/>
  <c r="D292" i="6"/>
  <c r="F292" i="6" s="1"/>
  <c r="D204" i="6"/>
  <c r="F204" i="6" s="1"/>
  <c r="D30" i="6"/>
  <c r="F30" i="6" s="1"/>
  <c r="D86" i="6"/>
  <c r="F86" i="6" s="1"/>
  <c r="D77" i="6"/>
  <c r="F77" i="6" s="1"/>
  <c r="D170" i="6"/>
  <c r="F170" i="6" s="1"/>
  <c r="D131" i="6"/>
  <c r="F131" i="6" s="1"/>
  <c r="D208" i="6"/>
  <c r="F208" i="6" s="1"/>
  <c r="D169" i="6"/>
  <c r="F169" i="6" s="1"/>
  <c r="D28" i="6"/>
  <c r="F28" i="6" s="1"/>
  <c r="D39" i="6"/>
  <c r="F39" i="6" s="1"/>
  <c r="D175" i="6"/>
  <c r="F175" i="6" s="1"/>
  <c r="D90" i="6"/>
  <c r="F90" i="6" s="1"/>
  <c r="D89" i="6"/>
  <c r="F89" i="6" s="1"/>
  <c r="D26" i="6"/>
  <c r="F26" i="6" s="1"/>
  <c r="D233" i="6"/>
  <c r="F233" i="6" s="1"/>
  <c r="D152" i="6"/>
  <c r="F152" i="6" s="1"/>
  <c r="D24" i="6"/>
  <c r="F24" i="6" s="1"/>
  <c r="D112" i="6"/>
  <c r="F112" i="6" s="1"/>
  <c r="D72" i="6"/>
  <c r="F72" i="6" s="1"/>
  <c r="D309" i="6"/>
  <c r="F309" i="6" s="1"/>
  <c r="D9" i="6"/>
  <c r="F9" i="6" s="1"/>
  <c r="D287" i="6"/>
  <c r="F287" i="6" s="1"/>
  <c r="D57" i="6"/>
  <c r="F57" i="6" s="1"/>
  <c r="D47" i="6"/>
  <c r="F47" i="6" s="1"/>
  <c r="D289" i="6"/>
  <c r="F289" i="6" s="1"/>
  <c r="D21" i="6"/>
  <c r="F21" i="6" s="1"/>
  <c r="D25" i="6"/>
  <c r="F25" i="6" s="1"/>
  <c r="D252" i="6"/>
  <c r="F252" i="6" s="1"/>
  <c r="D115" i="6"/>
  <c r="F115" i="6" s="1"/>
  <c r="D171" i="6"/>
  <c r="F171" i="6" s="1"/>
  <c r="D258" i="6"/>
  <c r="F258" i="6" s="1"/>
  <c r="D173" i="6"/>
  <c r="F173" i="6" s="1"/>
  <c r="D69" i="6"/>
  <c r="F69" i="6" s="1"/>
  <c r="D49" i="6"/>
  <c r="F49" i="6" s="1"/>
  <c r="D108" i="6"/>
  <c r="F108" i="6" s="1"/>
  <c r="D218" i="6"/>
  <c r="F218" i="6" s="1"/>
  <c r="D183" i="6"/>
  <c r="F183" i="6" s="1"/>
  <c r="D216" i="6"/>
  <c r="F216" i="6" s="1"/>
  <c r="D63" i="6"/>
  <c r="F63" i="6" s="1"/>
  <c r="D182" i="6"/>
  <c r="F182" i="6" s="1"/>
  <c r="D113" i="6"/>
  <c r="F113" i="6" s="1"/>
  <c r="D293" i="6"/>
  <c r="F293" i="6" s="1"/>
  <c r="D271" i="6"/>
  <c r="F271" i="6" s="1"/>
  <c r="D247" i="6"/>
  <c r="F247" i="6" s="1"/>
  <c r="D99" i="6"/>
  <c r="F99" i="6" s="1"/>
  <c r="D156" i="6"/>
  <c r="F156" i="6" s="1"/>
  <c r="D110" i="6"/>
  <c r="F110" i="6" s="1"/>
  <c r="D268" i="6"/>
  <c r="F268" i="6" s="1"/>
  <c r="D211" i="6"/>
  <c r="F211" i="6" s="1"/>
  <c r="D107" i="6"/>
  <c r="F107" i="6" s="1"/>
  <c r="D147" i="6"/>
  <c r="F147" i="6" s="1"/>
  <c r="D230" i="6"/>
  <c r="F230" i="6" s="1"/>
  <c r="D146" i="6"/>
  <c r="F146" i="6" s="1"/>
  <c r="D29" i="6"/>
  <c r="F29" i="6" s="1"/>
  <c r="D228" i="6"/>
  <c r="F228" i="6" s="1"/>
  <c r="D187" i="6"/>
  <c r="F187" i="6" s="1"/>
  <c r="D148" i="6"/>
  <c r="F148" i="6" s="1"/>
  <c r="D96" i="6"/>
  <c r="F96" i="6" s="1"/>
  <c r="D12" i="6"/>
  <c r="F12" i="6" s="1"/>
  <c r="D19" i="6"/>
  <c r="F19" i="6" s="1"/>
  <c r="D181" i="6"/>
  <c r="F181" i="6" s="1"/>
  <c r="D102" i="6"/>
  <c r="F102" i="6" s="1"/>
  <c r="D133" i="6"/>
  <c r="F133" i="6" s="1"/>
  <c r="D100" i="6"/>
  <c r="F100" i="6" s="1"/>
  <c r="D126" i="6"/>
  <c r="F126" i="6" s="1"/>
  <c r="D20" i="6"/>
  <c r="F20" i="6" s="1"/>
  <c r="D248" i="6"/>
  <c r="F248" i="6" s="1"/>
  <c r="D50" i="6"/>
  <c r="D184" i="6"/>
  <c r="F184" i="6" s="1"/>
  <c r="D185" i="6"/>
  <c r="F185" i="6" s="1"/>
  <c r="D104" i="6"/>
  <c r="F104" i="6" s="1"/>
  <c r="D106" i="6"/>
  <c r="F106" i="6" s="1"/>
  <c r="D209" i="6"/>
  <c r="F209" i="6" s="1"/>
  <c r="D87" i="6"/>
  <c r="F87" i="6" s="1"/>
  <c r="D33" i="6"/>
  <c r="F33" i="6" s="1"/>
  <c r="D267" i="6"/>
  <c r="F267" i="6" s="1"/>
  <c r="D193" i="6"/>
  <c r="F193" i="6" s="1"/>
  <c r="D284" i="6"/>
  <c r="F284" i="6" s="1"/>
  <c r="D153" i="6"/>
  <c r="F153" i="6" s="1"/>
  <c r="D138" i="6"/>
  <c r="F138" i="6" s="1"/>
  <c r="D18" i="6"/>
  <c r="F18" i="6" s="1"/>
  <c r="D31" i="6"/>
  <c r="F31" i="6" s="1"/>
  <c r="D139" i="6"/>
  <c r="F139" i="6" s="1"/>
  <c r="D288" i="6"/>
  <c r="F288" i="6" s="1"/>
  <c r="D264" i="6"/>
  <c r="F264" i="6" s="1"/>
  <c r="D177" i="6"/>
  <c r="F177" i="6" s="1"/>
  <c r="D155" i="6"/>
  <c r="F155" i="6" s="1"/>
  <c r="D134" i="6"/>
  <c r="F134" i="6" s="1"/>
  <c r="D116" i="6"/>
  <c r="F116" i="6" s="1"/>
  <c r="D118" i="6"/>
  <c r="F118" i="6" s="1"/>
  <c r="D250" i="6"/>
  <c r="F250" i="6" s="1"/>
  <c r="D70" i="6"/>
  <c r="F70" i="6" s="1"/>
  <c r="D76" i="6"/>
  <c r="F76" i="6" s="1"/>
  <c r="D294" i="6"/>
  <c r="F294" i="6" s="1"/>
  <c r="D220" i="6"/>
  <c r="F220" i="6" s="1"/>
  <c r="D53" i="6"/>
  <c r="F53" i="6" s="1"/>
  <c r="D291" i="6"/>
  <c r="F291" i="6" s="1"/>
  <c r="D303" i="6"/>
  <c r="F303" i="6" s="1"/>
  <c r="D308" i="6"/>
  <c r="F308" i="6" s="1"/>
  <c r="D296" i="6"/>
  <c r="F296" i="6" s="1"/>
  <c r="D203" i="6"/>
  <c r="F203" i="6" s="1"/>
  <c r="D178" i="6"/>
  <c r="F178" i="6" s="1"/>
  <c r="D117" i="6"/>
  <c r="F117" i="6" s="1"/>
  <c r="D140" i="6"/>
  <c r="F140" i="6" s="1"/>
  <c r="D286" i="6"/>
  <c r="F286" i="6" s="1"/>
  <c r="D101" i="6"/>
  <c r="F101" i="6" s="1"/>
  <c r="D64" i="6"/>
  <c r="F64" i="6" s="1"/>
  <c r="D71" i="6"/>
  <c r="F71" i="6" s="1"/>
  <c r="D75" i="6"/>
  <c r="F75" i="6" s="1"/>
  <c r="D285" i="6"/>
  <c r="F285" i="6" s="1"/>
  <c r="D297" i="6"/>
  <c r="F297" i="6" s="1"/>
  <c r="D290" i="6"/>
  <c r="F290" i="6" s="1"/>
  <c r="D298" i="6"/>
  <c r="F298" i="6" s="1"/>
  <c r="D300" i="6"/>
  <c r="F300" i="6" s="1"/>
  <c r="D92" i="6"/>
  <c r="F92" i="6" s="1"/>
  <c r="D35" i="6"/>
  <c r="F35" i="6" s="1"/>
  <c r="D269" i="6"/>
  <c r="F269" i="6" s="1"/>
  <c r="D73" i="6"/>
  <c r="F73" i="6" s="1"/>
  <c r="D172" i="6"/>
  <c r="F172" i="6" s="1"/>
  <c r="D141" i="6"/>
  <c r="F141" i="6" s="1"/>
  <c r="D93" i="6"/>
  <c r="F93" i="6" s="1"/>
  <c r="D111" i="6"/>
  <c r="F111" i="6" s="1"/>
  <c r="D52" i="6"/>
  <c r="F52" i="6" s="1"/>
  <c r="D66" i="6"/>
  <c r="F66" i="6" s="1"/>
  <c r="D78" i="6"/>
  <c r="F78" i="6" s="1"/>
  <c r="D51" i="6"/>
  <c r="F51" i="6" s="1"/>
  <c r="D79" i="6"/>
  <c r="F79" i="6" s="1"/>
  <c r="D215" i="6"/>
  <c r="F215" i="6" s="1"/>
  <c r="D246" i="6"/>
  <c r="F246" i="6" s="1"/>
  <c r="D312" i="6"/>
  <c r="F312" i="6" s="1"/>
  <c r="D304" i="6"/>
  <c r="F304" i="6" s="1"/>
  <c r="D265" i="6"/>
  <c r="F265" i="6" s="1"/>
  <c r="D274" i="6"/>
  <c r="F274" i="6" s="1"/>
  <c r="D210" i="6"/>
  <c r="F210" i="6" s="1"/>
  <c r="D263" i="6"/>
  <c r="F263" i="6" s="1"/>
  <c r="D149" i="6"/>
  <c r="F149" i="6" s="1"/>
  <c r="D62" i="6"/>
  <c r="F62" i="6" s="1"/>
  <c r="D67" i="6"/>
  <c r="F67" i="6" s="1"/>
  <c r="D74" i="6"/>
  <c r="F74" i="6" s="1"/>
  <c r="D54" i="6"/>
  <c r="F54" i="6" s="1"/>
  <c r="D176" i="6"/>
  <c r="F176" i="6" s="1"/>
  <c r="D213" i="6"/>
  <c r="F213" i="6" s="1"/>
  <c r="D191" i="6"/>
  <c r="F191" i="6" s="1"/>
  <c r="D256" i="6"/>
  <c r="F256" i="6" s="1"/>
  <c r="D40" i="6"/>
  <c r="F40" i="6" s="1"/>
  <c r="D270" i="6"/>
  <c r="F270" i="6" s="1"/>
  <c r="D273" i="6"/>
  <c r="F273" i="6" s="1"/>
  <c r="D206" i="6"/>
  <c r="F206" i="6" s="1"/>
  <c r="D261" i="6"/>
  <c r="F261" i="6" s="1"/>
  <c r="D179" i="6"/>
  <c r="F179" i="6" s="1"/>
  <c r="D109" i="6"/>
  <c r="F109" i="6" s="1"/>
  <c r="D91" i="6"/>
  <c r="F91" i="6" s="1"/>
  <c r="D137" i="6"/>
  <c r="F137" i="6" s="1"/>
  <c r="D260" i="6"/>
  <c r="F260" i="6" s="1"/>
  <c r="D207" i="6"/>
  <c r="F207" i="6" s="1"/>
  <c r="D189" i="6"/>
  <c r="F189" i="6" s="1"/>
  <c r="D55" i="6"/>
  <c r="F55" i="6" s="1"/>
  <c r="D34" i="6"/>
  <c r="F34" i="6" s="1"/>
  <c r="D37" i="6"/>
  <c r="F37" i="6" s="1"/>
  <c r="D253" i="6"/>
  <c r="F253" i="6" s="1"/>
  <c r="D225" i="6"/>
  <c r="F225" i="6" s="1"/>
  <c r="D217" i="6"/>
  <c r="F217" i="6" s="1"/>
  <c r="D259" i="6"/>
  <c r="F259" i="6" s="1"/>
  <c r="D195" i="6"/>
  <c r="F195" i="6" s="1"/>
  <c r="D144" i="6"/>
  <c r="F144" i="6" s="1"/>
  <c r="D272" i="6"/>
  <c r="F272" i="6" s="1"/>
  <c r="D38" i="6"/>
  <c r="F38" i="6" s="1"/>
  <c r="D127" i="6"/>
  <c r="F127" i="6" s="1"/>
  <c r="D227" i="6"/>
  <c r="F227" i="6" s="1"/>
  <c r="D180" i="6"/>
  <c r="F180" i="6" s="1"/>
  <c r="D186" i="6"/>
  <c r="F186" i="6" s="1"/>
  <c r="D301" i="6"/>
  <c r="F301" i="6" s="1"/>
  <c r="D157" i="6"/>
  <c r="F157" i="6" s="1"/>
  <c r="D136" i="6"/>
  <c r="F136" i="6" s="1"/>
  <c r="D212" i="6"/>
  <c r="F212" i="6" s="1"/>
  <c r="D130" i="6"/>
  <c r="F130" i="6" s="1"/>
  <c r="D88" i="6"/>
  <c r="F88" i="6" s="1"/>
  <c r="D224" i="6"/>
  <c r="F224" i="6" s="1"/>
  <c r="D192" i="6"/>
  <c r="F192" i="6" s="1"/>
  <c r="D196" i="6"/>
  <c r="F196" i="6" s="1"/>
  <c r="D151" i="6"/>
  <c r="F151" i="6" s="1"/>
  <c r="D255" i="6"/>
  <c r="F255" i="6" s="1"/>
  <c r="D132" i="6"/>
  <c r="F132" i="6" s="1"/>
  <c r="D168" i="6"/>
  <c r="F168" i="6" s="1"/>
  <c r="D145" i="6"/>
  <c r="F145" i="6" s="1"/>
  <c r="D205" i="6"/>
  <c r="F205" i="6" s="1"/>
  <c r="D150" i="6"/>
  <c r="F150" i="6" s="1"/>
  <c r="D154" i="6"/>
  <c r="F154" i="6" s="1"/>
  <c r="D105" i="6"/>
  <c r="F105" i="6" s="1"/>
  <c r="D219" i="6"/>
  <c r="F219" i="6" s="1"/>
  <c r="D244" i="6"/>
  <c r="F244" i="6" s="1"/>
  <c r="D27" i="6"/>
  <c r="F27" i="6" s="1"/>
  <c r="D65" i="6"/>
  <c r="F65" i="6" s="1"/>
  <c r="D251" i="6"/>
  <c r="F251" i="6" s="1"/>
  <c r="D226" i="6"/>
  <c r="F226" i="6" s="1"/>
  <c r="D190" i="6"/>
  <c r="F190" i="6" s="1"/>
  <c r="D95" i="6"/>
  <c r="F95" i="6" s="1"/>
  <c r="D166" i="6"/>
  <c r="F166" i="6" s="1"/>
  <c r="D249" i="6"/>
  <c r="F249" i="6" s="1"/>
  <c r="D222" i="6"/>
  <c r="F222" i="6" s="1"/>
  <c r="D311" i="6"/>
  <c r="F311" i="6" s="1"/>
  <c r="D266" i="6"/>
  <c r="F266" i="6" s="1"/>
  <c r="D48" i="6"/>
  <c r="F48" i="6" s="1"/>
  <c r="D262" i="6"/>
  <c r="F262" i="6" s="1"/>
  <c r="D229" i="6"/>
  <c r="F229" i="6" s="1"/>
  <c r="D194" i="6"/>
  <c r="F194" i="6" s="1"/>
  <c r="D223" i="6"/>
  <c r="F223" i="6" s="1"/>
  <c r="D174" i="6"/>
  <c r="F174" i="6" s="1"/>
  <c r="D257" i="6"/>
  <c r="F257" i="6" s="1"/>
  <c r="C10" i="7"/>
  <c r="D10" i="7"/>
  <c r="M22" i="7"/>
  <c r="F42" i="6"/>
  <c r="F80" i="6"/>
  <c r="F350" i="6"/>
  <c r="M34" i="7"/>
  <c r="M8" i="7"/>
  <c r="F44" i="6"/>
  <c r="F278" i="6"/>
  <c r="F84" i="6"/>
  <c r="F121" i="6"/>
  <c r="F159" i="6"/>
  <c r="F237" i="6"/>
  <c r="F3" i="6"/>
  <c r="F352" i="6"/>
  <c r="F199" i="6"/>
  <c r="M2" i="7"/>
  <c r="F46" i="6"/>
  <c r="F202" i="6"/>
  <c r="F239" i="6"/>
  <c r="F6" i="6"/>
  <c r="M30" i="7"/>
  <c r="F119" i="6"/>
  <c r="F160" i="6"/>
  <c r="F314" i="6"/>
  <c r="F50" i="6"/>
  <c r="F41" i="6"/>
  <c r="F161" i="6"/>
  <c r="F5" i="7"/>
  <c r="M26" i="7"/>
  <c r="M18" i="7"/>
  <c r="F241" i="6"/>
  <c r="F236" i="6"/>
  <c r="F7" i="6"/>
  <c r="F332" i="6"/>
  <c r="F275" i="6"/>
  <c r="D9" i="7"/>
  <c r="F43" i="6"/>
  <c r="F279" i="6"/>
  <c r="F82" i="6"/>
  <c r="F198" i="6"/>
  <c r="F4" i="6"/>
  <c r="F334" i="6"/>
  <c r="D13" i="7"/>
  <c r="M12" i="7"/>
  <c r="F85" i="6"/>
  <c r="F336" i="6"/>
  <c r="F201" i="6"/>
  <c r="F11" i="6"/>
  <c r="F338" i="6"/>
  <c r="M24" i="7"/>
  <c r="M14" i="7"/>
  <c r="M4" i="7"/>
  <c r="M16" i="7"/>
  <c r="F83" i="6"/>
  <c r="F120" i="6"/>
  <c r="F5" i="6"/>
  <c r="F340" i="6"/>
  <c r="M10" i="7"/>
  <c r="F122" i="6"/>
  <c r="F158" i="6"/>
  <c r="F197" i="6"/>
  <c r="F2" i="6"/>
  <c r="F342" i="6"/>
  <c r="N11" i="7" l="1"/>
  <c r="N20" i="7"/>
  <c r="N31" i="7"/>
  <c r="N12" i="7"/>
  <c r="N5" i="7"/>
  <c r="N26" i="7"/>
  <c r="N28" i="7"/>
  <c r="N15" i="7"/>
  <c r="O26" i="7"/>
  <c r="N16" i="7"/>
  <c r="N19" i="7"/>
  <c r="N22" i="7"/>
  <c r="N23" i="7"/>
  <c r="N32" i="7"/>
  <c r="N33" i="7"/>
  <c r="N27" i="7"/>
  <c r="N13" i="7"/>
  <c r="N9" i="7"/>
  <c r="N37" i="7"/>
  <c r="N21" i="7"/>
  <c r="N17" i="7"/>
  <c r="N25" i="7"/>
  <c r="O22" i="7"/>
  <c r="N3" i="7"/>
  <c r="O34" i="7"/>
  <c r="N6" i="7"/>
  <c r="O25" i="7"/>
  <c r="N24" i="7"/>
  <c r="F7" i="7"/>
  <c r="I12" i="7"/>
  <c r="N34" i="7"/>
  <c r="N18" i="7"/>
  <c r="O6" i="7"/>
  <c r="O17" i="7"/>
  <c r="C11" i="7"/>
  <c r="D11" i="7"/>
  <c r="N4" i="7"/>
  <c r="C7" i="7"/>
  <c r="D7" i="7"/>
  <c r="O36" i="7"/>
  <c r="O29" i="7"/>
  <c r="O15" i="7"/>
  <c r="O30" i="7"/>
  <c r="N36" i="7"/>
  <c r="D6" i="7"/>
  <c r="N7" i="7"/>
  <c r="C6" i="7"/>
  <c r="N30" i="7"/>
  <c r="O9" i="7"/>
  <c r="N35" i="7"/>
  <c r="O23" i="7"/>
  <c r="O13" i="7"/>
  <c r="C12" i="7"/>
  <c r="D12" i="7"/>
  <c r="O19" i="7"/>
  <c r="N2" i="7"/>
  <c r="O3" i="7"/>
  <c r="N14" i="7"/>
  <c r="C8" i="7"/>
  <c r="D8" i="7"/>
  <c r="O27" i="7"/>
  <c r="O35" i="7"/>
  <c r="O32" i="7"/>
  <c r="N8" i="7"/>
  <c r="O16" i="7"/>
  <c r="O33" i="7"/>
  <c r="O37" i="7"/>
  <c r="N10" i="7"/>
  <c r="N29" i="7"/>
  <c r="O20" i="7" l="1"/>
  <c r="F10" i="7"/>
  <c r="O7" i="7"/>
  <c r="O4" i="7"/>
  <c r="F8" i="7"/>
  <c r="F9" i="7"/>
  <c r="O21" i="7"/>
  <c r="F11" i="7"/>
  <c r="O24" i="7"/>
  <c r="O5" i="7"/>
  <c r="O10" i="7"/>
  <c r="O11" i="7"/>
  <c r="O28" i="7"/>
  <c r="O14" i="7"/>
  <c r="O12" i="7"/>
  <c r="O8" i="7"/>
  <c r="O31" i="7"/>
  <c r="O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Change only the monthly PAC amounts here. Weekly PAC is calculated automatically.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Auto = use planned weekly PAC; No = skip; Edited = use Actual_Amount.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D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At each month-end, fill only this column for Savings + every ETF.</t>
        </r>
      </text>
    </comment>
  </commentList>
</comments>
</file>

<file path=xl/sharedStrings.xml><?xml version="1.0" encoding="utf-8"?>
<sst xmlns="http://schemas.openxmlformats.org/spreadsheetml/2006/main" count="4588" uniqueCount="70">
  <si>
    <t>Simple portfolio tracker - historical data loaded through Mar/26</t>
  </si>
  <si>
    <t>1) Assets: from Apr/26 onward, write your current MONTHLY PAC in column F. Weekly PAC is automatic.</t>
  </si>
  <si>
    <t>2) Transactions_PAC: from Apr/26 onward, each ETF has 4 planned weekly PAC rows per month.</t>
  </si>
  <si>
    <t>3) In Transactions_PAC, Status works like this:</t>
  </si>
  <si>
    <t xml:space="preserve">   - Auto = use the planned weekly PAC</t>
  </si>
  <si>
    <t xml:space="preserve">   - No = skip that weekly buy</t>
  </si>
  <si>
    <t xml:space="preserve">   - Edited = write your real amount in Actual_Amount</t>
  </si>
  <si>
    <t>4) Transactions_Manual already includes your historical monthly ETF flows from Oct/25 to Mar/26.</t>
  </si>
  <si>
    <t>5) From now on, use Transactions_Manual only for extra buys / sells / one-off changes outside PAC.</t>
  </si>
  <si>
    <t>6) Month_End already includes your historical end-of-month values from Oct/25 to Mar/26.</t>
  </si>
  <si>
    <t>7) Every month, update only the new Month_End values and the file will refresh the Summary and Dashboard.</t>
  </si>
  <si>
    <t>8) Savings performance is intentionally left blank; this file focuses ETF flow and ETF market performance.</t>
  </si>
  <si>
    <t>9) Dashboard selected month is cell B3.</t>
  </si>
  <si>
    <t>Asset</t>
  </si>
  <si>
    <t>Category</t>
  </si>
  <si>
    <t>Subcategory</t>
  </si>
  <si>
    <t>Bucket</t>
  </si>
  <si>
    <t>Active?</t>
  </si>
  <si>
    <t>Monthly_PAC</t>
  </si>
  <si>
    <t>Weekly_PAC</t>
  </si>
  <si>
    <t>Core MSCI World</t>
  </si>
  <si>
    <t>ETF</t>
  </si>
  <si>
    <t>ETF Stock</t>
  </si>
  <si>
    <t>Stocks</t>
  </si>
  <si>
    <t>Yes</t>
  </si>
  <si>
    <t>AI &amp; Big Data</t>
  </si>
  <si>
    <t>Physical Gold</t>
  </si>
  <si>
    <t>ETF Gold</t>
  </si>
  <si>
    <t>Defensive</t>
  </si>
  <si>
    <t>Global Gov Bond</t>
  </si>
  <si>
    <t>ETF Bond</t>
  </si>
  <si>
    <t>Core EUR Corp Bond</t>
  </si>
  <si>
    <t>MSCI World Value</t>
  </si>
  <si>
    <t>MSCI EM</t>
  </si>
  <si>
    <t>Defence Tech</t>
  </si>
  <si>
    <t>Savings</t>
  </si>
  <si>
    <t>Tx_Date</t>
  </si>
  <si>
    <t>Month</t>
  </si>
  <si>
    <t>Tx_Type</t>
  </si>
  <si>
    <t>Planned_Amount</t>
  </si>
  <si>
    <t>Status</t>
  </si>
  <si>
    <t>Actual_Amount</t>
  </si>
  <si>
    <t>Flow_Used</t>
  </si>
  <si>
    <t>Notes</t>
  </si>
  <si>
    <t>PAC</t>
  </si>
  <si>
    <t>Auto</t>
  </si>
  <si>
    <t>Amount</t>
  </si>
  <si>
    <t>Historical Flow</t>
  </si>
  <si>
    <t>Imported from your old tracker</t>
  </si>
  <si>
    <t>Extra Buy</t>
  </si>
  <si>
    <t>End_Value</t>
  </si>
  <si>
    <t>Flow_PAC</t>
  </si>
  <si>
    <t>Flow_Manual</t>
  </si>
  <si>
    <t>Total_Flow</t>
  </si>
  <si>
    <t>Prev_End</t>
  </si>
  <si>
    <t>PnL_€</t>
  </si>
  <si>
    <t>Perf_%</t>
  </si>
  <si>
    <t>Portfolio Dashboard</t>
  </si>
  <si>
    <t>ETF Total</t>
  </si>
  <si>
    <t>Total Portfolio</t>
  </si>
  <si>
    <t>ETF Flow</t>
  </si>
  <si>
    <t>ETF PnL</t>
  </si>
  <si>
    <t>Selected month</t>
  </si>
  <si>
    <t>Monthly_Flow</t>
  </si>
  <si>
    <t>ETF %</t>
  </si>
  <si>
    <t>Savings %</t>
  </si>
  <si>
    <t>Monthly ETF Flow</t>
  </si>
  <si>
    <t>Monthly ETF PnL</t>
  </si>
  <si>
    <t>Note: Apr/26 onward PAC is currently zero until you tell me the new monthly PAC amounts.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</si>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</sst>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€&quot;\ * #,##0.00_ ;_ &quot;€&quot;\ * \-#,##0.00_ ;_ &quot;€&quot;\ * &quot;-&quot;??_ ;_ @_ "/>
    <numFmt numFmtId="164" formatCode="\€\ #,##0.00;[Red]\(\€\ #,##0.00\);\-"/>
    <numFmt numFmtId="165" formatCode="0.0%;[Red]\(0.0%\);\-"/>
    <numFmt numFmtId="167" formatCode="0.0%;[Red]\(0.0%\)"/>
  </numFmts>
  <fonts count="9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  <font>
      <b/>
      <sz val="16"/>
      <name val="Calibri"/>
    </font>
    <font>
      <b/>
      <sz val="11"/>
      <name val="Calibri"/>
    </font>
    <font>
      <i/>
      <sz val="10"/>
      <color rgb="FF666666"/>
      <name val="Calibri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C9C9"/>
      </bottom>
      <diagonal/>
    </border>
  </borders>
  <cellStyleXfs count="2">
    <xf numFmtId="0" fontId="0" fillId="0" borderId="0"/>
    <xf numFmtId="44" fontId="8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3" fillId="2" borderId="0" xfId="0" applyNumberFormat="1" applyFont="1" applyFill="1"/>
    <xf numFmtId="0" fontId="2" fillId="4" borderId="0" xfId="0" applyFont="1" applyFill="1"/>
    <xf numFmtId="14" fontId="0" fillId="0" borderId="0" xfId="0" applyNumberFormat="1" applyAlignment="1">
      <alignment horizontal="center"/>
    </xf>
    <xf numFmtId="17" fontId="0" fillId="0" borderId="0" xfId="0" applyNumberFormat="1" applyAlignment="1">
      <alignment horizontal="center"/>
    </xf>
    <xf numFmtId="164" fontId="0" fillId="3" borderId="0" xfId="0" applyNumberFormat="1" applyFill="1"/>
    <xf numFmtId="0" fontId="3" fillId="2" borderId="0" xfId="0" applyFont="1" applyFill="1" applyAlignment="1">
      <alignment horizontal="center"/>
    </xf>
    <xf numFmtId="17" fontId="4" fillId="0" borderId="0" xfId="0" applyNumberFormat="1" applyFont="1" applyAlignment="1">
      <alignment horizontal="center"/>
    </xf>
    <xf numFmtId="0" fontId="3" fillId="2" borderId="0" xfId="0" applyFont="1" applyFill="1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2" fillId="4" borderId="1" xfId="0" applyFont="1" applyFill="1" applyBorder="1"/>
    <xf numFmtId="0" fontId="6" fillId="5" borderId="1" xfId="0" applyFont="1" applyFill="1" applyBorder="1"/>
    <xf numFmtId="164" fontId="0" fillId="3" borderId="1" xfId="0" applyNumberFormat="1" applyFill="1" applyBorder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5" fontId="0" fillId="3" borderId="1" xfId="0" applyNumberFormat="1" applyFill="1" applyBorder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14" fontId="3" fillId="2" borderId="0" xfId="0" applyNumberFormat="1" applyFont="1" applyFill="1" applyAlignment="1">
      <alignment horizontal="center"/>
    </xf>
    <xf numFmtId="14" fontId="4" fillId="0" borderId="0" xfId="0" applyNumberFormat="1" applyFont="1" applyAlignment="1">
      <alignment horizontal="center"/>
    </xf>
    <xf numFmtId="167" fontId="0" fillId="3" borderId="0" xfId="0" applyNumberFormat="1" applyFill="1"/>
    <xf numFmtId="14" fontId="0" fillId="0" borderId="0" xfId="0" applyNumberFormat="1"/>
    <xf numFmtId="14" fontId="3" fillId="2" borderId="0" xfId="0" applyNumberFormat="1" applyFont="1" applyFill="1"/>
    <xf numFmtId="0" fontId="7" fillId="0" borderId="0" xfId="0" applyFont="1"/>
    <xf numFmtId="0" fontId="0" fillId="0" borderId="0" xfId="0" applyFill="1"/>
    <xf numFmtId="44" fontId="2" fillId="4" borderId="0" xfId="1" applyFont="1" applyFill="1"/>
    <xf numFmtId="44" fontId="0" fillId="3" borderId="0" xfId="1" applyFont="1" applyFill="1"/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ETF vs Savings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cat>
            <c:strRef>
              <c:f>Dashboard!$H$12:$H$13</c:f>
              <c:strCache>
                <c:ptCount val="2"/>
                <c:pt idx="0">
                  <c:v>ETF</c:v>
                </c:pt>
                <c:pt idx="1">
                  <c:v>Savings</c:v>
                </c:pt>
              </c:strCache>
            </c:strRef>
          </c:cat>
          <c:val>
            <c:numRef>
              <c:f>Dashboard!$I$12:$I$13</c:f>
              <c:numCache>
                <c:formatCode>General</c:formatCode>
                <c:ptCount val="2"/>
                <c:pt idx="0">
                  <c:v>27581.71</c:v>
                </c:pt>
                <c:pt idx="1">
                  <c:v>39883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043-A36C-5CEADE04CB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Portfolio Trend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Dashboard!$K$1</c:f>
              <c:strCache>
                <c:ptCount val="1"/>
                <c:pt idx="0">
                  <c:v>ETF Total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Dashboard!$K$2:$K$37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Dashboard!$J$2:$J$37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23F-4D85-998A-8D92F4DAA82C}"/>
            </c:ext>
          </c:extLst>
        </c:ser>
        <c:ser>
          <c:idx val="1"/>
          <c:order val="1"/>
          <c:tx>
            <c:strRef>
              <c:f>Dashboard!$L$1</c:f>
              <c:strCache>
                <c:ptCount val="1"/>
                <c:pt idx="0">
                  <c:v>Savings</c:v>
                </c:pt>
              </c:strCache>
            </c:strRef>
          </c:tx>
          <c:spPr>
            <a:ln>
              <a:prstDash val="solid"/>
            </a:ln>
          </c:spPr>
          <c:invertIfNegative val="1"/>
          <c:val>
            <c:numRef>
              <c:f>Dashboard!$L$2:$L$37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Dashboard!$J$2:$J$37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23F-4D85-998A-8D92F4DAA8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Month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€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4</xdr:row>
      <xdr:rowOff>0</xdr:rowOff>
    </xdr:from>
    <xdr:ext cx="32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16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showGridLines="0" workbookViewId="0"/>
  </sheetViews>
  <sheetFormatPr defaultRowHeight="14.5" x14ac:dyDescent="0.35"/>
  <cols>
    <col min="1" max="1" width="120" customWidth="1"/>
  </cols>
  <sheetData>
    <row r="1" spans="1:1" ht="18.5" x14ac:dyDescent="0.45">
      <c r="A1" s="1" t="s">
        <v>0</v>
      </c>
    </row>
    <row r="3" spans="1:1" x14ac:dyDescent="0.35">
      <c r="A3" s="24" t="s">
        <v>1</v>
      </c>
    </row>
    <row r="4" spans="1:1" x14ac:dyDescent="0.35">
      <c r="A4" s="24" t="s">
        <v>2</v>
      </c>
    </row>
    <row r="5" spans="1:1" x14ac:dyDescent="0.35">
      <c r="A5" s="24" t="s">
        <v>3</v>
      </c>
    </row>
    <row r="6" spans="1:1" x14ac:dyDescent="0.35">
      <c r="A6" s="24" t="s">
        <v>4</v>
      </c>
    </row>
    <row r="7" spans="1:1" x14ac:dyDescent="0.35">
      <c r="A7" s="24" t="s">
        <v>5</v>
      </c>
    </row>
    <row r="8" spans="1:1" x14ac:dyDescent="0.35">
      <c r="A8" s="24" t="s">
        <v>6</v>
      </c>
    </row>
    <row r="9" spans="1:1" x14ac:dyDescent="0.35">
      <c r="A9" s="24" t="s">
        <v>7</v>
      </c>
    </row>
    <row r="10" spans="1:1" x14ac:dyDescent="0.35">
      <c r="A10" s="24" t="s">
        <v>8</v>
      </c>
    </row>
    <row r="11" spans="1:1" x14ac:dyDescent="0.35">
      <c r="A11" s="24" t="s">
        <v>9</v>
      </c>
    </row>
    <row r="12" spans="1:1" x14ac:dyDescent="0.35">
      <c r="A12" s="24" t="s">
        <v>10</v>
      </c>
    </row>
    <row r="13" spans="1:1" x14ac:dyDescent="0.35">
      <c r="A13" s="24" t="s">
        <v>11</v>
      </c>
    </row>
    <row r="14" spans="1:1" x14ac:dyDescent="0.35">
      <c r="A14" s="25" t="s">
        <v>12</v>
      </c>
    </row>
    <row r="15" spans="1:1" x14ac:dyDescent="0.35">
      <c r="A15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showGridLines="0" workbookViewId="0">
      <pane ySplit="1" topLeftCell="A2" activePane="bottomLeft" state="frozen"/>
      <selection pane="bottomLeft" activeCell="E19" sqref="E19"/>
    </sheetView>
  </sheetViews>
  <sheetFormatPr defaultRowHeight="14.5" x14ac:dyDescent="0.35"/>
  <cols>
    <col min="1" max="1" width="24" customWidth="1"/>
    <col min="2" max="2" width="14" customWidth="1"/>
    <col min="3" max="3" width="16" customWidth="1"/>
    <col min="4" max="4" width="14" customWidth="1"/>
    <col min="5" max="5" width="10" customWidth="1"/>
    <col min="6" max="7" width="14" customWidth="1"/>
  </cols>
  <sheetData>
    <row r="1" spans="1:9" x14ac:dyDescent="0.3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</row>
    <row r="2" spans="1:9" x14ac:dyDescent="0.3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s="15">
        <v>640</v>
      </c>
      <c r="G2" s="15">
        <f t="shared" ref="G2:G10" si="0">F2/4</f>
        <v>160</v>
      </c>
      <c r="I2" s="32"/>
    </row>
    <row r="3" spans="1:9" x14ac:dyDescent="0.35">
      <c r="A3" t="s">
        <v>25</v>
      </c>
      <c r="B3" t="s">
        <v>21</v>
      </c>
      <c r="C3" t="s">
        <v>22</v>
      </c>
      <c r="D3" t="s">
        <v>23</v>
      </c>
      <c r="E3" t="s">
        <v>24</v>
      </c>
      <c r="F3" s="15">
        <v>160</v>
      </c>
      <c r="G3" s="15">
        <f t="shared" si="0"/>
        <v>40</v>
      </c>
    </row>
    <row r="4" spans="1:9" x14ac:dyDescent="0.35">
      <c r="A4" t="s">
        <v>26</v>
      </c>
      <c r="B4" t="s">
        <v>21</v>
      </c>
      <c r="C4" t="s">
        <v>27</v>
      </c>
      <c r="D4" t="s">
        <v>28</v>
      </c>
      <c r="E4" t="s">
        <v>24</v>
      </c>
      <c r="F4" s="15">
        <v>108</v>
      </c>
      <c r="G4" s="15">
        <f t="shared" si="0"/>
        <v>27</v>
      </c>
    </row>
    <row r="5" spans="1:9" x14ac:dyDescent="0.35">
      <c r="A5" t="s">
        <v>29</v>
      </c>
      <c r="B5" t="s">
        <v>21</v>
      </c>
      <c r="C5" t="s">
        <v>30</v>
      </c>
      <c r="D5" t="s">
        <v>28</v>
      </c>
      <c r="E5" t="s">
        <v>24</v>
      </c>
      <c r="F5" s="15">
        <v>80</v>
      </c>
      <c r="G5" s="15">
        <f t="shared" si="0"/>
        <v>20</v>
      </c>
    </row>
    <row r="6" spans="1:9" x14ac:dyDescent="0.35">
      <c r="A6" t="s">
        <v>31</v>
      </c>
      <c r="B6" t="s">
        <v>21</v>
      </c>
      <c r="C6" t="s">
        <v>30</v>
      </c>
      <c r="D6" t="s">
        <v>28</v>
      </c>
      <c r="E6" t="s">
        <v>24</v>
      </c>
      <c r="F6" s="15">
        <v>108</v>
      </c>
      <c r="G6" s="15">
        <f t="shared" si="0"/>
        <v>27</v>
      </c>
    </row>
    <row r="7" spans="1:9" x14ac:dyDescent="0.35">
      <c r="A7" t="s">
        <v>32</v>
      </c>
      <c r="B7" t="s">
        <v>21</v>
      </c>
      <c r="C7" t="s">
        <v>22</v>
      </c>
      <c r="D7" t="s">
        <v>23</v>
      </c>
      <c r="E7" t="s">
        <v>24</v>
      </c>
      <c r="F7" s="15">
        <v>180</v>
      </c>
      <c r="G7" s="15">
        <f t="shared" si="0"/>
        <v>45</v>
      </c>
    </row>
    <row r="8" spans="1:9" x14ac:dyDescent="0.35">
      <c r="A8" t="s">
        <v>33</v>
      </c>
      <c r="B8" t="s">
        <v>21</v>
      </c>
      <c r="C8" t="s">
        <v>22</v>
      </c>
      <c r="D8" t="s">
        <v>23</v>
      </c>
      <c r="E8" t="s">
        <v>24</v>
      </c>
      <c r="F8" s="15">
        <v>164</v>
      </c>
      <c r="G8" s="15">
        <f t="shared" si="0"/>
        <v>41</v>
      </c>
    </row>
    <row r="9" spans="1:9" x14ac:dyDescent="0.35">
      <c r="A9" t="s">
        <v>34</v>
      </c>
      <c r="B9" t="s">
        <v>21</v>
      </c>
      <c r="C9" t="s">
        <v>22</v>
      </c>
      <c r="D9" t="s">
        <v>23</v>
      </c>
      <c r="E9" t="s">
        <v>24</v>
      </c>
      <c r="F9" s="15">
        <v>60</v>
      </c>
      <c r="G9" s="15">
        <f t="shared" si="0"/>
        <v>15</v>
      </c>
    </row>
    <row r="10" spans="1:9" x14ac:dyDescent="0.35">
      <c r="A10" t="s">
        <v>35</v>
      </c>
      <c r="B10" t="s">
        <v>35</v>
      </c>
      <c r="C10" t="s">
        <v>35</v>
      </c>
      <c r="D10" t="s">
        <v>35</v>
      </c>
      <c r="E10" t="s">
        <v>69</v>
      </c>
      <c r="F10" s="15">
        <v>0</v>
      </c>
      <c r="G10" s="15">
        <f t="shared" si="0"/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57"/>
  <sheetViews>
    <sheetView showGridLines="0" workbookViewId="0">
      <pane ySplit="1" topLeftCell="A2" activePane="bottomLeft" state="frozen"/>
      <selection pane="bottomLeft" activeCell="I4" sqref="I4"/>
    </sheetView>
  </sheetViews>
  <sheetFormatPr defaultRowHeight="14.5" x14ac:dyDescent="0.35"/>
  <cols>
    <col min="1" max="1" width="13" customWidth="1"/>
    <col min="2" max="2" width="10" customWidth="1"/>
    <col min="3" max="3" width="24" customWidth="1"/>
    <col min="4" max="4" width="11" customWidth="1"/>
    <col min="5" max="5" width="15" customWidth="1"/>
    <col min="6" max="6" width="12" customWidth="1"/>
    <col min="7" max="7" width="15" customWidth="1"/>
    <col min="8" max="8" width="14" customWidth="1"/>
    <col min="9" max="9" width="24" customWidth="1"/>
  </cols>
  <sheetData>
    <row r="1" spans="1:9" x14ac:dyDescent="0.35">
      <c r="A1" s="7" t="s">
        <v>36</v>
      </c>
      <c r="B1" s="7" t="s">
        <v>37</v>
      </c>
      <c r="C1" s="7" t="s">
        <v>13</v>
      </c>
      <c r="D1" s="7" t="s">
        <v>38</v>
      </c>
      <c r="E1" s="7" t="s">
        <v>39</v>
      </c>
      <c r="F1" s="7" t="s">
        <v>40</v>
      </c>
      <c r="G1" s="7" t="s">
        <v>41</v>
      </c>
      <c r="H1" s="7" t="s">
        <v>42</v>
      </c>
      <c r="I1" s="7" t="s">
        <v>43</v>
      </c>
    </row>
    <row r="2" spans="1:9" x14ac:dyDescent="0.35">
      <c r="A2" s="8">
        <v>46119</v>
      </c>
      <c r="B2" s="8">
        <f t="shared" ref="B2:B65" si="0">DATE(YEAR(A2),MONTH(A2),1)</f>
        <v>46113</v>
      </c>
      <c r="C2" t="s">
        <v>20</v>
      </c>
      <c r="D2" s="5" t="s">
        <v>44</v>
      </c>
      <c r="E2" s="10">
        <f>IFERROR(VLOOKUP(C2,Assets!$A:$G,7,FALSE),0)</f>
        <v>160</v>
      </c>
      <c r="F2" s="11" t="s">
        <v>45</v>
      </c>
      <c r="G2" s="6"/>
      <c r="H2" s="10">
        <f t="shared" ref="H2:H65" si="1">IF(F2="No",0,IF(F2="Edited",IF(G2="",E2,G2),E2))</f>
        <v>160</v>
      </c>
    </row>
    <row r="3" spans="1:9" x14ac:dyDescent="0.35">
      <c r="A3" s="8">
        <v>46126</v>
      </c>
      <c r="B3" s="8">
        <f t="shared" si="0"/>
        <v>46113</v>
      </c>
      <c r="C3" t="s">
        <v>20</v>
      </c>
      <c r="D3" s="5" t="s">
        <v>44</v>
      </c>
      <c r="E3" s="10">
        <f>IFERROR(VLOOKUP(C3,Assets!$A:$G,7,FALSE),0)</f>
        <v>160</v>
      </c>
      <c r="F3" s="11" t="s">
        <v>45</v>
      </c>
      <c r="G3" s="6"/>
      <c r="H3" s="10">
        <f t="shared" si="1"/>
        <v>160</v>
      </c>
    </row>
    <row r="4" spans="1:9" x14ac:dyDescent="0.35">
      <c r="A4" s="8">
        <v>46133</v>
      </c>
      <c r="B4" s="8">
        <f t="shared" si="0"/>
        <v>46113</v>
      </c>
      <c r="C4" t="s">
        <v>20</v>
      </c>
      <c r="D4" s="5" t="s">
        <v>44</v>
      </c>
      <c r="E4" s="10">
        <f>IFERROR(VLOOKUP(C4,Assets!$A:$G,7,FALSE),0)</f>
        <v>160</v>
      </c>
      <c r="F4" s="11" t="s">
        <v>45</v>
      </c>
      <c r="G4" s="6"/>
      <c r="H4" s="10">
        <f t="shared" si="1"/>
        <v>160</v>
      </c>
    </row>
    <row r="5" spans="1:9" x14ac:dyDescent="0.35">
      <c r="A5" s="8">
        <v>46140</v>
      </c>
      <c r="B5" s="8">
        <f t="shared" si="0"/>
        <v>46113</v>
      </c>
      <c r="C5" t="s">
        <v>20</v>
      </c>
      <c r="D5" s="5" t="s">
        <v>44</v>
      </c>
      <c r="E5" s="10">
        <f>IFERROR(VLOOKUP(C5,Assets!$A:$G,7,FALSE),0)</f>
        <v>160</v>
      </c>
      <c r="F5" s="11" t="s">
        <v>45</v>
      </c>
      <c r="G5" s="6"/>
      <c r="H5" s="10">
        <f t="shared" si="1"/>
        <v>160</v>
      </c>
    </row>
    <row r="6" spans="1:9" x14ac:dyDescent="0.35">
      <c r="A6" s="8">
        <v>46119</v>
      </c>
      <c r="B6" s="8">
        <f t="shared" si="0"/>
        <v>46113</v>
      </c>
      <c r="C6" t="s">
        <v>25</v>
      </c>
      <c r="D6" s="5" t="s">
        <v>44</v>
      </c>
      <c r="E6" s="10">
        <f>IFERROR(VLOOKUP(C6,Assets!$A:$G,7,FALSE),0)</f>
        <v>40</v>
      </c>
      <c r="F6" s="11" t="s">
        <v>45</v>
      </c>
      <c r="G6" s="6"/>
      <c r="H6" s="10">
        <f t="shared" si="1"/>
        <v>40</v>
      </c>
    </row>
    <row r="7" spans="1:9" x14ac:dyDescent="0.35">
      <c r="A7" s="8">
        <v>46126</v>
      </c>
      <c r="B7" s="8">
        <f t="shared" si="0"/>
        <v>46113</v>
      </c>
      <c r="C7" t="s">
        <v>25</v>
      </c>
      <c r="D7" s="5" t="s">
        <v>44</v>
      </c>
      <c r="E7" s="10">
        <f>IFERROR(VLOOKUP(C7,Assets!$A:$G,7,FALSE),0)</f>
        <v>40</v>
      </c>
      <c r="F7" s="11" t="s">
        <v>45</v>
      </c>
      <c r="G7" s="6"/>
      <c r="H7" s="10">
        <f t="shared" si="1"/>
        <v>40</v>
      </c>
    </row>
    <row r="8" spans="1:9" x14ac:dyDescent="0.35">
      <c r="A8" s="8">
        <v>46133</v>
      </c>
      <c r="B8" s="8">
        <f t="shared" si="0"/>
        <v>46113</v>
      </c>
      <c r="C8" t="s">
        <v>25</v>
      </c>
      <c r="D8" s="5" t="s">
        <v>44</v>
      </c>
      <c r="E8" s="10">
        <f>IFERROR(VLOOKUP(C8,Assets!$A:$G,7,FALSE),0)</f>
        <v>40</v>
      </c>
      <c r="F8" s="11" t="s">
        <v>45</v>
      </c>
      <c r="G8" s="6"/>
      <c r="H8" s="10">
        <f t="shared" si="1"/>
        <v>40</v>
      </c>
    </row>
    <row r="9" spans="1:9" x14ac:dyDescent="0.35">
      <c r="A9" s="8">
        <v>46140</v>
      </c>
      <c r="B9" s="8">
        <f t="shared" si="0"/>
        <v>46113</v>
      </c>
      <c r="C9" t="s">
        <v>25</v>
      </c>
      <c r="D9" s="5" t="s">
        <v>44</v>
      </c>
      <c r="E9" s="10">
        <f>IFERROR(VLOOKUP(C9,Assets!$A:$G,7,FALSE),0)</f>
        <v>40</v>
      </c>
      <c r="F9" s="11" t="s">
        <v>45</v>
      </c>
      <c r="G9" s="6"/>
      <c r="H9" s="10">
        <f t="shared" si="1"/>
        <v>40</v>
      </c>
    </row>
    <row r="10" spans="1:9" x14ac:dyDescent="0.35">
      <c r="A10" s="8">
        <v>46119</v>
      </c>
      <c r="B10" s="8">
        <f t="shared" si="0"/>
        <v>46113</v>
      </c>
      <c r="C10" t="s">
        <v>26</v>
      </c>
      <c r="D10" s="5" t="s">
        <v>44</v>
      </c>
      <c r="E10" s="10">
        <f>IFERROR(VLOOKUP(C10,Assets!$A:$G,7,FALSE),0)</f>
        <v>27</v>
      </c>
      <c r="F10" s="11" t="s">
        <v>45</v>
      </c>
      <c r="G10" s="6"/>
      <c r="H10" s="10">
        <f t="shared" si="1"/>
        <v>27</v>
      </c>
    </row>
    <row r="11" spans="1:9" x14ac:dyDescent="0.35">
      <c r="A11" s="8">
        <v>46126</v>
      </c>
      <c r="B11" s="8">
        <f t="shared" si="0"/>
        <v>46113</v>
      </c>
      <c r="C11" t="s">
        <v>26</v>
      </c>
      <c r="D11" s="5" t="s">
        <v>44</v>
      </c>
      <c r="E11" s="10">
        <f>IFERROR(VLOOKUP(C11,Assets!$A:$G,7,FALSE),0)</f>
        <v>27</v>
      </c>
      <c r="F11" s="11" t="s">
        <v>45</v>
      </c>
      <c r="G11" s="6"/>
      <c r="H11" s="10">
        <f t="shared" si="1"/>
        <v>27</v>
      </c>
    </row>
    <row r="12" spans="1:9" x14ac:dyDescent="0.35">
      <c r="A12" s="8">
        <v>46133</v>
      </c>
      <c r="B12" s="8">
        <f t="shared" si="0"/>
        <v>46113</v>
      </c>
      <c r="C12" t="s">
        <v>26</v>
      </c>
      <c r="D12" s="5" t="s">
        <v>44</v>
      </c>
      <c r="E12" s="10">
        <f>IFERROR(VLOOKUP(C12,Assets!$A:$G,7,FALSE),0)</f>
        <v>27</v>
      </c>
      <c r="F12" s="11" t="s">
        <v>45</v>
      </c>
      <c r="G12" s="6"/>
      <c r="H12" s="10">
        <f t="shared" si="1"/>
        <v>27</v>
      </c>
    </row>
    <row r="13" spans="1:9" x14ac:dyDescent="0.35">
      <c r="A13" s="8">
        <v>46140</v>
      </c>
      <c r="B13" s="8">
        <f t="shared" si="0"/>
        <v>46113</v>
      </c>
      <c r="C13" t="s">
        <v>26</v>
      </c>
      <c r="D13" s="5" t="s">
        <v>44</v>
      </c>
      <c r="E13" s="10">
        <f>IFERROR(VLOOKUP(C13,Assets!$A:$G,7,FALSE),0)</f>
        <v>27</v>
      </c>
      <c r="F13" s="11" t="s">
        <v>45</v>
      </c>
      <c r="G13" s="6"/>
      <c r="H13" s="10">
        <f t="shared" si="1"/>
        <v>27</v>
      </c>
    </row>
    <row r="14" spans="1:9" x14ac:dyDescent="0.35">
      <c r="A14" s="8">
        <v>46119</v>
      </c>
      <c r="B14" s="8">
        <f t="shared" si="0"/>
        <v>46113</v>
      </c>
      <c r="C14" t="s">
        <v>29</v>
      </c>
      <c r="D14" s="5" t="s">
        <v>44</v>
      </c>
      <c r="E14" s="10">
        <f>IFERROR(VLOOKUP(C14,Assets!$A:$G,7,FALSE),0)</f>
        <v>20</v>
      </c>
      <c r="F14" s="11" t="s">
        <v>45</v>
      </c>
      <c r="G14" s="6"/>
      <c r="H14" s="10">
        <f t="shared" si="1"/>
        <v>20</v>
      </c>
    </row>
    <row r="15" spans="1:9" x14ac:dyDescent="0.35">
      <c r="A15" s="8">
        <v>46126</v>
      </c>
      <c r="B15" s="8">
        <f t="shared" si="0"/>
        <v>46113</v>
      </c>
      <c r="C15" t="s">
        <v>29</v>
      </c>
      <c r="D15" s="5" t="s">
        <v>44</v>
      </c>
      <c r="E15" s="10">
        <f>IFERROR(VLOOKUP(C15,Assets!$A:$G,7,FALSE),0)</f>
        <v>20</v>
      </c>
      <c r="F15" s="11" t="s">
        <v>45</v>
      </c>
      <c r="G15" s="6"/>
      <c r="H15" s="10">
        <f t="shared" si="1"/>
        <v>20</v>
      </c>
    </row>
    <row r="16" spans="1:9" x14ac:dyDescent="0.35">
      <c r="A16" s="8">
        <v>46133</v>
      </c>
      <c r="B16" s="8">
        <f t="shared" si="0"/>
        <v>46113</v>
      </c>
      <c r="C16" t="s">
        <v>29</v>
      </c>
      <c r="D16" s="5" t="s">
        <v>44</v>
      </c>
      <c r="E16" s="10">
        <f>IFERROR(VLOOKUP(C16,Assets!$A:$G,7,FALSE),0)</f>
        <v>20</v>
      </c>
      <c r="F16" s="11" t="s">
        <v>45</v>
      </c>
      <c r="G16" s="6"/>
      <c r="H16" s="10">
        <f t="shared" si="1"/>
        <v>20</v>
      </c>
    </row>
    <row r="17" spans="1:8" x14ac:dyDescent="0.35">
      <c r="A17" s="8">
        <v>46140</v>
      </c>
      <c r="B17" s="8">
        <f t="shared" si="0"/>
        <v>46113</v>
      </c>
      <c r="C17" t="s">
        <v>29</v>
      </c>
      <c r="D17" s="5" t="s">
        <v>44</v>
      </c>
      <c r="E17" s="10">
        <f>IFERROR(VLOOKUP(C17,Assets!$A:$G,7,FALSE),0)</f>
        <v>20</v>
      </c>
      <c r="F17" s="11" t="s">
        <v>45</v>
      </c>
      <c r="G17" s="6"/>
      <c r="H17" s="10">
        <f t="shared" si="1"/>
        <v>20</v>
      </c>
    </row>
    <row r="18" spans="1:8" x14ac:dyDescent="0.35">
      <c r="A18" s="8">
        <v>46119</v>
      </c>
      <c r="B18" s="8">
        <f t="shared" si="0"/>
        <v>46113</v>
      </c>
      <c r="C18" t="s">
        <v>31</v>
      </c>
      <c r="D18" s="5" t="s">
        <v>44</v>
      </c>
      <c r="E18" s="10">
        <f>IFERROR(VLOOKUP(C18,Assets!$A:$G,7,FALSE),0)</f>
        <v>27</v>
      </c>
      <c r="F18" s="11" t="s">
        <v>45</v>
      </c>
      <c r="G18" s="6"/>
      <c r="H18" s="10">
        <f t="shared" si="1"/>
        <v>27</v>
      </c>
    </row>
    <row r="19" spans="1:8" x14ac:dyDescent="0.35">
      <c r="A19" s="8">
        <v>46126</v>
      </c>
      <c r="B19" s="8">
        <f t="shared" si="0"/>
        <v>46113</v>
      </c>
      <c r="C19" t="s">
        <v>31</v>
      </c>
      <c r="D19" s="5" t="s">
        <v>44</v>
      </c>
      <c r="E19" s="10">
        <f>IFERROR(VLOOKUP(C19,Assets!$A:$G,7,FALSE),0)</f>
        <v>27</v>
      </c>
      <c r="F19" s="11" t="s">
        <v>45</v>
      </c>
      <c r="G19" s="6"/>
      <c r="H19" s="10">
        <f t="shared" si="1"/>
        <v>27</v>
      </c>
    </row>
    <row r="20" spans="1:8" x14ac:dyDescent="0.35">
      <c r="A20" s="8">
        <v>46133</v>
      </c>
      <c r="B20" s="8">
        <f t="shared" si="0"/>
        <v>46113</v>
      </c>
      <c r="C20" t="s">
        <v>31</v>
      </c>
      <c r="D20" s="5" t="s">
        <v>44</v>
      </c>
      <c r="E20" s="10">
        <f>IFERROR(VLOOKUP(C20,Assets!$A:$G,7,FALSE),0)</f>
        <v>27</v>
      </c>
      <c r="F20" s="11" t="s">
        <v>45</v>
      </c>
      <c r="G20" s="6"/>
      <c r="H20" s="10">
        <f t="shared" si="1"/>
        <v>27</v>
      </c>
    </row>
    <row r="21" spans="1:8" x14ac:dyDescent="0.35">
      <c r="A21" s="8">
        <v>46140</v>
      </c>
      <c r="B21" s="8">
        <f t="shared" si="0"/>
        <v>46113</v>
      </c>
      <c r="C21" t="s">
        <v>31</v>
      </c>
      <c r="D21" s="5" t="s">
        <v>44</v>
      </c>
      <c r="E21" s="10">
        <f>IFERROR(VLOOKUP(C21,Assets!$A:$G,7,FALSE),0)</f>
        <v>27</v>
      </c>
      <c r="F21" s="11" t="s">
        <v>45</v>
      </c>
      <c r="G21" s="6"/>
      <c r="H21" s="10">
        <f t="shared" si="1"/>
        <v>27</v>
      </c>
    </row>
    <row r="22" spans="1:8" x14ac:dyDescent="0.35">
      <c r="A22" s="8">
        <v>46119</v>
      </c>
      <c r="B22" s="8">
        <f t="shared" si="0"/>
        <v>46113</v>
      </c>
      <c r="C22" t="s">
        <v>32</v>
      </c>
      <c r="D22" s="5" t="s">
        <v>44</v>
      </c>
      <c r="E22" s="10">
        <f>IFERROR(VLOOKUP(C22,Assets!$A:$G,7,FALSE),0)</f>
        <v>45</v>
      </c>
      <c r="F22" s="11" t="s">
        <v>45</v>
      </c>
      <c r="G22" s="6"/>
      <c r="H22" s="10">
        <f t="shared" si="1"/>
        <v>45</v>
      </c>
    </row>
    <row r="23" spans="1:8" x14ac:dyDescent="0.35">
      <c r="A23" s="8">
        <v>46126</v>
      </c>
      <c r="B23" s="8">
        <f t="shared" si="0"/>
        <v>46113</v>
      </c>
      <c r="C23" t="s">
        <v>32</v>
      </c>
      <c r="D23" s="5" t="s">
        <v>44</v>
      </c>
      <c r="E23" s="10">
        <f>IFERROR(VLOOKUP(C23,Assets!$A:$G,7,FALSE),0)</f>
        <v>45</v>
      </c>
      <c r="F23" s="11" t="s">
        <v>45</v>
      </c>
      <c r="G23" s="6"/>
      <c r="H23" s="10">
        <f t="shared" si="1"/>
        <v>45</v>
      </c>
    </row>
    <row r="24" spans="1:8" x14ac:dyDescent="0.35">
      <c r="A24" s="8">
        <v>46133</v>
      </c>
      <c r="B24" s="8">
        <f t="shared" si="0"/>
        <v>46113</v>
      </c>
      <c r="C24" t="s">
        <v>32</v>
      </c>
      <c r="D24" s="5" t="s">
        <v>44</v>
      </c>
      <c r="E24" s="10">
        <f>IFERROR(VLOOKUP(C24,Assets!$A:$G,7,FALSE),0)</f>
        <v>45</v>
      </c>
      <c r="F24" s="11" t="s">
        <v>45</v>
      </c>
      <c r="G24" s="6"/>
      <c r="H24" s="10">
        <f t="shared" si="1"/>
        <v>45</v>
      </c>
    </row>
    <row r="25" spans="1:8" x14ac:dyDescent="0.35">
      <c r="A25" s="8">
        <v>46140</v>
      </c>
      <c r="B25" s="8">
        <f t="shared" si="0"/>
        <v>46113</v>
      </c>
      <c r="C25" t="s">
        <v>32</v>
      </c>
      <c r="D25" s="5" t="s">
        <v>44</v>
      </c>
      <c r="E25" s="10">
        <f>IFERROR(VLOOKUP(C25,Assets!$A:$G,7,FALSE),0)</f>
        <v>45</v>
      </c>
      <c r="F25" s="11" t="s">
        <v>45</v>
      </c>
      <c r="G25" s="6"/>
      <c r="H25" s="10">
        <f t="shared" si="1"/>
        <v>45</v>
      </c>
    </row>
    <row r="26" spans="1:8" x14ac:dyDescent="0.35">
      <c r="A26" s="8">
        <v>46119</v>
      </c>
      <c r="B26" s="8">
        <f t="shared" si="0"/>
        <v>46113</v>
      </c>
      <c r="C26" t="s">
        <v>33</v>
      </c>
      <c r="D26" s="5" t="s">
        <v>44</v>
      </c>
      <c r="E26" s="10">
        <f>IFERROR(VLOOKUP(C26,Assets!$A:$G,7,FALSE),0)</f>
        <v>41</v>
      </c>
      <c r="F26" s="11" t="s">
        <v>45</v>
      </c>
      <c r="G26" s="6"/>
      <c r="H26" s="10">
        <f t="shared" si="1"/>
        <v>41</v>
      </c>
    </row>
    <row r="27" spans="1:8" x14ac:dyDescent="0.35">
      <c r="A27" s="8">
        <v>46126</v>
      </c>
      <c r="B27" s="8">
        <f t="shared" si="0"/>
        <v>46113</v>
      </c>
      <c r="C27" t="s">
        <v>33</v>
      </c>
      <c r="D27" s="5" t="s">
        <v>44</v>
      </c>
      <c r="E27" s="10">
        <f>IFERROR(VLOOKUP(C27,Assets!$A:$G,7,FALSE),0)</f>
        <v>41</v>
      </c>
      <c r="F27" s="11" t="s">
        <v>45</v>
      </c>
      <c r="G27" s="6"/>
      <c r="H27" s="10">
        <f t="shared" si="1"/>
        <v>41</v>
      </c>
    </row>
    <row r="28" spans="1:8" x14ac:dyDescent="0.35">
      <c r="A28" s="8">
        <v>46133</v>
      </c>
      <c r="B28" s="8">
        <f t="shared" si="0"/>
        <v>46113</v>
      </c>
      <c r="C28" t="s">
        <v>33</v>
      </c>
      <c r="D28" s="5" t="s">
        <v>44</v>
      </c>
      <c r="E28" s="10">
        <f>IFERROR(VLOOKUP(C28,Assets!$A:$G,7,FALSE),0)</f>
        <v>41</v>
      </c>
      <c r="F28" s="11" t="s">
        <v>45</v>
      </c>
      <c r="G28" s="6"/>
      <c r="H28" s="10">
        <f t="shared" si="1"/>
        <v>41</v>
      </c>
    </row>
    <row r="29" spans="1:8" x14ac:dyDescent="0.35">
      <c r="A29" s="8">
        <v>46140</v>
      </c>
      <c r="B29" s="8">
        <f t="shared" si="0"/>
        <v>46113</v>
      </c>
      <c r="C29" t="s">
        <v>33</v>
      </c>
      <c r="D29" s="5" t="s">
        <v>44</v>
      </c>
      <c r="E29" s="10">
        <f>IFERROR(VLOOKUP(C29,Assets!$A:$G,7,FALSE),0)</f>
        <v>41</v>
      </c>
      <c r="F29" s="11" t="s">
        <v>45</v>
      </c>
      <c r="G29" s="6"/>
      <c r="H29" s="10">
        <f t="shared" si="1"/>
        <v>41</v>
      </c>
    </row>
    <row r="30" spans="1:8" x14ac:dyDescent="0.35">
      <c r="A30" s="8">
        <v>46119</v>
      </c>
      <c r="B30" s="8">
        <f t="shared" si="0"/>
        <v>46113</v>
      </c>
      <c r="C30" t="s">
        <v>34</v>
      </c>
      <c r="D30" s="5" t="s">
        <v>44</v>
      </c>
      <c r="E30" s="10">
        <f>IFERROR(VLOOKUP(C30,Assets!$A:$G,7,FALSE),0)</f>
        <v>15</v>
      </c>
      <c r="F30" s="11" t="s">
        <v>45</v>
      </c>
      <c r="G30" s="6"/>
      <c r="H30" s="10">
        <f t="shared" si="1"/>
        <v>15</v>
      </c>
    </row>
    <row r="31" spans="1:8" x14ac:dyDescent="0.35">
      <c r="A31" s="8">
        <v>46126</v>
      </c>
      <c r="B31" s="8">
        <f t="shared" si="0"/>
        <v>46113</v>
      </c>
      <c r="C31" t="s">
        <v>34</v>
      </c>
      <c r="D31" s="5" t="s">
        <v>44</v>
      </c>
      <c r="E31" s="10">
        <f>IFERROR(VLOOKUP(C31,Assets!$A:$G,7,FALSE),0)</f>
        <v>15</v>
      </c>
      <c r="F31" s="11" t="s">
        <v>45</v>
      </c>
      <c r="G31" s="6"/>
      <c r="H31" s="10">
        <f t="shared" si="1"/>
        <v>15</v>
      </c>
    </row>
    <row r="32" spans="1:8" x14ac:dyDescent="0.35">
      <c r="A32" s="8">
        <v>46133</v>
      </c>
      <c r="B32" s="8">
        <f t="shared" si="0"/>
        <v>46113</v>
      </c>
      <c r="C32" t="s">
        <v>34</v>
      </c>
      <c r="D32" s="5" t="s">
        <v>44</v>
      </c>
      <c r="E32" s="10">
        <f>IFERROR(VLOOKUP(C32,Assets!$A:$G,7,FALSE),0)</f>
        <v>15</v>
      </c>
      <c r="F32" s="11" t="s">
        <v>45</v>
      </c>
      <c r="G32" s="6"/>
      <c r="H32" s="10">
        <f t="shared" si="1"/>
        <v>15</v>
      </c>
    </row>
    <row r="33" spans="1:8" x14ac:dyDescent="0.35">
      <c r="A33" s="8">
        <v>46140</v>
      </c>
      <c r="B33" s="8">
        <f t="shared" si="0"/>
        <v>46113</v>
      </c>
      <c r="C33" t="s">
        <v>34</v>
      </c>
      <c r="D33" s="5" t="s">
        <v>44</v>
      </c>
      <c r="E33" s="10">
        <f>IFERROR(VLOOKUP(C33,Assets!$A:$G,7,FALSE),0)</f>
        <v>15</v>
      </c>
      <c r="F33" s="11" t="s">
        <v>45</v>
      </c>
      <c r="G33" s="6"/>
      <c r="H33" s="10">
        <f t="shared" si="1"/>
        <v>15</v>
      </c>
    </row>
    <row r="34" spans="1:8" x14ac:dyDescent="0.35">
      <c r="A34" s="8">
        <v>46149</v>
      </c>
      <c r="B34" s="8">
        <f t="shared" si="0"/>
        <v>46143</v>
      </c>
      <c r="C34" t="s">
        <v>20</v>
      </c>
      <c r="D34" s="5" t="s">
        <v>44</v>
      </c>
      <c r="E34" s="10">
        <f>IFERROR(VLOOKUP(C34,Assets!$A:$G,7,FALSE),0)</f>
        <v>160</v>
      </c>
      <c r="F34" s="11" t="s">
        <v>45</v>
      </c>
      <c r="G34" s="6"/>
      <c r="H34" s="10">
        <f t="shared" si="1"/>
        <v>160</v>
      </c>
    </row>
    <row r="35" spans="1:8" x14ac:dyDescent="0.35">
      <c r="A35" s="8">
        <v>46156</v>
      </c>
      <c r="B35" s="8">
        <f t="shared" si="0"/>
        <v>46143</v>
      </c>
      <c r="C35" t="s">
        <v>20</v>
      </c>
      <c r="D35" s="5" t="s">
        <v>44</v>
      </c>
      <c r="E35" s="10">
        <f>IFERROR(VLOOKUP(C35,Assets!$A:$G,7,FALSE),0)</f>
        <v>160</v>
      </c>
      <c r="F35" s="11" t="s">
        <v>45</v>
      </c>
      <c r="G35" s="6"/>
      <c r="H35" s="10">
        <f t="shared" si="1"/>
        <v>160</v>
      </c>
    </row>
    <row r="36" spans="1:8" x14ac:dyDescent="0.35">
      <c r="A36" s="8">
        <v>46163</v>
      </c>
      <c r="B36" s="8">
        <f t="shared" si="0"/>
        <v>46143</v>
      </c>
      <c r="C36" t="s">
        <v>20</v>
      </c>
      <c r="D36" s="5" t="s">
        <v>44</v>
      </c>
      <c r="E36" s="10">
        <f>IFERROR(VLOOKUP(C36,Assets!$A:$G,7,FALSE),0)</f>
        <v>160</v>
      </c>
      <c r="F36" s="11" t="s">
        <v>45</v>
      </c>
      <c r="G36" s="6"/>
      <c r="H36" s="10">
        <f t="shared" si="1"/>
        <v>160</v>
      </c>
    </row>
    <row r="37" spans="1:8" x14ac:dyDescent="0.35">
      <c r="A37" s="8">
        <v>46170</v>
      </c>
      <c r="B37" s="8">
        <f t="shared" si="0"/>
        <v>46143</v>
      </c>
      <c r="C37" t="s">
        <v>20</v>
      </c>
      <c r="D37" s="5" t="s">
        <v>44</v>
      </c>
      <c r="E37" s="10">
        <f>IFERROR(VLOOKUP(C37,Assets!$A:$G,7,FALSE),0)</f>
        <v>160</v>
      </c>
      <c r="F37" s="11" t="s">
        <v>45</v>
      </c>
      <c r="G37" s="6"/>
      <c r="H37" s="10">
        <f t="shared" si="1"/>
        <v>160</v>
      </c>
    </row>
    <row r="38" spans="1:8" x14ac:dyDescent="0.35">
      <c r="A38" s="8">
        <v>46149</v>
      </c>
      <c r="B38" s="8">
        <f t="shared" si="0"/>
        <v>46143</v>
      </c>
      <c r="C38" t="s">
        <v>25</v>
      </c>
      <c r="D38" s="5" t="s">
        <v>44</v>
      </c>
      <c r="E38" s="10">
        <f>IFERROR(VLOOKUP(C38,Assets!$A:$G,7,FALSE),0)</f>
        <v>40</v>
      </c>
      <c r="F38" s="11" t="s">
        <v>45</v>
      </c>
      <c r="G38" s="6"/>
      <c r="H38" s="10">
        <f t="shared" si="1"/>
        <v>40</v>
      </c>
    </row>
    <row r="39" spans="1:8" x14ac:dyDescent="0.35">
      <c r="A39" s="8">
        <v>46156</v>
      </c>
      <c r="B39" s="8">
        <f t="shared" si="0"/>
        <v>46143</v>
      </c>
      <c r="C39" t="s">
        <v>25</v>
      </c>
      <c r="D39" s="5" t="s">
        <v>44</v>
      </c>
      <c r="E39" s="10">
        <f>IFERROR(VLOOKUP(C39,Assets!$A:$G,7,FALSE),0)</f>
        <v>40</v>
      </c>
      <c r="F39" s="11" t="s">
        <v>45</v>
      </c>
      <c r="G39" s="6"/>
      <c r="H39" s="10">
        <f t="shared" si="1"/>
        <v>40</v>
      </c>
    </row>
    <row r="40" spans="1:8" x14ac:dyDescent="0.35">
      <c r="A40" s="8">
        <v>46163</v>
      </c>
      <c r="B40" s="8">
        <f t="shared" si="0"/>
        <v>46143</v>
      </c>
      <c r="C40" t="s">
        <v>25</v>
      </c>
      <c r="D40" s="5" t="s">
        <v>44</v>
      </c>
      <c r="E40" s="10">
        <f>IFERROR(VLOOKUP(C40,Assets!$A:$G,7,FALSE),0)</f>
        <v>40</v>
      </c>
      <c r="F40" s="11" t="s">
        <v>45</v>
      </c>
      <c r="G40" s="6"/>
      <c r="H40" s="10">
        <f t="shared" si="1"/>
        <v>40</v>
      </c>
    </row>
    <row r="41" spans="1:8" x14ac:dyDescent="0.35">
      <c r="A41" s="8">
        <v>46170</v>
      </c>
      <c r="B41" s="8">
        <f t="shared" si="0"/>
        <v>46143</v>
      </c>
      <c r="C41" t="s">
        <v>25</v>
      </c>
      <c r="D41" s="5" t="s">
        <v>44</v>
      </c>
      <c r="E41" s="10">
        <f>IFERROR(VLOOKUP(C41,Assets!$A:$G,7,FALSE),0)</f>
        <v>40</v>
      </c>
      <c r="F41" s="11" t="s">
        <v>45</v>
      </c>
      <c r="G41" s="6"/>
      <c r="H41" s="10">
        <f t="shared" si="1"/>
        <v>40</v>
      </c>
    </row>
    <row r="42" spans="1:8" x14ac:dyDescent="0.35">
      <c r="A42" s="8">
        <v>46149</v>
      </c>
      <c r="B42" s="8">
        <f t="shared" si="0"/>
        <v>46143</v>
      </c>
      <c r="C42" t="s">
        <v>26</v>
      </c>
      <c r="D42" s="5" t="s">
        <v>44</v>
      </c>
      <c r="E42" s="10">
        <f>IFERROR(VLOOKUP(C42,Assets!$A:$G,7,FALSE),0)</f>
        <v>27</v>
      </c>
      <c r="F42" s="11" t="s">
        <v>45</v>
      </c>
      <c r="G42" s="6"/>
      <c r="H42" s="10">
        <f t="shared" si="1"/>
        <v>27</v>
      </c>
    </row>
    <row r="43" spans="1:8" x14ac:dyDescent="0.35">
      <c r="A43" s="8">
        <v>46156</v>
      </c>
      <c r="B43" s="8">
        <f t="shared" si="0"/>
        <v>46143</v>
      </c>
      <c r="C43" t="s">
        <v>26</v>
      </c>
      <c r="D43" s="5" t="s">
        <v>44</v>
      </c>
      <c r="E43" s="10">
        <f>IFERROR(VLOOKUP(C43,Assets!$A:$G,7,FALSE),0)</f>
        <v>27</v>
      </c>
      <c r="F43" s="11" t="s">
        <v>45</v>
      </c>
      <c r="G43" s="6"/>
      <c r="H43" s="10">
        <f t="shared" si="1"/>
        <v>27</v>
      </c>
    </row>
    <row r="44" spans="1:8" x14ac:dyDescent="0.35">
      <c r="A44" s="8">
        <v>46163</v>
      </c>
      <c r="B44" s="8">
        <f t="shared" si="0"/>
        <v>46143</v>
      </c>
      <c r="C44" t="s">
        <v>26</v>
      </c>
      <c r="D44" s="5" t="s">
        <v>44</v>
      </c>
      <c r="E44" s="10">
        <f>IFERROR(VLOOKUP(C44,Assets!$A:$G,7,FALSE),0)</f>
        <v>27</v>
      </c>
      <c r="F44" s="11" t="s">
        <v>45</v>
      </c>
      <c r="G44" s="6"/>
      <c r="H44" s="10">
        <f t="shared" si="1"/>
        <v>27</v>
      </c>
    </row>
    <row r="45" spans="1:8" x14ac:dyDescent="0.35">
      <c r="A45" s="8">
        <v>46170</v>
      </c>
      <c r="B45" s="8">
        <f t="shared" si="0"/>
        <v>46143</v>
      </c>
      <c r="C45" t="s">
        <v>26</v>
      </c>
      <c r="D45" s="5" t="s">
        <v>44</v>
      </c>
      <c r="E45" s="10">
        <f>IFERROR(VLOOKUP(C45,Assets!$A:$G,7,FALSE),0)</f>
        <v>27</v>
      </c>
      <c r="F45" s="11" t="s">
        <v>45</v>
      </c>
      <c r="G45" s="6"/>
      <c r="H45" s="10">
        <f t="shared" si="1"/>
        <v>27</v>
      </c>
    </row>
    <row r="46" spans="1:8" x14ac:dyDescent="0.35">
      <c r="A46" s="8">
        <v>46149</v>
      </c>
      <c r="B46" s="8">
        <f t="shared" si="0"/>
        <v>46143</v>
      </c>
      <c r="C46" t="s">
        <v>29</v>
      </c>
      <c r="D46" s="5" t="s">
        <v>44</v>
      </c>
      <c r="E46" s="10">
        <f>IFERROR(VLOOKUP(C46,Assets!$A:$G,7,FALSE),0)</f>
        <v>20</v>
      </c>
      <c r="F46" s="11" t="s">
        <v>45</v>
      </c>
      <c r="G46" s="6"/>
      <c r="H46" s="10">
        <f t="shared" si="1"/>
        <v>20</v>
      </c>
    </row>
    <row r="47" spans="1:8" x14ac:dyDescent="0.35">
      <c r="A47" s="8">
        <v>46156</v>
      </c>
      <c r="B47" s="8">
        <f t="shared" si="0"/>
        <v>46143</v>
      </c>
      <c r="C47" t="s">
        <v>29</v>
      </c>
      <c r="D47" s="5" t="s">
        <v>44</v>
      </c>
      <c r="E47" s="10">
        <f>IFERROR(VLOOKUP(C47,Assets!$A:$G,7,FALSE),0)</f>
        <v>20</v>
      </c>
      <c r="F47" s="11" t="s">
        <v>45</v>
      </c>
      <c r="G47" s="6"/>
      <c r="H47" s="10">
        <f t="shared" si="1"/>
        <v>20</v>
      </c>
    </row>
    <row r="48" spans="1:8" x14ac:dyDescent="0.35">
      <c r="A48" s="8">
        <v>46163</v>
      </c>
      <c r="B48" s="8">
        <f t="shared" si="0"/>
        <v>46143</v>
      </c>
      <c r="C48" t="s">
        <v>29</v>
      </c>
      <c r="D48" s="5" t="s">
        <v>44</v>
      </c>
      <c r="E48" s="10">
        <f>IFERROR(VLOOKUP(C48,Assets!$A:$G,7,FALSE),0)</f>
        <v>20</v>
      </c>
      <c r="F48" s="11" t="s">
        <v>45</v>
      </c>
      <c r="G48" s="6"/>
      <c r="H48" s="10">
        <f t="shared" si="1"/>
        <v>20</v>
      </c>
    </row>
    <row r="49" spans="1:8" x14ac:dyDescent="0.35">
      <c r="A49" s="8">
        <v>46170</v>
      </c>
      <c r="B49" s="8">
        <f t="shared" si="0"/>
        <v>46143</v>
      </c>
      <c r="C49" t="s">
        <v>29</v>
      </c>
      <c r="D49" s="5" t="s">
        <v>44</v>
      </c>
      <c r="E49" s="10">
        <f>IFERROR(VLOOKUP(C49,Assets!$A:$G,7,FALSE),0)</f>
        <v>20</v>
      </c>
      <c r="F49" s="11" t="s">
        <v>45</v>
      </c>
      <c r="G49" s="6"/>
      <c r="H49" s="10">
        <f t="shared" si="1"/>
        <v>20</v>
      </c>
    </row>
    <row r="50" spans="1:8" x14ac:dyDescent="0.35">
      <c r="A50" s="8">
        <v>46149</v>
      </c>
      <c r="B50" s="8">
        <f t="shared" si="0"/>
        <v>46143</v>
      </c>
      <c r="C50" t="s">
        <v>31</v>
      </c>
      <c r="D50" s="5" t="s">
        <v>44</v>
      </c>
      <c r="E50" s="10">
        <f>IFERROR(VLOOKUP(C50,Assets!$A:$G,7,FALSE),0)</f>
        <v>27</v>
      </c>
      <c r="F50" s="11" t="s">
        <v>45</v>
      </c>
      <c r="G50" s="6"/>
      <c r="H50" s="10">
        <f t="shared" si="1"/>
        <v>27</v>
      </c>
    </row>
    <row r="51" spans="1:8" x14ac:dyDescent="0.35">
      <c r="A51" s="8">
        <v>46156</v>
      </c>
      <c r="B51" s="8">
        <f t="shared" si="0"/>
        <v>46143</v>
      </c>
      <c r="C51" t="s">
        <v>31</v>
      </c>
      <c r="D51" s="5" t="s">
        <v>44</v>
      </c>
      <c r="E51" s="10">
        <f>IFERROR(VLOOKUP(C51,Assets!$A:$G,7,FALSE),0)</f>
        <v>27</v>
      </c>
      <c r="F51" s="11" t="s">
        <v>45</v>
      </c>
      <c r="G51" s="6"/>
      <c r="H51" s="10">
        <f t="shared" si="1"/>
        <v>27</v>
      </c>
    </row>
    <row r="52" spans="1:8" x14ac:dyDescent="0.35">
      <c r="A52" s="8">
        <v>46163</v>
      </c>
      <c r="B52" s="8">
        <f t="shared" si="0"/>
        <v>46143</v>
      </c>
      <c r="C52" t="s">
        <v>31</v>
      </c>
      <c r="D52" s="5" t="s">
        <v>44</v>
      </c>
      <c r="E52" s="10">
        <f>IFERROR(VLOOKUP(C52,Assets!$A:$G,7,FALSE),0)</f>
        <v>27</v>
      </c>
      <c r="F52" s="11" t="s">
        <v>45</v>
      </c>
      <c r="G52" s="6"/>
      <c r="H52" s="10">
        <f t="shared" si="1"/>
        <v>27</v>
      </c>
    </row>
    <row r="53" spans="1:8" x14ac:dyDescent="0.35">
      <c r="A53" s="8">
        <v>46170</v>
      </c>
      <c r="B53" s="8">
        <f t="shared" si="0"/>
        <v>46143</v>
      </c>
      <c r="C53" t="s">
        <v>31</v>
      </c>
      <c r="D53" s="5" t="s">
        <v>44</v>
      </c>
      <c r="E53" s="10">
        <f>IFERROR(VLOOKUP(C53,Assets!$A:$G,7,FALSE),0)</f>
        <v>27</v>
      </c>
      <c r="F53" s="11" t="s">
        <v>45</v>
      </c>
      <c r="G53" s="6"/>
      <c r="H53" s="10">
        <f t="shared" si="1"/>
        <v>27</v>
      </c>
    </row>
    <row r="54" spans="1:8" x14ac:dyDescent="0.35">
      <c r="A54" s="8">
        <v>46149</v>
      </c>
      <c r="B54" s="8">
        <f t="shared" si="0"/>
        <v>46143</v>
      </c>
      <c r="C54" t="s">
        <v>32</v>
      </c>
      <c r="D54" s="5" t="s">
        <v>44</v>
      </c>
      <c r="E54" s="10">
        <f>IFERROR(VLOOKUP(C54,Assets!$A:$G,7,FALSE),0)</f>
        <v>45</v>
      </c>
      <c r="F54" s="11" t="s">
        <v>45</v>
      </c>
      <c r="G54" s="6"/>
      <c r="H54" s="10">
        <f t="shared" si="1"/>
        <v>45</v>
      </c>
    </row>
    <row r="55" spans="1:8" x14ac:dyDescent="0.35">
      <c r="A55" s="8">
        <v>46156</v>
      </c>
      <c r="B55" s="8">
        <f t="shared" si="0"/>
        <v>46143</v>
      </c>
      <c r="C55" t="s">
        <v>32</v>
      </c>
      <c r="D55" s="5" t="s">
        <v>44</v>
      </c>
      <c r="E55" s="10">
        <f>IFERROR(VLOOKUP(C55,Assets!$A:$G,7,FALSE),0)</f>
        <v>45</v>
      </c>
      <c r="F55" s="11" t="s">
        <v>45</v>
      </c>
      <c r="G55" s="6"/>
      <c r="H55" s="10">
        <f t="shared" si="1"/>
        <v>45</v>
      </c>
    </row>
    <row r="56" spans="1:8" x14ac:dyDescent="0.35">
      <c r="A56" s="8">
        <v>46163</v>
      </c>
      <c r="B56" s="8">
        <f t="shared" si="0"/>
        <v>46143</v>
      </c>
      <c r="C56" t="s">
        <v>32</v>
      </c>
      <c r="D56" s="5" t="s">
        <v>44</v>
      </c>
      <c r="E56" s="10">
        <f>IFERROR(VLOOKUP(C56,Assets!$A:$G,7,FALSE),0)</f>
        <v>45</v>
      </c>
      <c r="F56" s="11" t="s">
        <v>45</v>
      </c>
      <c r="G56" s="6"/>
      <c r="H56" s="10">
        <f t="shared" si="1"/>
        <v>45</v>
      </c>
    </row>
    <row r="57" spans="1:8" x14ac:dyDescent="0.35">
      <c r="A57" s="8">
        <v>46170</v>
      </c>
      <c r="B57" s="8">
        <f t="shared" si="0"/>
        <v>46143</v>
      </c>
      <c r="C57" t="s">
        <v>32</v>
      </c>
      <c r="D57" s="5" t="s">
        <v>44</v>
      </c>
      <c r="E57" s="10">
        <f>IFERROR(VLOOKUP(C57,Assets!$A:$G,7,FALSE),0)</f>
        <v>45</v>
      </c>
      <c r="F57" s="11" t="s">
        <v>45</v>
      </c>
      <c r="G57" s="6"/>
      <c r="H57" s="10">
        <f t="shared" si="1"/>
        <v>45</v>
      </c>
    </row>
    <row r="58" spans="1:8" x14ac:dyDescent="0.35">
      <c r="A58" s="8">
        <v>46149</v>
      </c>
      <c r="B58" s="8">
        <f t="shared" si="0"/>
        <v>46143</v>
      </c>
      <c r="C58" t="s">
        <v>33</v>
      </c>
      <c r="D58" s="5" t="s">
        <v>44</v>
      </c>
      <c r="E58" s="10">
        <f>IFERROR(VLOOKUP(C58,Assets!$A:$G,7,FALSE),0)</f>
        <v>41</v>
      </c>
      <c r="F58" s="11" t="s">
        <v>45</v>
      </c>
      <c r="G58" s="6"/>
      <c r="H58" s="10">
        <f t="shared" si="1"/>
        <v>41</v>
      </c>
    </row>
    <row r="59" spans="1:8" x14ac:dyDescent="0.35">
      <c r="A59" s="8">
        <v>46156</v>
      </c>
      <c r="B59" s="8">
        <f t="shared" si="0"/>
        <v>46143</v>
      </c>
      <c r="C59" t="s">
        <v>33</v>
      </c>
      <c r="D59" s="5" t="s">
        <v>44</v>
      </c>
      <c r="E59" s="10">
        <f>IFERROR(VLOOKUP(C59,Assets!$A:$G,7,FALSE),0)</f>
        <v>41</v>
      </c>
      <c r="F59" s="11" t="s">
        <v>45</v>
      </c>
      <c r="G59" s="6"/>
      <c r="H59" s="10">
        <f t="shared" si="1"/>
        <v>41</v>
      </c>
    </row>
    <row r="60" spans="1:8" x14ac:dyDescent="0.35">
      <c r="A60" s="8">
        <v>46163</v>
      </c>
      <c r="B60" s="8">
        <f t="shared" si="0"/>
        <v>46143</v>
      </c>
      <c r="C60" t="s">
        <v>33</v>
      </c>
      <c r="D60" s="5" t="s">
        <v>44</v>
      </c>
      <c r="E60" s="10">
        <f>IFERROR(VLOOKUP(C60,Assets!$A:$G,7,FALSE),0)</f>
        <v>41</v>
      </c>
      <c r="F60" s="11" t="s">
        <v>45</v>
      </c>
      <c r="G60" s="6"/>
      <c r="H60" s="10">
        <f t="shared" si="1"/>
        <v>41</v>
      </c>
    </row>
    <row r="61" spans="1:8" x14ac:dyDescent="0.35">
      <c r="A61" s="8">
        <v>46170</v>
      </c>
      <c r="B61" s="8">
        <f t="shared" si="0"/>
        <v>46143</v>
      </c>
      <c r="C61" t="s">
        <v>33</v>
      </c>
      <c r="D61" s="5" t="s">
        <v>44</v>
      </c>
      <c r="E61" s="10">
        <f>IFERROR(VLOOKUP(C61,Assets!$A:$G,7,FALSE),0)</f>
        <v>41</v>
      </c>
      <c r="F61" s="11" t="s">
        <v>45</v>
      </c>
      <c r="G61" s="6"/>
      <c r="H61" s="10">
        <f t="shared" si="1"/>
        <v>41</v>
      </c>
    </row>
    <row r="62" spans="1:8" x14ac:dyDescent="0.35">
      <c r="A62" s="8">
        <v>46149</v>
      </c>
      <c r="B62" s="8">
        <f t="shared" si="0"/>
        <v>46143</v>
      </c>
      <c r="C62" t="s">
        <v>34</v>
      </c>
      <c r="D62" s="5" t="s">
        <v>44</v>
      </c>
      <c r="E62" s="10">
        <f>IFERROR(VLOOKUP(C62,Assets!$A:$G,7,FALSE),0)</f>
        <v>15</v>
      </c>
      <c r="F62" s="11" t="s">
        <v>45</v>
      </c>
      <c r="G62" s="6"/>
      <c r="H62" s="10">
        <f t="shared" si="1"/>
        <v>15</v>
      </c>
    </row>
    <row r="63" spans="1:8" x14ac:dyDescent="0.35">
      <c r="A63" s="8">
        <v>46156</v>
      </c>
      <c r="B63" s="8">
        <f t="shared" si="0"/>
        <v>46143</v>
      </c>
      <c r="C63" t="s">
        <v>34</v>
      </c>
      <c r="D63" s="5" t="s">
        <v>44</v>
      </c>
      <c r="E63" s="10">
        <f>IFERROR(VLOOKUP(C63,Assets!$A:$G,7,FALSE),0)</f>
        <v>15</v>
      </c>
      <c r="F63" s="11" t="s">
        <v>45</v>
      </c>
      <c r="G63" s="6"/>
      <c r="H63" s="10">
        <f t="shared" si="1"/>
        <v>15</v>
      </c>
    </row>
    <row r="64" spans="1:8" x14ac:dyDescent="0.35">
      <c r="A64" s="8">
        <v>46163</v>
      </c>
      <c r="B64" s="8">
        <f t="shared" si="0"/>
        <v>46143</v>
      </c>
      <c r="C64" t="s">
        <v>34</v>
      </c>
      <c r="D64" s="5" t="s">
        <v>44</v>
      </c>
      <c r="E64" s="10">
        <f>IFERROR(VLOOKUP(C64,Assets!$A:$G,7,FALSE),0)</f>
        <v>15</v>
      </c>
      <c r="F64" s="11" t="s">
        <v>45</v>
      </c>
      <c r="G64" s="6"/>
      <c r="H64" s="10">
        <f t="shared" si="1"/>
        <v>15</v>
      </c>
    </row>
    <row r="65" spans="1:8" x14ac:dyDescent="0.35">
      <c r="A65" s="8">
        <v>46170</v>
      </c>
      <c r="B65" s="8">
        <f t="shared" si="0"/>
        <v>46143</v>
      </c>
      <c r="C65" t="s">
        <v>34</v>
      </c>
      <c r="D65" s="5" t="s">
        <v>44</v>
      </c>
      <c r="E65" s="10">
        <f>IFERROR(VLOOKUP(C65,Assets!$A:$G,7,FALSE),0)</f>
        <v>15</v>
      </c>
      <c r="F65" s="11" t="s">
        <v>45</v>
      </c>
      <c r="G65" s="6"/>
      <c r="H65" s="10">
        <f t="shared" si="1"/>
        <v>15</v>
      </c>
    </row>
    <row r="66" spans="1:8" x14ac:dyDescent="0.35">
      <c r="A66" s="8">
        <v>46180</v>
      </c>
      <c r="B66" s="8">
        <f t="shared" ref="B66:B129" si="2">DATE(YEAR(A66),MONTH(A66),1)</f>
        <v>46174</v>
      </c>
      <c r="C66" t="s">
        <v>20</v>
      </c>
      <c r="D66" s="5" t="s">
        <v>44</v>
      </c>
      <c r="E66" s="10">
        <f>IFERROR(VLOOKUP(C66,Assets!$A:$G,7,FALSE),0)</f>
        <v>160</v>
      </c>
      <c r="F66" s="11" t="s">
        <v>45</v>
      </c>
      <c r="G66" s="6"/>
      <c r="H66" s="10">
        <f t="shared" ref="H66:H129" si="3">IF(F66="No",0,IF(F66="Edited",IF(G66="",E66,G66),E66))</f>
        <v>160</v>
      </c>
    </row>
    <row r="67" spans="1:8" x14ac:dyDescent="0.35">
      <c r="A67" s="8">
        <v>46187</v>
      </c>
      <c r="B67" s="8">
        <f t="shared" si="2"/>
        <v>46174</v>
      </c>
      <c r="C67" t="s">
        <v>20</v>
      </c>
      <c r="D67" s="5" t="s">
        <v>44</v>
      </c>
      <c r="E67" s="10">
        <f>IFERROR(VLOOKUP(C67,Assets!$A:$G,7,FALSE),0)</f>
        <v>160</v>
      </c>
      <c r="F67" s="11" t="s">
        <v>45</v>
      </c>
      <c r="G67" s="6"/>
      <c r="H67" s="10">
        <f t="shared" si="3"/>
        <v>160</v>
      </c>
    </row>
    <row r="68" spans="1:8" x14ac:dyDescent="0.35">
      <c r="A68" s="8">
        <v>46194</v>
      </c>
      <c r="B68" s="8">
        <f t="shared" si="2"/>
        <v>46174</v>
      </c>
      <c r="C68" t="s">
        <v>20</v>
      </c>
      <c r="D68" s="5" t="s">
        <v>44</v>
      </c>
      <c r="E68" s="10">
        <f>IFERROR(VLOOKUP(C68,Assets!$A:$G,7,FALSE),0)</f>
        <v>160</v>
      </c>
      <c r="F68" s="11" t="s">
        <v>45</v>
      </c>
      <c r="G68" s="6"/>
      <c r="H68" s="10">
        <f t="shared" si="3"/>
        <v>160</v>
      </c>
    </row>
    <row r="69" spans="1:8" x14ac:dyDescent="0.35">
      <c r="A69" s="8">
        <v>46201</v>
      </c>
      <c r="B69" s="8">
        <f t="shared" si="2"/>
        <v>46174</v>
      </c>
      <c r="C69" t="s">
        <v>20</v>
      </c>
      <c r="D69" s="5" t="s">
        <v>44</v>
      </c>
      <c r="E69" s="10">
        <f>IFERROR(VLOOKUP(C69,Assets!$A:$G,7,FALSE),0)</f>
        <v>160</v>
      </c>
      <c r="F69" s="11" t="s">
        <v>45</v>
      </c>
      <c r="G69" s="6"/>
      <c r="H69" s="10">
        <f t="shared" si="3"/>
        <v>160</v>
      </c>
    </row>
    <row r="70" spans="1:8" x14ac:dyDescent="0.35">
      <c r="A70" s="8">
        <v>46180</v>
      </c>
      <c r="B70" s="8">
        <f t="shared" si="2"/>
        <v>46174</v>
      </c>
      <c r="C70" t="s">
        <v>25</v>
      </c>
      <c r="D70" s="5" t="s">
        <v>44</v>
      </c>
      <c r="E70" s="10">
        <f>IFERROR(VLOOKUP(C70,Assets!$A:$G,7,FALSE),0)</f>
        <v>40</v>
      </c>
      <c r="F70" s="11" t="s">
        <v>45</v>
      </c>
      <c r="G70" s="6"/>
      <c r="H70" s="10">
        <f t="shared" si="3"/>
        <v>40</v>
      </c>
    </row>
    <row r="71" spans="1:8" x14ac:dyDescent="0.35">
      <c r="A71" s="8">
        <v>46187</v>
      </c>
      <c r="B71" s="8">
        <f t="shared" si="2"/>
        <v>46174</v>
      </c>
      <c r="C71" t="s">
        <v>25</v>
      </c>
      <c r="D71" s="5" t="s">
        <v>44</v>
      </c>
      <c r="E71" s="10">
        <f>IFERROR(VLOOKUP(C71,Assets!$A:$G,7,FALSE),0)</f>
        <v>40</v>
      </c>
      <c r="F71" s="11" t="s">
        <v>45</v>
      </c>
      <c r="G71" s="6"/>
      <c r="H71" s="10">
        <f t="shared" si="3"/>
        <v>40</v>
      </c>
    </row>
    <row r="72" spans="1:8" x14ac:dyDescent="0.35">
      <c r="A72" s="8">
        <v>46194</v>
      </c>
      <c r="B72" s="8">
        <f t="shared" si="2"/>
        <v>46174</v>
      </c>
      <c r="C72" t="s">
        <v>25</v>
      </c>
      <c r="D72" s="5" t="s">
        <v>44</v>
      </c>
      <c r="E72" s="10">
        <f>IFERROR(VLOOKUP(C72,Assets!$A:$G,7,FALSE),0)</f>
        <v>40</v>
      </c>
      <c r="F72" s="11" t="s">
        <v>45</v>
      </c>
      <c r="G72" s="6"/>
      <c r="H72" s="10">
        <f t="shared" si="3"/>
        <v>40</v>
      </c>
    </row>
    <row r="73" spans="1:8" x14ac:dyDescent="0.35">
      <c r="A73" s="8">
        <v>46201</v>
      </c>
      <c r="B73" s="8">
        <f t="shared" si="2"/>
        <v>46174</v>
      </c>
      <c r="C73" t="s">
        <v>25</v>
      </c>
      <c r="D73" s="5" t="s">
        <v>44</v>
      </c>
      <c r="E73" s="10">
        <f>IFERROR(VLOOKUP(C73,Assets!$A:$G,7,FALSE),0)</f>
        <v>40</v>
      </c>
      <c r="F73" s="11" t="s">
        <v>45</v>
      </c>
      <c r="G73" s="6"/>
      <c r="H73" s="10">
        <f t="shared" si="3"/>
        <v>40</v>
      </c>
    </row>
    <row r="74" spans="1:8" x14ac:dyDescent="0.35">
      <c r="A74" s="8">
        <v>46180</v>
      </c>
      <c r="B74" s="8">
        <f t="shared" si="2"/>
        <v>46174</v>
      </c>
      <c r="C74" t="s">
        <v>26</v>
      </c>
      <c r="D74" s="5" t="s">
        <v>44</v>
      </c>
      <c r="E74" s="10">
        <f>IFERROR(VLOOKUP(C74,Assets!$A:$G,7,FALSE),0)</f>
        <v>27</v>
      </c>
      <c r="F74" s="11" t="s">
        <v>45</v>
      </c>
      <c r="G74" s="6"/>
      <c r="H74" s="10">
        <f t="shared" si="3"/>
        <v>27</v>
      </c>
    </row>
    <row r="75" spans="1:8" x14ac:dyDescent="0.35">
      <c r="A75" s="8">
        <v>46187</v>
      </c>
      <c r="B75" s="8">
        <f t="shared" si="2"/>
        <v>46174</v>
      </c>
      <c r="C75" t="s">
        <v>26</v>
      </c>
      <c r="D75" s="5" t="s">
        <v>44</v>
      </c>
      <c r="E75" s="10">
        <f>IFERROR(VLOOKUP(C75,Assets!$A:$G,7,FALSE),0)</f>
        <v>27</v>
      </c>
      <c r="F75" s="11" t="s">
        <v>45</v>
      </c>
      <c r="G75" s="6"/>
      <c r="H75" s="10">
        <f t="shared" si="3"/>
        <v>27</v>
      </c>
    </row>
    <row r="76" spans="1:8" x14ac:dyDescent="0.35">
      <c r="A76" s="8">
        <v>46194</v>
      </c>
      <c r="B76" s="8">
        <f t="shared" si="2"/>
        <v>46174</v>
      </c>
      <c r="C76" t="s">
        <v>26</v>
      </c>
      <c r="D76" s="5" t="s">
        <v>44</v>
      </c>
      <c r="E76" s="10">
        <f>IFERROR(VLOOKUP(C76,Assets!$A:$G,7,FALSE),0)</f>
        <v>27</v>
      </c>
      <c r="F76" s="11" t="s">
        <v>45</v>
      </c>
      <c r="G76" s="6"/>
      <c r="H76" s="10">
        <f t="shared" si="3"/>
        <v>27</v>
      </c>
    </row>
    <row r="77" spans="1:8" x14ac:dyDescent="0.35">
      <c r="A77" s="8">
        <v>46201</v>
      </c>
      <c r="B77" s="8">
        <f t="shared" si="2"/>
        <v>46174</v>
      </c>
      <c r="C77" t="s">
        <v>26</v>
      </c>
      <c r="D77" s="5" t="s">
        <v>44</v>
      </c>
      <c r="E77" s="10">
        <f>IFERROR(VLOOKUP(C77,Assets!$A:$G,7,FALSE),0)</f>
        <v>27</v>
      </c>
      <c r="F77" s="11" t="s">
        <v>45</v>
      </c>
      <c r="G77" s="6"/>
      <c r="H77" s="10">
        <f t="shared" si="3"/>
        <v>27</v>
      </c>
    </row>
    <row r="78" spans="1:8" x14ac:dyDescent="0.35">
      <c r="A78" s="8">
        <v>46180</v>
      </c>
      <c r="B78" s="8">
        <f t="shared" si="2"/>
        <v>46174</v>
      </c>
      <c r="C78" t="s">
        <v>29</v>
      </c>
      <c r="D78" s="5" t="s">
        <v>44</v>
      </c>
      <c r="E78" s="10">
        <f>IFERROR(VLOOKUP(C78,Assets!$A:$G,7,FALSE),0)</f>
        <v>20</v>
      </c>
      <c r="F78" s="11" t="s">
        <v>45</v>
      </c>
      <c r="G78" s="6"/>
      <c r="H78" s="10">
        <f t="shared" si="3"/>
        <v>20</v>
      </c>
    </row>
    <row r="79" spans="1:8" x14ac:dyDescent="0.35">
      <c r="A79" s="8">
        <v>46187</v>
      </c>
      <c r="B79" s="8">
        <f t="shared" si="2"/>
        <v>46174</v>
      </c>
      <c r="C79" t="s">
        <v>29</v>
      </c>
      <c r="D79" s="5" t="s">
        <v>44</v>
      </c>
      <c r="E79" s="10">
        <f>IFERROR(VLOOKUP(C79,Assets!$A:$G,7,FALSE),0)</f>
        <v>20</v>
      </c>
      <c r="F79" s="11" t="s">
        <v>45</v>
      </c>
      <c r="G79" s="6"/>
      <c r="H79" s="10">
        <f t="shared" si="3"/>
        <v>20</v>
      </c>
    </row>
    <row r="80" spans="1:8" x14ac:dyDescent="0.35">
      <c r="A80" s="8">
        <v>46194</v>
      </c>
      <c r="B80" s="8">
        <f t="shared" si="2"/>
        <v>46174</v>
      </c>
      <c r="C80" t="s">
        <v>29</v>
      </c>
      <c r="D80" s="5" t="s">
        <v>44</v>
      </c>
      <c r="E80" s="10">
        <f>IFERROR(VLOOKUP(C80,Assets!$A:$G,7,FALSE),0)</f>
        <v>20</v>
      </c>
      <c r="F80" s="11" t="s">
        <v>45</v>
      </c>
      <c r="G80" s="6"/>
      <c r="H80" s="10">
        <f t="shared" si="3"/>
        <v>20</v>
      </c>
    </row>
    <row r="81" spans="1:8" x14ac:dyDescent="0.35">
      <c r="A81" s="8">
        <v>46201</v>
      </c>
      <c r="B81" s="8">
        <f t="shared" si="2"/>
        <v>46174</v>
      </c>
      <c r="C81" t="s">
        <v>29</v>
      </c>
      <c r="D81" s="5" t="s">
        <v>44</v>
      </c>
      <c r="E81" s="10">
        <f>IFERROR(VLOOKUP(C81,Assets!$A:$G,7,FALSE),0)</f>
        <v>20</v>
      </c>
      <c r="F81" s="11" t="s">
        <v>45</v>
      </c>
      <c r="G81" s="6"/>
      <c r="H81" s="10">
        <f t="shared" si="3"/>
        <v>20</v>
      </c>
    </row>
    <row r="82" spans="1:8" x14ac:dyDescent="0.35">
      <c r="A82" s="8">
        <v>46180</v>
      </c>
      <c r="B82" s="8">
        <f t="shared" si="2"/>
        <v>46174</v>
      </c>
      <c r="C82" t="s">
        <v>31</v>
      </c>
      <c r="D82" s="5" t="s">
        <v>44</v>
      </c>
      <c r="E82" s="10">
        <f>IFERROR(VLOOKUP(C82,Assets!$A:$G,7,FALSE),0)</f>
        <v>27</v>
      </c>
      <c r="F82" s="11" t="s">
        <v>45</v>
      </c>
      <c r="G82" s="6"/>
      <c r="H82" s="10">
        <f t="shared" si="3"/>
        <v>27</v>
      </c>
    </row>
    <row r="83" spans="1:8" x14ac:dyDescent="0.35">
      <c r="A83" s="8">
        <v>46187</v>
      </c>
      <c r="B83" s="8">
        <f t="shared" si="2"/>
        <v>46174</v>
      </c>
      <c r="C83" t="s">
        <v>31</v>
      </c>
      <c r="D83" s="5" t="s">
        <v>44</v>
      </c>
      <c r="E83" s="10">
        <f>IFERROR(VLOOKUP(C83,Assets!$A:$G,7,FALSE),0)</f>
        <v>27</v>
      </c>
      <c r="F83" s="11" t="s">
        <v>45</v>
      </c>
      <c r="G83" s="6"/>
      <c r="H83" s="10">
        <f t="shared" si="3"/>
        <v>27</v>
      </c>
    </row>
    <row r="84" spans="1:8" x14ac:dyDescent="0.35">
      <c r="A84" s="8">
        <v>46194</v>
      </c>
      <c r="B84" s="8">
        <f t="shared" si="2"/>
        <v>46174</v>
      </c>
      <c r="C84" t="s">
        <v>31</v>
      </c>
      <c r="D84" s="5" t="s">
        <v>44</v>
      </c>
      <c r="E84" s="10">
        <f>IFERROR(VLOOKUP(C84,Assets!$A:$G,7,FALSE),0)</f>
        <v>27</v>
      </c>
      <c r="F84" s="11" t="s">
        <v>45</v>
      </c>
      <c r="G84" s="6"/>
      <c r="H84" s="10">
        <f t="shared" si="3"/>
        <v>27</v>
      </c>
    </row>
    <row r="85" spans="1:8" x14ac:dyDescent="0.35">
      <c r="A85" s="8">
        <v>46201</v>
      </c>
      <c r="B85" s="8">
        <f t="shared" si="2"/>
        <v>46174</v>
      </c>
      <c r="C85" t="s">
        <v>31</v>
      </c>
      <c r="D85" s="5" t="s">
        <v>44</v>
      </c>
      <c r="E85" s="10">
        <f>IFERROR(VLOOKUP(C85,Assets!$A:$G,7,FALSE),0)</f>
        <v>27</v>
      </c>
      <c r="F85" s="11" t="s">
        <v>45</v>
      </c>
      <c r="G85" s="6"/>
      <c r="H85" s="10">
        <f t="shared" si="3"/>
        <v>27</v>
      </c>
    </row>
    <row r="86" spans="1:8" x14ac:dyDescent="0.35">
      <c r="A86" s="8">
        <v>46180</v>
      </c>
      <c r="B86" s="8">
        <f t="shared" si="2"/>
        <v>46174</v>
      </c>
      <c r="C86" t="s">
        <v>32</v>
      </c>
      <c r="D86" s="5" t="s">
        <v>44</v>
      </c>
      <c r="E86" s="10">
        <f>IFERROR(VLOOKUP(C86,Assets!$A:$G,7,FALSE),0)</f>
        <v>45</v>
      </c>
      <c r="F86" s="11" t="s">
        <v>45</v>
      </c>
      <c r="G86" s="6"/>
      <c r="H86" s="10">
        <f t="shared" si="3"/>
        <v>45</v>
      </c>
    </row>
    <row r="87" spans="1:8" x14ac:dyDescent="0.35">
      <c r="A87" s="8">
        <v>46187</v>
      </c>
      <c r="B87" s="8">
        <f t="shared" si="2"/>
        <v>46174</v>
      </c>
      <c r="C87" t="s">
        <v>32</v>
      </c>
      <c r="D87" s="5" t="s">
        <v>44</v>
      </c>
      <c r="E87" s="10">
        <f>IFERROR(VLOOKUP(C87,Assets!$A:$G,7,FALSE),0)</f>
        <v>45</v>
      </c>
      <c r="F87" s="11" t="s">
        <v>45</v>
      </c>
      <c r="G87" s="6"/>
      <c r="H87" s="10">
        <f t="shared" si="3"/>
        <v>45</v>
      </c>
    </row>
    <row r="88" spans="1:8" x14ac:dyDescent="0.35">
      <c r="A88" s="8">
        <v>46194</v>
      </c>
      <c r="B88" s="8">
        <f t="shared" si="2"/>
        <v>46174</v>
      </c>
      <c r="C88" t="s">
        <v>32</v>
      </c>
      <c r="D88" s="5" t="s">
        <v>44</v>
      </c>
      <c r="E88" s="10">
        <f>IFERROR(VLOOKUP(C88,Assets!$A:$G,7,FALSE),0)</f>
        <v>45</v>
      </c>
      <c r="F88" s="11" t="s">
        <v>45</v>
      </c>
      <c r="G88" s="6"/>
      <c r="H88" s="10">
        <f t="shared" si="3"/>
        <v>45</v>
      </c>
    </row>
    <row r="89" spans="1:8" x14ac:dyDescent="0.35">
      <c r="A89" s="8">
        <v>46201</v>
      </c>
      <c r="B89" s="8">
        <f t="shared" si="2"/>
        <v>46174</v>
      </c>
      <c r="C89" t="s">
        <v>32</v>
      </c>
      <c r="D89" s="5" t="s">
        <v>44</v>
      </c>
      <c r="E89" s="10">
        <f>IFERROR(VLOOKUP(C89,Assets!$A:$G,7,FALSE),0)</f>
        <v>45</v>
      </c>
      <c r="F89" s="11" t="s">
        <v>45</v>
      </c>
      <c r="G89" s="6"/>
      <c r="H89" s="10">
        <f t="shared" si="3"/>
        <v>45</v>
      </c>
    </row>
    <row r="90" spans="1:8" x14ac:dyDescent="0.35">
      <c r="A90" s="8">
        <v>46180</v>
      </c>
      <c r="B90" s="8">
        <f t="shared" si="2"/>
        <v>46174</v>
      </c>
      <c r="C90" t="s">
        <v>33</v>
      </c>
      <c r="D90" s="5" t="s">
        <v>44</v>
      </c>
      <c r="E90" s="10">
        <f>IFERROR(VLOOKUP(C90,Assets!$A:$G,7,FALSE),0)</f>
        <v>41</v>
      </c>
      <c r="F90" s="11" t="s">
        <v>45</v>
      </c>
      <c r="G90" s="6"/>
      <c r="H90" s="10">
        <f t="shared" si="3"/>
        <v>41</v>
      </c>
    </row>
    <row r="91" spans="1:8" x14ac:dyDescent="0.35">
      <c r="A91" s="8">
        <v>46187</v>
      </c>
      <c r="B91" s="8">
        <f t="shared" si="2"/>
        <v>46174</v>
      </c>
      <c r="C91" t="s">
        <v>33</v>
      </c>
      <c r="D91" s="5" t="s">
        <v>44</v>
      </c>
      <c r="E91" s="10">
        <f>IFERROR(VLOOKUP(C91,Assets!$A:$G,7,FALSE),0)</f>
        <v>41</v>
      </c>
      <c r="F91" s="11" t="s">
        <v>45</v>
      </c>
      <c r="G91" s="6"/>
      <c r="H91" s="10">
        <f t="shared" si="3"/>
        <v>41</v>
      </c>
    </row>
    <row r="92" spans="1:8" x14ac:dyDescent="0.35">
      <c r="A92" s="8">
        <v>46194</v>
      </c>
      <c r="B92" s="8">
        <f t="shared" si="2"/>
        <v>46174</v>
      </c>
      <c r="C92" t="s">
        <v>33</v>
      </c>
      <c r="D92" s="5" t="s">
        <v>44</v>
      </c>
      <c r="E92" s="10">
        <f>IFERROR(VLOOKUP(C92,Assets!$A:$G,7,FALSE),0)</f>
        <v>41</v>
      </c>
      <c r="F92" s="11" t="s">
        <v>45</v>
      </c>
      <c r="G92" s="6"/>
      <c r="H92" s="10">
        <f t="shared" si="3"/>
        <v>41</v>
      </c>
    </row>
    <row r="93" spans="1:8" x14ac:dyDescent="0.35">
      <c r="A93" s="8">
        <v>46201</v>
      </c>
      <c r="B93" s="8">
        <f t="shared" si="2"/>
        <v>46174</v>
      </c>
      <c r="C93" t="s">
        <v>33</v>
      </c>
      <c r="D93" s="5" t="s">
        <v>44</v>
      </c>
      <c r="E93" s="10">
        <f>IFERROR(VLOOKUP(C93,Assets!$A:$G,7,FALSE),0)</f>
        <v>41</v>
      </c>
      <c r="F93" s="11" t="s">
        <v>45</v>
      </c>
      <c r="G93" s="6"/>
      <c r="H93" s="10">
        <f t="shared" si="3"/>
        <v>41</v>
      </c>
    </row>
    <row r="94" spans="1:8" x14ac:dyDescent="0.35">
      <c r="A94" s="8">
        <v>46180</v>
      </c>
      <c r="B94" s="8">
        <f t="shared" si="2"/>
        <v>46174</v>
      </c>
      <c r="C94" t="s">
        <v>34</v>
      </c>
      <c r="D94" s="5" t="s">
        <v>44</v>
      </c>
      <c r="E94" s="10">
        <f>IFERROR(VLOOKUP(C94,Assets!$A:$G,7,FALSE),0)</f>
        <v>15</v>
      </c>
      <c r="F94" s="11" t="s">
        <v>45</v>
      </c>
      <c r="G94" s="6"/>
      <c r="H94" s="10">
        <f t="shared" si="3"/>
        <v>15</v>
      </c>
    </row>
    <row r="95" spans="1:8" x14ac:dyDescent="0.35">
      <c r="A95" s="8">
        <v>46187</v>
      </c>
      <c r="B95" s="8">
        <f t="shared" si="2"/>
        <v>46174</v>
      </c>
      <c r="C95" t="s">
        <v>34</v>
      </c>
      <c r="D95" s="5" t="s">
        <v>44</v>
      </c>
      <c r="E95" s="10">
        <f>IFERROR(VLOOKUP(C95,Assets!$A:$G,7,FALSE),0)</f>
        <v>15</v>
      </c>
      <c r="F95" s="11" t="s">
        <v>45</v>
      </c>
      <c r="G95" s="6"/>
      <c r="H95" s="10">
        <f t="shared" si="3"/>
        <v>15</v>
      </c>
    </row>
    <row r="96" spans="1:8" x14ac:dyDescent="0.35">
      <c r="A96" s="8">
        <v>46194</v>
      </c>
      <c r="B96" s="8">
        <f t="shared" si="2"/>
        <v>46174</v>
      </c>
      <c r="C96" t="s">
        <v>34</v>
      </c>
      <c r="D96" s="5" t="s">
        <v>44</v>
      </c>
      <c r="E96" s="10">
        <f>IFERROR(VLOOKUP(C96,Assets!$A:$G,7,FALSE),0)</f>
        <v>15</v>
      </c>
      <c r="F96" s="11" t="s">
        <v>45</v>
      </c>
      <c r="G96" s="6"/>
      <c r="H96" s="10">
        <f t="shared" si="3"/>
        <v>15</v>
      </c>
    </row>
    <row r="97" spans="1:8" x14ac:dyDescent="0.35">
      <c r="A97" s="8">
        <v>46201</v>
      </c>
      <c r="B97" s="8">
        <f t="shared" si="2"/>
        <v>46174</v>
      </c>
      <c r="C97" t="s">
        <v>34</v>
      </c>
      <c r="D97" s="5" t="s">
        <v>44</v>
      </c>
      <c r="E97" s="10">
        <f>IFERROR(VLOOKUP(C97,Assets!$A:$G,7,FALSE),0)</f>
        <v>15</v>
      </c>
      <c r="F97" s="11" t="s">
        <v>45</v>
      </c>
      <c r="G97" s="6"/>
      <c r="H97" s="10">
        <f t="shared" si="3"/>
        <v>15</v>
      </c>
    </row>
    <row r="98" spans="1:8" x14ac:dyDescent="0.35">
      <c r="A98" s="8">
        <v>46210</v>
      </c>
      <c r="B98" s="8">
        <f t="shared" si="2"/>
        <v>46204</v>
      </c>
      <c r="C98" t="s">
        <v>20</v>
      </c>
      <c r="D98" s="5" t="s">
        <v>44</v>
      </c>
      <c r="E98" s="10">
        <f>IFERROR(VLOOKUP(C98,Assets!$A:$G,7,FALSE),0)</f>
        <v>160</v>
      </c>
      <c r="F98" s="11" t="s">
        <v>45</v>
      </c>
      <c r="G98" s="6"/>
      <c r="H98" s="10">
        <f t="shared" si="3"/>
        <v>160</v>
      </c>
    </row>
    <row r="99" spans="1:8" x14ac:dyDescent="0.35">
      <c r="A99" s="8">
        <v>46217</v>
      </c>
      <c r="B99" s="8">
        <f t="shared" si="2"/>
        <v>46204</v>
      </c>
      <c r="C99" t="s">
        <v>20</v>
      </c>
      <c r="D99" s="5" t="s">
        <v>44</v>
      </c>
      <c r="E99" s="10">
        <f>IFERROR(VLOOKUP(C99,Assets!$A:$G,7,FALSE),0)</f>
        <v>160</v>
      </c>
      <c r="F99" s="11" t="s">
        <v>45</v>
      </c>
      <c r="G99" s="6"/>
      <c r="H99" s="10">
        <f t="shared" si="3"/>
        <v>160</v>
      </c>
    </row>
    <row r="100" spans="1:8" x14ac:dyDescent="0.35">
      <c r="A100" s="8">
        <v>46224</v>
      </c>
      <c r="B100" s="8">
        <f t="shared" si="2"/>
        <v>46204</v>
      </c>
      <c r="C100" t="s">
        <v>20</v>
      </c>
      <c r="D100" s="5" t="s">
        <v>44</v>
      </c>
      <c r="E100" s="10">
        <f>IFERROR(VLOOKUP(C100,Assets!$A:$G,7,FALSE),0)</f>
        <v>160</v>
      </c>
      <c r="F100" s="11" t="s">
        <v>45</v>
      </c>
      <c r="G100" s="6"/>
      <c r="H100" s="10">
        <f t="shared" si="3"/>
        <v>160</v>
      </c>
    </row>
    <row r="101" spans="1:8" x14ac:dyDescent="0.35">
      <c r="A101" s="8">
        <v>46231</v>
      </c>
      <c r="B101" s="8">
        <f t="shared" si="2"/>
        <v>46204</v>
      </c>
      <c r="C101" t="s">
        <v>20</v>
      </c>
      <c r="D101" s="5" t="s">
        <v>44</v>
      </c>
      <c r="E101" s="10">
        <f>IFERROR(VLOOKUP(C101,Assets!$A:$G,7,FALSE),0)</f>
        <v>160</v>
      </c>
      <c r="F101" s="11" t="s">
        <v>45</v>
      </c>
      <c r="G101" s="6"/>
      <c r="H101" s="10">
        <f t="shared" si="3"/>
        <v>160</v>
      </c>
    </row>
    <row r="102" spans="1:8" x14ac:dyDescent="0.35">
      <c r="A102" s="8">
        <v>46210</v>
      </c>
      <c r="B102" s="8">
        <f t="shared" si="2"/>
        <v>46204</v>
      </c>
      <c r="C102" t="s">
        <v>25</v>
      </c>
      <c r="D102" s="5" t="s">
        <v>44</v>
      </c>
      <c r="E102" s="10">
        <f>IFERROR(VLOOKUP(C102,Assets!$A:$G,7,FALSE),0)</f>
        <v>40</v>
      </c>
      <c r="F102" s="11" t="s">
        <v>45</v>
      </c>
      <c r="G102" s="6"/>
      <c r="H102" s="10">
        <f t="shared" si="3"/>
        <v>40</v>
      </c>
    </row>
    <row r="103" spans="1:8" x14ac:dyDescent="0.35">
      <c r="A103" s="8">
        <v>46217</v>
      </c>
      <c r="B103" s="8">
        <f t="shared" si="2"/>
        <v>46204</v>
      </c>
      <c r="C103" t="s">
        <v>25</v>
      </c>
      <c r="D103" s="5" t="s">
        <v>44</v>
      </c>
      <c r="E103" s="10">
        <f>IFERROR(VLOOKUP(C103,Assets!$A:$G,7,FALSE),0)</f>
        <v>40</v>
      </c>
      <c r="F103" s="11" t="s">
        <v>45</v>
      </c>
      <c r="G103" s="6"/>
      <c r="H103" s="10">
        <f t="shared" si="3"/>
        <v>40</v>
      </c>
    </row>
    <row r="104" spans="1:8" x14ac:dyDescent="0.35">
      <c r="A104" s="8">
        <v>46224</v>
      </c>
      <c r="B104" s="8">
        <f t="shared" si="2"/>
        <v>46204</v>
      </c>
      <c r="C104" t="s">
        <v>25</v>
      </c>
      <c r="D104" s="5" t="s">
        <v>44</v>
      </c>
      <c r="E104" s="10">
        <f>IFERROR(VLOOKUP(C104,Assets!$A:$G,7,FALSE),0)</f>
        <v>40</v>
      </c>
      <c r="F104" s="11" t="s">
        <v>45</v>
      </c>
      <c r="G104" s="6"/>
      <c r="H104" s="10">
        <f t="shared" si="3"/>
        <v>40</v>
      </c>
    </row>
    <row r="105" spans="1:8" x14ac:dyDescent="0.35">
      <c r="A105" s="8">
        <v>46231</v>
      </c>
      <c r="B105" s="8">
        <f t="shared" si="2"/>
        <v>46204</v>
      </c>
      <c r="C105" t="s">
        <v>25</v>
      </c>
      <c r="D105" s="5" t="s">
        <v>44</v>
      </c>
      <c r="E105" s="10">
        <f>IFERROR(VLOOKUP(C105,Assets!$A:$G,7,FALSE),0)</f>
        <v>40</v>
      </c>
      <c r="F105" s="11" t="s">
        <v>45</v>
      </c>
      <c r="G105" s="6"/>
      <c r="H105" s="10">
        <f t="shared" si="3"/>
        <v>40</v>
      </c>
    </row>
    <row r="106" spans="1:8" x14ac:dyDescent="0.35">
      <c r="A106" s="8">
        <v>46210</v>
      </c>
      <c r="B106" s="8">
        <f t="shared" si="2"/>
        <v>46204</v>
      </c>
      <c r="C106" t="s">
        <v>26</v>
      </c>
      <c r="D106" s="5" t="s">
        <v>44</v>
      </c>
      <c r="E106" s="10">
        <f>IFERROR(VLOOKUP(C106,Assets!$A:$G,7,FALSE),0)</f>
        <v>27</v>
      </c>
      <c r="F106" s="11" t="s">
        <v>45</v>
      </c>
      <c r="G106" s="6"/>
      <c r="H106" s="10">
        <f t="shared" si="3"/>
        <v>27</v>
      </c>
    </row>
    <row r="107" spans="1:8" x14ac:dyDescent="0.35">
      <c r="A107" s="8">
        <v>46217</v>
      </c>
      <c r="B107" s="8">
        <f t="shared" si="2"/>
        <v>46204</v>
      </c>
      <c r="C107" t="s">
        <v>26</v>
      </c>
      <c r="D107" s="5" t="s">
        <v>44</v>
      </c>
      <c r="E107" s="10">
        <f>IFERROR(VLOOKUP(C107,Assets!$A:$G,7,FALSE),0)</f>
        <v>27</v>
      </c>
      <c r="F107" s="11" t="s">
        <v>45</v>
      </c>
      <c r="G107" s="6"/>
      <c r="H107" s="10">
        <f t="shared" si="3"/>
        <v>27</v>
      </c>
    </row>
    <row r="108" spans="1:8" x14ac:dyDescent="0.35">
      <c r="A108" s="8">
        <v>46224</v>
      </c>
      <c r="B108" s="8">
        <f t="shared" si="2"/>
        <v>46204</v>
      </c>
      <c r="C108" t="s">
        <v>26</v>
      </c>
      <c r="D108" s="5" t="s">
        <v>44</v>
      </c>
      <c r="E108" s="10">
        <f>IFERROR(VLOOKUP(C108,Assets!$A:$G,7,FALSE),0)</f>
        <v>27</v>
      </c>
      <c r="F108" s="11" t="s">
        <v>45</v>
      </c>
      <c r="G108" s="6"/>
      <c r="H108" s="10">
        <f t="shared" si="3"/>
        <v>27</v>
      </c>
    </row>
    <row r="109" spans="1:8" x14ac:dyDescent="0.35">
      <c r="A109" s="8">
        <v>46231</v>
      </c>
      <c r="B109" s="8">
        <f t="shared" si="2"/>
        <v>46204</v>
      </c>
      <c r="C109" t="s">
        <v>26</v>
      </c>
      <c r="D109" s="5" t="s">
        <v>44</v>
      </c>
      <c r="E109" s="10">
        <f>IFERROR(VLOOKUP(C109,Assets!$A:$G,7,FALSE),0)</f>
        <v>27</v>
      </c>
      <c r="F109" s="11" t="s">
        <v>45</v>
      </c>
      <c r="G109" s="6"/>
      <c r="H109" s="10">
        <f t="shared" si="3"/>
        <v>27</v>
      </c>
    </row>
    <row r="110" spans="1:8" x14ac:dyDescent="0.35">
      <c r="A110" s="8">
        <v>46210</v>
      </c>
      <c r="B110" s="8">
        <f t="shared" si="2"/>
        <v>46204</v>
      </c>
      <c r="C110" t="s">
        <v>29</v>
      </c>
      <c r="D110" s="5" t="s">
        <v>44</v>
      </c>
      <c r="E110" s="10">
        <f>IFERROR(VLOOKUP(C110,Assets!$A:$G,7,FALSE),0)</f>
        <v>20</v>
      </c>
      <c r="F110" s="11" t="s">
        <v>45</v>
      </c>
      <c r="G110" s="6"/>
      <c r="H110" s="10">
        <f t="shared" si="3"/>
        <v>20</v>
      </c>
    </row>
    <row r="111" spans="1:8" x14ac:dyDescent="0.35">
      <c r="A111" s="8">
        <v>46217</v>
      </c>
      <c r="B111" s="8">
        <f t="shared" si="2"/>
        <v>46204</v>
      </c>
      <c r="C111" t="s">
        <v>29</v>
      </c>
      <c r="D111" s="5" t="s">
        <v>44</v>
      </c>
      <c r="E111" s="10">
        <f>IFERROR(VLOOKUP(C111,Assets!$A:$G,7,FALSE),0)</f>
        <v>20</v>
      </c>
      <c r="F111" s="11" t="s">
        <v>45</v>
      </c>
      <c r="G111" s="6"/>
      <c r="H111" s="10">
        <f t="shared" si="3"/>
        <v>20</v>
      </c>
    </row>
    <row r="112" spans="1:8" x14ac:dyDescent="0.35">
      <c r="A112" s="8">
        <v>46224</v>
      </c>
      <c r="B112" s="8">
        <f t="shared" si="2"/>
        <v>46204</v>
      </c>
      <c r="C112" t="s">
        <v>29</v>
      </c>
      <c r="D112" s="5" t="s">
        <v>44</v>
      </c>
      <c r="E112" s="10">
        <f>IFERROR(VLOOKUP(C112,Assets!$A:$G,7,FALSE),0)</f>
        <v>20</v>
      </c>
      <c r="F112" s="11" t="s">
        <v>45</v>
      </c>
      <c r="G112" s="6"/>
      <c r="H112" s="10">
        <f t="shared" si="3"/>
        <v>20</v>
      </c>
    </row>
    <row r="113" spans="1:8" x14ac:dyDescent="0.35">
      <c r="A113" s="8">
        <v>46231</v>
      </c>
      <c r="B113" s="8">
        <f t="shared" si="2"/>
        <v>46204</v>
      </c>
      <c r="C113" t="s">
        <v>29</v>
      </c>
      <c r="D113" s="5" t="s">
        <v>44</v>
      </c>
      <c r="E113" s="10">
        <f>IFERROR(VLOOKUP(C113,Assets!$A:$G,7,FALSE),0)</f>
        <v>20</v>
      </c>
      <c r="F113" s="11" t="s">
        <v>45</v>
      </c>
      <c r="G113" s="6"/>
      <c r="H113" s="10">
        <f t="shared" si="3"/>
        <v>20</v>
      </c>
    </row>
    <row r="114" spans="1:8" x14ac:dyDescent="0.35">
      <c r="A114" s="8">
        <v>46210</v>
      </c>
      <c r="B114" s="8">
        <f t="shared" si="2"/>
        <v>46204</v>
      </c>
      <c r="C114" t="s">
        <v>31</v>
      </c>
      <c r="D114" s="5" t="s">
        <v>44</v>
      </c>
      <c r="E114" s="10">
        <f>IFERROR(VLOOKUP(C114,Assets!$A:$G,7,FALSE),0)</f>
        <v>27</v>
      </c>
      <c r="F114" s="11" t="s">
        <v>45</v>
      </c>
      <c r="G114" s="6"/>
      <c r="H114" s="10">
        <f t="shared" si="3"/>
        <v>27</v>
      </c>
    </row>
    <row r="115" spans="1:8" x14ac:dyDescent="0.35">
      <c r="A115" s="8">
        <v>46217</v>
      </c>
      <c r="B115" s="8">
        <f t="shared" si="2"/>
        <v>46204</v>
      </c>
      <c r="C115" t="s">
        <v>31</v>
      </c>
      <c r="D115" s="5" t="s">
        <v>44</v>
      </c>
      <c r="E115" s="10">
        <f>IFERROR(VLOOKUP(C115,Assets!$A:$G,7,FALSE),0)</f>
        <v>27</v>
      </c>
      <c r="F115" s="11" t="s">
        <v>45</v>
      </c>
      <c r="G115" s="6"/>
      <c r="H115" s="10">
        <f t="shared" si="3"/>
        <v>27</v>
      </c>
    </row>
    <row r="116" spans="1:8" x14ac:dyDescent="0.35">
      <c r="A116" s="8">
        <v>46224</v>
      </c>
      <c r="B116" s="8">
        <f t="shared" si="2"/>
        <v>46204</v>
      </c>
      <c r="C116" t="s">
        <v>31</v>
      </c>
      <c r="D116" s="5" t="s">
        <v>44</v>
      </c>
      <c r="E116" s="10">
        <f>IFERROR(VLOOKUP(C116,Assets!$A:$G,7,FALSE),0)</f>
        <v>27</v>
      </c>
      <c r="F116" s="11" t="s">
        <v>45</v>
      </c>
      <c r="G116" s="6"/>
      <c r="H116" s="10">
        <f t="shared" si="3"/>
        <v>27</v>
      </c>
    </row>
    <row r="117" spans="1:8" x14ac:dyDescent="0.35">
      <c r="A117" s="8">
        <v>46231</v>
      </c>
      <c r="B117" s="8">
        <f t="shared" si="2"/>
        <v>46204</v>
      </c>
      <c r="C117" t="s">
        <v>31</v>
      </c>
      <c r="D117" s="5" t="s">
        <v>44</v>
      </c>
      <c r="E117" s="10">
        <f>IFERROR(VLOOKUP(C117,Assets!$A:$G,7,FALSE),0)</f>
        <v>27</v>
      </c>
      <c r="F117" s="11" t="s">
        <v>45</v>
      </c>
      <c r="G117" s="6"/>
      <c r="H117" s="10">
        <f t="shared" si="3"/>
        <v>27</v>
      </c>
    </row>
    <row r="118" spans="1:8" x14ac:dyDescent="0.35">
      <c r="A118" s="8">
        <v>46210</v>
      </c>
      <c r="B118" s="8">
        <f t="shared" si="2"/>
        <v>46204</v>
      </c>
      <c r="C118" t="s">
        <v>32</v>
      </c>
      <c r="D118" s="5" t="s">
        <v>44</v>
      </c>
      <c r="E118" s="10">
        <f>IFERROR(VLOOKUP(C118,Assets!$A:$G,7,FALSE),0)</f>
        <v>45</v>
      </c>
      <c r="F118" s="11" t="s">
        <v>45</v>
      </c>
      <c r="G118" s="6"/>
      <c r="H118" s="10">
        <f t="shared" si="3"/>
        <v>45</v>
      </c>
    </row>
    <row r="119" spans="1:8" x14ac:dyDescent="0.35">
      <c r="A119" s="8">
        <v>46217</v>
      </c>
      <c r="B119" s="8">
        <f t="shared" si="2"/>
        <v>46204</v>
      </c>
      <c r="C119" t="s">
        <v>32</v>
      </c>
      <c r="D119" s="5" t="s">
        <v>44</v>
      </c>
      <c r="E119" s="10">
        <f>IFERROR(VLOOKUP(C119,Assets!$A:$G,7,FALSE),0)</f>
        <v>45</v>
      </c>
      <c r="F119" s="11" t="s">
        <v>45</v>
      </c>
      <c r="G119" s="6"/>
      <c r="H119" s="10">
        <f t="shared" si="3"/>
        <v>45</v>
      </c>
    </row>
    <row r="120" spans="1:8" x14ac:dyDescent="0.35">
      <c r="A120" s="8">
        <v>46224</v>
      </c>
      <c r="B120" s="8">
        <f t="shared" si="2"/>
        <v>46204</v>
      </c>
      <c r="C120" t="s">
        <v>32</v>
      </c>
      <c r="D120" s="5" t="s">
        <v>44</v>
      </c>
      <c r="E120" s="10">
        <f>IFERROR(VLOOKUP(C120,Assets!$A:$G,7,FALSE),0)</f>
        <v>45</v>
      </c>
      <c r="F120" s="11" t="s">
        <v>45</v>
      </c>
      <c r="G120" s="6"/>
      <c r="H120" s="10">
        <f t="shared" si="3"/>
        <v>45</v>
      </c>
    </row>
    <row r="121" spans="1:8" x14ac:dyDescent="0.35">
      <c r="A121" s="8">
        <v>46231</v>
      </c>
      <c r="B121" s="8">
        <f t="shared" si="2"/>
        <v>46204</v>
      </c>
      <c r="C121" t="s">
        <v>32</v>
      </c>
      <c r="D121" s="5" t="s">
        <v>44</v>
      </c>
      <c r="E121" s="10">
        <f>IFERROR(VLOOKUP(C121,Assets!$A:$G,7,FALSE),0)</f>
        <v>45</v>
      </c>
      <c r="F121" s="11" t="s">
        <v>45</v>
      </c>
      <c r="G121" s="6"/>
      <c r="H121" s="10">
        <f t="shared" si="3"/>
        <v>45</v>
      </c>
    </row>
    <row r="122" spans="1:8" x14ac:dyDescent="0.35">
      <c r="A122" s="8">
        <v>46210</v>
      </c>
      <c r="B122" s="8">
        <f t="shared" si="2"/>
        <v>46204</v>
      </c>
      <c r="C122" t="s">
        <v>33</v>
      </c>
      <c r="D122" s="5" t="s">
        <v>44</v>
      </c>
      <c r="E122" s="10">
        <f>IFERROR(VLOOKUP(C122,Assets!$A:$G,7,FALSE),0)</f>
        <v>41</v>
      </c>
      <c r="F122" s="11" t="s">
        <v>45</v>
      </c>
      <c r="G122" s="6"/>
      <c r="H122" s="10">
        <f t="shared" si="3"/>
        <v>41</v>
      </c>
    </row>
    <row r="123" spans="1:8" x14ac:dyDescent="0.35">
      <c r="A123" s="8">
        <v>46217</v>
      </c>
      <c r="B123" s="8">
        <f t="shared" si="2"/>
        <v>46204</v>
      </c>
      <c r="C123" t="s">
        <v>33</v>
      </c>
      <c r="D123" s="5" t="s">
        <v>44</v>
      </c>
      <c r="E123" s="10">
        <f>IFERROR(VLOOKUP(C123,Assets!$A:$G,7,FALSE),0)</f>
        <v>41</v>
      </c>
      <c r="F123" s="11" t="s">
        <v>45</v>
      </c>
      <c r="G123" s="6"/>
      <c r="H123" s="10">
        <f t="shared" si="3"/>
        <v>41</v>
      </c>
    </row>
    <row r="124" spans="1:8" x14ac:dyDescent="0.35">
      <c r="A124" s="8">
        <v>46224</v>
      </c>
      <c r="B124" s="8">
        <f t="shared" si="2"/>
        <v>46204</v>
      </c>
      <c r="C124" t="s">
        <v>33</v>
      </c>
      <c r="D124" s="5" t="s">
        <v>44</v>
      </c>
      <c r="E124" s="10">
        <f>IFERROR(VLOOKUP(C124,Assets!$A:$G,7,FALSE),0)</f>
        <v>41</v>
      </c>
      <c r="F124" s="11" t="s">
        <v>45</v>
      </c>
      <c r="G124" s="6"/>
      <c r="H124" s="10">
        <f t="shared" si="3"/>
        <v>41</v>
      </c>
    </row>
    <row r="125" spans="1:8" x14ac:dyDescent="0.35">
      <c r="A125" s="8">
        <v>46231</v>
      </c>
      <c r="B125" s="8">
        <f t="shared" si="2"/>
        <v>46204</v>
      </c>
      <c r="C125" t="s">
        <v>33</v>
      </c>
      <c r="D125" s="5" t="s">
        <v>44</v>
      </c>
      <c r="E125" s="10">
        <f>IFERROR(VLOOKUP(C125,Assets!$A:$G,7,FALSE),0)</f>
        <v>41</v>
      </c>
      <c r="F125" s="11" t="s">
        <v>45</v>
      </c>
      <c r="G125" s="6"/>
      <c r="H125" s="10">
        <f t="shared" si="3"/>
        <v>41</v>
      </c>
    </row>
    <row r="126" spans="1:8" x14ac:dyDescent="0.35">
      <c r="A126" s="8">
        <v>46210</v>
      </c>
      <c r="B126" s="8">
        <f t="shared" si="2"/>
        <v>46204</v>
      </c>
      <c r="C126" t="s">
        <v>34</v>
      </c>
      <c r="D126" s="5" t="s">
        <v>44</v>
      </c>
      <c r="E126" s="10">
        <f>IFERROR(VLOOKUP(C126,Assets!$A:$G,7,FALSE),0)</f>
        <v>15</v>
      </c>
      <c r="F126" s="11" t="s">
        <v>45</v>
      </c>
      <c r="G126" s="6"/>
      <c r="H126" s="10">
        <f t="shared" si="3"/>
        <v>15</v>
      </c>
    </row>
    <row r="127" spans="1:8" x14ac:dyDescent="0.35">
      <c r="A127" s="8">
        <v>46217</v>
      </c>
      <c r="B127" s="8">
        <f t="shared" si="2"/>
        <v>46204</v>
      </c>
      <c r="C127" t="s">
        <v>34</v>
      </c>
      <c r="D127" s="5" t="s">
        <v>44</v>
      </c>
      <c r="E127" s="10">
        <f>IFERROR(VLOOKUP(C127,Assets!$A:$G,7,FALSE),0)</f>
        <v>15</v>
      </c>
      <c r="F127" s="11" t="s">
        <v>45</v>
      </c>
      <c r="G127" s="6"/>
      <c r="H127" s="10">
        <f t="shared" si="3"/>
        <v>15</v>
      </c>
    </row>
    <row r="128" spans="1:8" x14ac:dyDescent="0.35">
      <c r="A128" s="8">
        <v>46224</v>
      </c>
      <c r="B128" s="8">
        <f t="shared" si="2"/>
        <v>46204</v>
      </c>
      <c r="C128" t="s">
        <v>34</v>
      </c>
      <c r="D128" s="5" t="s">
        <v>44</v>
      </c>
      <c r="E128" s="10">
        <f>IFERROR(VLOOKUP(C128,Assets!$A:$G,7,FALSE),0)</f>
        <v>15</v>
      </c>
      <c r="F128" s="11" t="s">
        <v>45</v>
      </c>
      <c r="G128" s="6"/>
      <c r="H128" s="10">
        <f t="shared" si="3"/>
        <v>15</v>
      </c>
    </row>
    <row r="129" spans="1:8" x14ac:dyDescent="0.35">
      <c r="A129" s="8">
        <v>46231</v>
      </c>
      <c r="B129" s="8">
        <f t="shared" si="2"/>
        <v>46204</v>
      </c>
      <c r="C129" t="s">
        <v>34</v>
      </c>
      <c r="D129" s="5" t="s">
        <v>44</v>
      </c>
      <c r="E129" s="10">
        <f>IFERROR(VLOOKUP(C129,Assets!$A:$G,7,FALSE),0)</f>
        <v>15</v>
      </c>
      <c r="F129" s="11" t="s">
        <v>45</v>
      </c>
      <c r="G129" s="6"/>
      <c r="H129" s="10">
        <f t="shared" si="3"/>
        <v>15</v>
      </c>
    </row>
    <row r="130" spans="1:8" x14ac:dyDescent="0.35">
      <c r="A130" s="8">
        <v>46241</v>
      </c>
      <c r="B130" s="8">
        <f t="shared" ref="B130:B193" si="4">DATE(YEAR(A130),MONTH(A130),1)</f>
        <v>46235</v>
      </c>
      <c r="C130" t="s">
        <v>20</v>
      </c>
      <c r="D130" s="5" t="s">
        <v>44</v>
      </c>
      <c r="E130" s="10">
        <f>IFERROR(VLOOKUP(C130,Assets!$A:$G,7,FALSE),0)</f>
        <v>160</v>
      </c>
      <c r="F130" s="11" t="s">
        <v>45</v>
      </c>
      <c r="G130" s="6"/>
      <c r="H130" s="10">
        <f t="shared" ref="H130:H193" si="5">IF(F130="No",0,IF(F130="Edited",IF(G130="",E130,G130),E130))</f>
        <v>160</v>
      </c>
    </row>
    <row r="131" spans="1:8" x14ac:dyDescent="0.35">
      <c r="A131" s="8">
        <v>46248</v>
      </c>
      <c r="B131" s="8">
        <f t="shared" si="4"/>
        <v>46235</v>
      </c>
      <c r="C131" t="s">
        <v>20</v>
      </c>
      <c r="D131" s="5" t="s">
        <v>44</v>
      </c>
      <c r="E131" s="10">
        <f>IFERROR(VLOOKUP(C131,Assets!$A:$G,7,FALSE),0)</f>
        <v>160</v>
      </c>
      <c r="F131" s="11" t="s">
        <v>45</v>
      </c>
      <c r="G131" s="6"/>
      <c r="H131" s="10">
        <f t="shared" si="5"/>
        <v>160</v>
      </c>
    </row>
    <row r="132" spans="1:8" x14ac:dyDescent="0.35">
      <c r="A132" s="8">
        <v>46255</v>
      </c>
      <c r="B132" s="8">
        <f t="shared" si="4"/>
        <v>46235</v>
      </c>
      <c r="C132" t="s">
        <v>20</v>
      </c>
      <c r="D132" s="5" t="s">
        <v>44</v>
      </c>
      <c r="E132" s="10">
        <f>IFERROR(VLOOKUP(C132,Assets!$A:$G,7,FALSE),0)</f>
        <v>160</v>
      </c>
      <c r="F132" s="11" t="s">
        <v>45</v>
      </c>
      <c r="G132" s="6"/>
      <c r="H132" s="10">
        <f t="shared" si="5"/>
        <v>160</v>
      </c>
    </row>
    <row r="133" spans="1:8" x14ac:dyDescent="0.35">
      <c r="A133" s="8">
        <v>46262</v>
      </c>
      <c r="B133" s="8">
        <f t="shared" si="4"/>
        <v>46235</v>
      </c>
      <c r="C133" t="s">
        <v>20</v>
      </c>
      <c r="D133" s="5" t="s">
        <v>44</v>
      </c>
      <c r="E133" s="10">
        <f>IFERROR(VLOOKUP(C133,Assets!$A:$G,7,FALSE),0)</f>
        <v>160</v>
      </c>
      <c r="F133" s="11" t="s">
        <v>45</v>
      </c>
      <c r="G133" s="6"/>
      <c r="H133" s="10">
        <f t="shared" si="5"/>
        <v>160</v>
      </c>
    </row>
    <row r="134" spans="1:8" x14ac:dyDescent="0.35">
      <c r="A134" s="8">
        <v>46241</v>
      </c>
      <c r="B134" s="8">
        <f t="shared" si="4"/>
        <v>46235</v>
      </c>
      <c r="C134" t="s">
        <v>25</v>
      </c>
      <c r="D134" s="5" t="s">
        <v>44</v>
      </c>
      <c r="E134" s="10">
        <f>IFERROR(VLOOKUP(C134,Assets!$A:$G,7,FALSE),0)</f>
        <v>40</v>
      </c>
      <c r="F134" s="11" t="s">
        <v>45</v>
      </c>
      <c r="G134" s="6"/>
      <c r="H134" s="10">
        <f t="shared" si="5"/>
        <v>40</v>
      </c>
    </row>
    <row r="135" spans="1:8" x14ac:dyDescent="0.35">
      <c r="A135" s="8">
        <v>46248</v>
      </c>
      <c r="B135" s="8">
        <f t="shared" si="4"/>
        <v>46235</v>
      </c>
      <c r="C135" t="s">
        <v>25</v>
      </c>
      <c r="D135" s="5" t="s">
        <v>44</v>
      </c>
      <c r="E135" s="10">
        <f>IFERROR(VLOOKUP(C135,Assets!$A:$G,7,FALSE),0)</f>
        <v>40</v>
      </c>
      <c r="F135" s="11" t="s">
        <v>45</v>
      </c>
      <c r="G135" s="6"/>
      <c r="H135" s="10">
        <f t="shared" si="5"/>
        <v>40</v>
      </c>
    </row>
    <row r="136" spans="1:8" x14ac:dyDescent="0.35">
      <c r="A136" s="8">
        <v>46255</v>
      </c>
      <c r="B136" s="8">
        <f t="shared" si="4"/>
        <v>46235</v>
      </c>
      <c r="C136" t="s">
        <v>25</v>
      </c>
      <c r="D136" s="5" t="s">
        <v>44</v>
      </c>
      <c r="E136" s="10">
        <f>IFERROR(VLOOKUP(C136,Assets!$A:$G,7,FALSE),0)</f>
        <v>40</v>
      </c>
      <c r="F136" s="11" t="s">
        <v>45</v>
      </c>
      <c r="G136" s="6"/>
      <c r="H136" s="10">
        <f t="shared" si="5"/>
        <v>40</v>
      </c>
    </row>
    <row r="137" spans="1:8" x14ac:dyDescent="0.35">
      <c r="A137" s="8">
        <v>46262</v>
      </c>
      <c r="B137" s="8">
        <f t="shared" si="4"/>
        <v>46235</v>
      </c>
      <c r="C137" t="s">
        <v>25</v>
      </c>
      <c r="D137" s="5" t="s">
        <v>44</v>
      </c>
      <c r="E137" s="10">
        <f>IFERROR(VLOOKUP(C137,Assets!$A:$G,7,FALSE),0)</f>
        <v>40</v>
      </c>
      <c r="F137" s="11" t="s">
        <v>45</v>
      </c>
      <c r="G137" s="6"/>
      <c r="H137" s="10">
        <f t="shared" si="5"/>
        <v>40</v>
      </c>
    </row>
    <row r="138" spans="1:8" x14ac:dyDescent="0.35">
      <c r="A138" s="8">
        <v>46241</v>
      </c>
      <c r="B138" s="8">
        <f t="shared" si="4"/>
        <v>46235</v>
      </c>
      <c r="C138" t="s">
        <v>26</v>
      </c>
      <c r="D138" s="5" t="s">
        <v>44</v>
      </c>
      <c r="E138" s="10">
        <f>IFERROR(VLOOKUP(C138,Assets!$A:$G,7,FALSE),0)</f>
        <v>27</v>
      </c>
      <c r="F138" s="11" t="s">
        <v>45</v>
      </c>
      <c r="G138" s="6"/>
      <c r="H138" s="10">
        <f t="shared" si="5"/>
        <v>27</v>
      </c>
    </row>
    <row r="139" spans="1:8" x14ac:dyDescent="0.35">
      <c r="A139" s="8">
        <v>46248</v>
      </c>
      <c r="B139" s="8">
        <f t="shared" si="4"/>
        <v>46235</v>
      </c>
      <c r="C139" t="s">
        <v>26</v>
      </c>
      <c r="D139" s="5" t="s">
        <v>44</v>
      </c>
      <c r="E139" s="10">
        <f>IFERROR(VLOOKUP(C139,Assets!$A:$G,7,FALSE),0)</f>
        <v>27</v>
      </c>
      <c r="F139" s="11" t="s">
        <v>45</v>
      </c>
      <c r="G139" s="6"/>
      <c r="H139" s="10">
        <f t="shared" si="5"/>
        <v>27</v>
      </c>
    </row>
    <row r="140" spans="1:8" x14ac:dyDescent="0.35">
      <c r="A140" s="8">
        <v>46255</v>
      </c>
      <c r="B140" s="8">
        <f t="shared" si="4"/>
        <v>46235</v>
      </c>
      <c r="C140" t="s">
        <v>26</v>
      </c>
      <c r="D140" s="5" t="s">
        <v>44</v>
      </c>
      <c r="E140" s="10">
        <f>IFERROR(VLOOKUP(C140,Assets!$A:$G,7,FALSE),0)</f>
        <v>27</v>
      </c>
      <c r="F140" s="11" t="s">
        <v>45</v>
      </c>
      <c r="G140" s="6"/>
      <c r="H140" s="10">
        <f t="shared" si="5"/>
        <v>27</v>
      </c>
    </row>
    <row r="141" spans="1:8" x14ac:dyDescent="0.35">
      <c r="A141" s="8">
        <v>46262</v>
      </c>
      <c r="B141" s="8">
        <f t="shared" si="4"/>
        <v>46235</v>
      </c>
      <c r="C141" t="s">
        <v>26</v>
      </c>
      <c r="D141" s="5" t="s">
        <v>44</v>
      </c>
      <c r="E141" s="10">
        <f>IFERROR(VLOOKUP(C141,Assets!$A:$G,7,FALSE),0)</f>
        <v>27</v>
      </c>
      <c r="F141" s="11" t="s">
        <v>45</v>
      </c>
      <c r="G141" s="6"/>
      <c r="H141" s="10">
        <f t="shared" si="5"/>
        <v>27</v>
      </c>
    </row>
    <row r="142" spans="1:8" x14ac:dyDescent="0.35">
      <c r="A142" s="8">
        <v>46241</v>
      </c>
      <c r="B142" s="8">
        <f t="shared" si="4"/>
        <v>46235</v>
      </c>
      <c r="C142" t="s">
        <v>29</v>
      </c>
      <c r="D142" s="5" t="s">
        <v>44</v>
      </c>
      <c r="E142" s="10">
        <f>IFERROR(VLOOKUP(C142,Assets!$A:$G,7,FALSE),0)</f>
        <v>20</v>
      </c>
      <c r="F142" s="11" t="s">
        <v>45</v>
      </c>
      <c r="G142" s="6"/>
      <c r="H142" s="10">
        <f t="shared" si="5"/>
        <v>20</v>
      </c>
    </row>
    <row r="143" spans="1:8" x14ac:dyDescent="0.35">
      <c r="A143" s="8">
        <v>46248</v>
      </c>
      <c r="B143" s="8">
        <f t="shared" si="4"/>
        <v>46235</v>
      </c>
      <c r="C143" t="s">
        <v>29</v>
      </c>
      <c r="D143" s="5" t="s">
        <v>44</v>
      </c>
      <c r="E143" s="10">
        <f>IFERROR(VLOOKUP(C143,Assets!$A:$G,7,FALSE),0)</f>
        <v>20</v>
      </c>
      <c r="F143" s="11" t="s">
        <v>45</v>
      </c>
      <c r="G143" s="6"/>
      <c r="H143" s="10">
        <f t="shared" si="5"/>
        <v>20</v>
      </c>
    </row>
    <row r="144" spans="1:8" x14ac:dyDescent="0.35">
      <c r="A144" s="8">
        <v>46255</v>
      </c>
      <c r="B144" s="8">
        <f t="shared" si="4"/>
        <v>46235</v>
      </c>
      <c r="C144" t="s">
        <v>29</v>
      </c>
      <c r="D144" s="5" t="s">
        <v>44</v>
      </c>
      <c r="E144" s="10">
        <f>IFERROR(VLOOKUP(C144,Assets!$A:$G,7,FALSE),0)</f>
        <v>20</v>
      </c>
      <c r="F144" s="11" t="s">
        <v>45</v>
      </c>
      <c r="G144" s="6"/>
      <c r="H144" s="10">
        <f t="shared" si="5"/>
        <v>20</v>
      </c>
    </row>
    <row r="145" spans="1:8" x14ac:dyDescent="0.35">
      <c r="A145" s="8">
        <v>46262</v>
      </c>
      <c r="B145" s="8">
        <f t="shared" si="4"/>
        <v>46235</v>
      </c>
      <c r="C145" t="s">
        <v>29</v>
      </c>
      <c r="D145" s="5" t="s">
        <v>44</v>
      </c>
      <c r="E145" s="10">
        <f>IFERROR(VLOOKUP(C145,Assets!$A:$G,7,FALSE),0)</f>
        <v>20</v>
      </c>
      <c r="F145" s="11" t="s">
        <v>45</v>
      </c>
      <c r="G145" s="6"/>
      <c r="H145" s="10">
        <f t="shared" si="5"/>
        <v>20</v>
      </c>
    </row>
    <row r="146" spans="1:8" x14ac:dyDescent="0.35">
      <c r="A146" s="8">
        <v>46241</v>
      </c>
      <c r="B146" s="8">
        <f t="shared" si="4"/>
        <v>46235</v>
      </c>
      <c r="C146" t="s">
        <v>31</v>
      </c>
      <c r="D146" s="5" t="s">
        <v>44</v>
      </c>
      <c r="E146" s="10">
        <f>IFERROR(VLOOKUP(C146,Assets!$A:$G,7,FALSE),0)</f>
        <v>27</v>
      </c>
      <c r="F146" s="11" t="s">
        <v>45</v>
      </c>
      <c r="G146" s="6"/>
      <c r="H146" s="10">
        <f t="shared" si="5"/>
        <v>27</v>
      </c>
    </row>
    <row r="147" spans="1:8" x14ac:dyDescent="0.35">
      <c r="A147" s="8">
        <v>46248</v>
      </c>
      <c r="B147" s="8">
        <f t="shared" si="4"/>
        <v>46235</v>
      </c>
      <c r="C147" t="s">
        <v>31</v>
      </c>
      <c r="D147" s="5" t="s">
        <v>44</v>
      </c>
      <c r="E147" s="10">
        <f>IFERROR(VLOOKUP(C147,Assets!$A:$G,7,FALSE),0)</f>
        <v>27</v>
      </c>
      <c r="F147" s="11" t="s">
        <v>45</v>
      </c>
      <c r="G147" s="6"/>
      <c r="H147" s="10">
        <f t="shared" si="5"/>
        <v>27</v>
      </c>
    </row>
    <row r="148" spans="1:8" x14ac:dyDescent="0.35">
      <c r="A148" s="8">
        <v>46255</v>
      </c>
      <c r="B148" s="8">
        <f t="shared" si="4"/>
        <v>46235</v>
      </c>
      <c r="C148" t="s">
        <v>31</v>
      </c>
      <c r="D148" s="5" t="s">
        <v>44</v>
      </c>
      <c r="E148" s="10">
        <f>IFERROR(VLOOKUP(C148,Assets!$A:$G,7,FALSE),0)</f>
        <v>27</v>
      </c>
      <c r="F148" s="11" t="s">
        <v>45</v>
      </c>
      <c r="G148" s="6"/>
      <c r="H148" s="10">
        <f t="shared" si="5"/>
        <v>27</v>
      </c>
    </row>
    <row r="149" spans="1:8" x14ac:dyDescent="0.35">
      <c r="A149" s="8">
        <v>46262</v>
      </c>
      <c r="B149" s="8">
        <f t="shared" si="4"/>
        <v>46235</v>
      </c>
      <c r="C149" t="s">
        <v>31</v>
      </c>
      <c r="D149" s="5" t="s">
        <v>44</v>
      </c>
      <c r="E149" s="10">
        <f>IFERROR(VLOOKUP(C149,Assets!$A:$G,7,FALSE),0)</f>
        <v>27</v>
      </c>
      <c r="F149" s="11" t="s">
        <v>45</v>
      </c>
      <c r="G149" s="6"/>
      <c r="H149" s="10">
        <f t="shared" si="5"/>
        <v>27</v>
      </c>
    </row>
    <row r="150" spans="1:8" x14ac:dyDescent="0.35">
      <c r="A150" s="8">
        <v>46241</v>
      </c>
      <c r="B150" s="8">
        <f t="shared" si="4"/>
        <v>46235</v>
      </c>
      <c r="C150" t="s">
        <v>32</v>
      </c>
      <c r="D150" s="5" t="s">
        <v>44</v>
      </c>
      <c r="E150" s="10">
        <f>IFERROR(VLOOKUP(C150,Assets!$A:$G,7,FALSE),0)</f>
        <v>45</v>
      </c>
      <c r="F150" s="11" t="s">
        <v>45</v>
      </c>
      <c r="G150" s="6"/>
      <c r="H150" s="10">
        <f t="shared" si="5"/>
        <v>45</v>
      </c>
    </row>
    <row r="151" spans="1:8" x14ac:dyDescent="0.35">
      <c r="A151" s="8">
        <v>46248</v>
      </c>
      <c r="B151" s="8">
        <f t="shared" si="4"/>
        <v>46235</v>
      </c>
      <c r="C151" t="s">
        <v>32</v>
      </c>
      <c r="D151" s="5" t="s">
        <v>44</v>
      </c>
      <c r="E151" s="10">
        <f>IFERROR(VLOOKUP(C151,Assets!$A:$G,7,FALSE),0)</f>
        <v>45</v>
      </c>
      <c r="F151" s="11" t="s">
        <v>45</v>
      </c>
      <c r="G151" s="6"/>
      <c r="H151" s="10">
        <f t="shared" si="5"/>
        <v>45</v>
      </c>
    </row>
    <row r="152" spans="1:8" x14ac:dyDescent="0.35">
      <c r="A152" s="8">
        <v>46255</v>
      </c>
      <c r="B152" s="8">
        <f t="shared" si="4"/>
        <v>46235</v>
      </c>
      <c r="C152" t="s">
        <v>32</v>
      </c>
      <c r="D152" s="5" t="s">
        <v>44</v>
      </c>
      <c r="E152" s="10">
        <f>IFERROR(VLOOKUP(C152,Assets!$A:$G,7,FALSE),0)</f>
        <v>45</v>
      </c>
      <c r="F152" s="11" t="s">
        <v>45</v>
      </c>
      <c r="G152" s="6"/>
      <c r="H152" s="10">
        <f t="shared" si="5"/>
        <v>45</v>
      </c>
    </row>
    <row r="153" spans="1:8" x14ac:dyDescent="0.35">
      <c r="A153" s="8">
        <v>46262</v>
      </c>
      <c r="B153" s="8">
        <f t="shared" si="4"/>
        <v>46235</v>
      </c>
      <c r="C153" t="s">
        <v>32</v>
      </c>
      <c r="D153" s="5" t="s">
        <v>44</v>
      </c>
      <c r="E153" s="10">
        <f>IFERROR(VLOOKUP(C153,Assets!$A:$G,7,FALSE),0)</f>
        <v>45</v>
      </c>
      <c r="F153" s="11" t="s">
        <v>45</v>
      </c>
      <c r="G153" s="6"/>
      <c r="H153" s="10">
        <f t="shared" si="5"/>
        <v>45</v>
      </c>
    </row>
    <row r="154" spans="1:8" x14ac:dyDescent="0.35">
      <c r="A154" s="8">
        <v>46241</v>
      </c>
      <c r="B154" s="8">
        <f t="shared" si="4"/>
        <v>46235</v>
      </c>
      <c r="C154" t="s">
        <v>33</v>
      </c>
      <c r="D154" s="5" t="s">
        <v>44</v>
      </c>
      <c r="E154" s="10">
        <f>IFERROR(VLOOKUP(C154,Assets!$A:$G,7,FALSE),0)</f>
        <v>41</v>
      </c>
      <c r="F154" s="11" t="s">
        <v>45</v>
      </c>
      <c r="G154" s="6"/>
      <c r="H154" s="10">
        <f t="shared" si="5"/>
        <v>41</v>
      </c>
    </row>
    <row r="155" spans="1:8" x14ac:dyDescent="0.35">
      <c r="A155" s="8">
        <v>46248</v>
      </c>
      <c r="B155" s="8">
        <f t="shared" si="4"/>
        <v>46235</v>
      </c>
      <c r="C155" t="s">
        <v>33</v>
      </c>
      <c r="D155" s="5" t="s">
        <v>44</v>
      </c>
      <c r="E155" s="10">
        <f>IFERROR(VLOOKUP(C155,Assets!$A:$G,7,FALSE),0)</f>
        <v>41</v>
      </c>
      <c r="F155" s="11" t="s">
        <v>45</v>
      </c>
      <c r="G155" s="6"/>
      <c r="H155" s="10">
        <f t="shared" si="5"/>
        <v>41</v>
      </c>
    </row>
    <row r="156" spans="1:8" x14ac:dyDescent="0.35">
      <c r="A156" s="8">
        <v>46255</v>
      </c>
      <c r="B156" s="8">
        <f t="shared" si="4"/>
        <v>46235</v>
      </c>
      <c r="C156" t="s">
        <v>33</v>
      </c>
      <c r="D156" s="5" t="s">
        <v>44</v>
      </c>
      <c r="E156" s="10">
        <f>IFERROR(VLOOKUP(C156,Assets!$A:$G,7,FALSE),0)</f>
        <v>41</v>
      </c>
      <c r="F156" s="11" t="s">
        <v>45</v>
      </c>
      <c r="G156" s="6"/>
      <c r="H156" s="10">
        <f t="shared" si="5"/>
        <v>41</v>
      </c>
    </row>
    <row r="157" spans="1:8" x14ac:dyDescent="0.35">
      <c r="A157" s="8">
        <v>46262</v>
      </c>
      <c r="B157" s="8">
        <f t="shared" si="4"/>
        <v>46235</v>
      </c>
      <c r="C157" t="s">
        <v>33</v>
      </c>
      <c r="D157" s="5" t="s">
        <v>44</v>
      </c>
      <c r="E157" s="10">
        <f>IFERROR(VLOOKUP(C157,Assets!$A:$G,7,FALSE),0)</f>
        <v>41</v>
      </c>
      <c r="F157" s="11" t="s">
        <v>45</v>
      </c>
      <c r="G157" s="6"/>
      <c r="H157" s="10">
        <f t="shared" si="5"/>
        <v>41</v>
      </c>
    </row>
    <row r="158" spans="1:8" x14ac:dyDescent="0.35">
      <c r="A158" s="8">
        <v>46241</v>
      </c>
      <c r="B158" s="8">
        <f t="shared" si="4"/>
        <v>46235</v>
      </c>
      <c r="C158" t="s">
        <v>34</v>
      </c>
      <c r="D158" s="5" t="s">
        <v>44</v>
      </c>
      <c r="E158" s="10">
        <f>IFERROR(VLOOKUP(C158,Assets!$A:$G,7,FALSE),0)</f>
        <v>15</v>
      </c>
      <c r="F158" s="11" t="s">
        <v>45</v>
      </c>
      <c r="G158" s="6"/>
      <c r="H158" s="10">
        <f t="shared" si="5"/>
        <v>15</v>
      </c>
    </row>
    <row r="159" spans="1:8" x14ac:dyDescent="0.35">
      <c r="A159" s="8">
        <v>46248</v>
      </c>
      <c r="B159" s="8">
        <f t="shared" si="4"/>
        <v>46235</v>
      </c>
      <c r="C159" t="s">
        <v>34</v>
      </c>
      <c r="D159" s="5" t="s">
        <v>44</v>
      </c>
      <c r="E159" s="10">
        <f>IFERROR(VLOOKUP(C159,Assets!$A:$G,7,FALSE),0)</f>
        <v>15</v>
      </c>
      <c r="F159" s="11" t="s">
        <v>45</v>
      </c>
      <c r="G159" s="6"/>
      <c r="H159" s="10">
        <f t="shared" si="5"/>
        <v>15</v>
      </c>
    </row>
    <row r="160" spans="1:8" x14ac:dyDescent="0.35">
      <c r="A160" s="8">
        <v>46255</v>
      </c>
      <c r="B160" s="8">
        <f t="shared" si="4"/>
        <v>46235</v>
      </c>
      <c r="C160" t="s">
        <v>34</v>
      </c>
      <c r="D160" s="5" t="s">
        <v>44</v>
      </c>
      <c r="E160" s="10">
        <f>IFERROR(VLOOKUP(C160,Assets!$A:$G,7,FALSE),0)</f>
        <v>15</v>
      </c>
      <c r="F160" s="11" t="s">
        <v>45</v>
      </c>
      <c r="G160" s="6"/>
      <c r="H160" s="10">
        <f t="shared" si="5"/>
        <v>15</v>
      </c>
    </row>
    <row r="161" spans="1:8" x14ac:dyDescent="0.35">
      <c r="A161" s="8">
        <v>46262</v>
      </c>
      <c r="B161" s="8">
        <f t="shared" si="4"/>
        <v>46235</v>
      </c>
      <c r="C161" t="s">
        <v>34</v>
      </c>
      <c r="D161" s="5" t="s">
        <v>44</v>
      </c>
      <c r="E161" s="10">
        <f>IFERROR(VLOOKUP(C161,Assets!$A:$G,7,FALSE),0)</f>
        <v>15</v>
      </c>
      <c r="F161" s="11" t="s">
        <v>45</v>
      </c>
      <c r="G161" s="6"/>
      <c r="H161" s="10">
        <f t="shared" si="5"/>
        <v>15</v>
      </c>
    </row>
    <row r="162" spans="1:8" x14ac:dyDescent="0.35">
      <c r="A162" s="8">
        <v>46272</v>
      </c>
      <c r="B162" s="8">
        <f t="shared" si="4"/>
        <v>46266</v>
      </c>
      <c r="C162" t="s">
        <v>20</v>
      </c>
      <c r="D162" s="5" t="s">
        <v>44</v>
      </c>
      <c r="E162" s="10">
        <f>IFERROR(VLOOKUP(C162,Assets!$A:$G,7,FALSE),0)</f>
        <v>160</v>
      </c>
      <c r="F162" s="11" t="s">
        <v>45</v>
      </c>
      <c r="G162" s="6"/>
      <c r="H162" s="10">
        <f t="shared" si="5"/>
        <v>160</v>
      </c>
    </row>
    <row r="163" spans="1:8" x14ac:dyDescent="0.35">
      <c r="A163" s="8">
        <v>46279</v>
      </c>
      <c r="B163" s="8">
        <f t="shared" si="4"/>
        <v>46266</v>
      </c>
      <c r="C163" t="s">
        <v>20</v>
      </c>
      <c r="D163" s="5" t="s">
        <v>44</v>
      </c>
      <c r="E163" s="10">
        <f>IFERROR(VLOOKUP(C163,Assets!$A:$G,7,FALSE),0)</f>
        <v>160</v>
      </c>
      <c r="F163" s="11" t="s">
        <v>45</v>
      </c>
      <c r="G163" s="6"/>
      <c r="H163" s="10">
        <f t="shared" si="5"/>
        <v>160</v>
      </c>
    </row>
    <row r="164" spans="1:8" x14ac:dyDescent="0.35">
      <c r="A164" s="8">
        <v>46286</v>
      </c>
      <c r="B164" s="8">
        <f t="shared" si="4"/>
        <v>46266</v>
      </c>
      <c r="C164" t="s">
        <v>20</v>
      </c>
      <c r="D164" s="5" t="s">
        <v>44</v>
      </c>
      <c r="E164" s="10">
        <f>IFERROR(VLOOKUP(C164,Assets!$A:$G,7,FALSE),0)</f>
        <v>160</v>
      </c>
      <c r="F164" s="11" t="s">
        <v>45</v>
      </c>
      <c r="G164" s="6"/>
      <c r="H164" s="10">
        <f t="shared" si="5"/>
        <v>160</v>
      </c>
    </row>
    <row r="165" spans="1:8" x14ac:dyDescent="0.35">
      <c r="A165" s="8">
        <v>46293</v>
      </c>
      <c r="B165" s="8">
        <f t="shared" si="4"/>
        <v>46266</v>
      </c>
      <c r="C165" t="s">
        <v>20</v>
      </c>
      <c r="D165" s="5" t="s">
        <v>44</v>
      </c>
      <c r="E165" s="10">
        <f>IFERROR(VLOOKUP(C165,Assets!$A:$G,7,FALSE),0)</f>
        <v>160</v>
      </c>
      <c r="F165" s="11" t="s">
        <v>45</v>
      </c>
      <c r="G165" s="6"/>
      <c r="H165" s="10">
        <f t="shared" si="5"/>
        <v>160</v>
      </c>
    </row>
    <row r="166" spans="1:8" x14ac:dyDescent="0.35">
      <c r="A166" s="8">
        <v>46272</v>
      </c>
      <c r="B166" s="8">
        <f t="shared" si="4"/>
        <v>46266</v>
      </c>
      <c r="C166" t="s">
        <v>25</v>
      </c>
      <c r="D166" s="5" t="s">
        <v>44</v>
      </c>
      <c r="E166" s="10">
        <f>IFERROR(VLOOKUP(C166,Assets!$A:$G,7,FALSE),0)</f>
        <v>40</v>
      </c>
      <c r="F166" s="11" t="s">
        <v>45</v>
      </c>
      <c r="G166" s="6"/>
      <c r="H166" s="10">
        <f t="shared" si="5"/>
        <v>40</v>
      </c>
    </row>
    <row r="167" spans="1:8" x14ac:dyDescent="0.35">
      <c r="A167" s="8">
        <v>46279</v>
      </c>
      <c r="B167" s="8">
        <f t="shared" si="4"/>
        <v>46266</v>
      </c>
      <c r="C167" t="s">
        <v>25</v>
      </c>
      <c r="D167" s="5" t="s">
        <v>44</v>
      </c>
      <c r="E167" s="10">
        <f>IFERROR(VLOOKUP(C167,Assets!$A:$G,7,FALSE),0)</f>
        <v>40</v>
      </c>
      <c r="F167" s="11" t="s">
        <v>45</v>
      </c>
      <c r="G167" s="6"/>
      <c r="H167" s="10">
        <f t="shared" si="5"/>
        <v>40</v>
      </c>
    </row>
    <row r="168" spans="1:8" x14ac:dyDescent="0.35">
      <c r="A168" s="8">
        <v>46286</v>
      </c>
      <c r="B168" s="8">
        <f t="shared" si="4"/>
        <v>46266</v>
      </c>
      <c r="C168" t="s">
        <v>25</v>
      </c>
      <c r="D168" s="5" t="s">
        <v>44</v>
      </c>
      <c r="E168" s="10">
        <f>IFERROR(VLOOKUP(C168,Assets!$A:$G,7,FALSE),0)</f>
        <v>40</v>
      </c>
      <c r="F168" s="11" t="s">
        <v>45</v>
      </c>
      <c r="G168" s="6"/>
      <c r="H168" s="10">
        <f t="shared" si="5"/>
        <v>40</v>
      </c>
    </row>
    <row r="169" spans="1:8" x14ac:dyDescent="0.35">
      <c r="A169" s="8">
        <v>46293</v>
      </c>
      <c r="B169" s="8">
        <f t="shared" si="4"/>
        <v>46266</v>
      </c>
      <c r="C169" t="s">
        <v>25</v>
      </c>
      <c r="D169" s="5" t="s">
        <v>44</v>
      </c>
      <c r="E169" s="10">
        <f>IFERROR(VLOOKUP(C169,Assets!$A:$G,7,FALSE),0)</f>
        <v>40</v>
      </c>
      <c r="F169" s="11" t="s">
        <v>45</v>
      </c>
      <c r="G169" s="6"/>
      <c r="H169" s="10">
        <f t="shared" si="5"/>
        <v>40</v>
      </c>
    </row>
    <row r="170" spans="1:8" x14ac:dyDescent="0.35">
      <c r="A170" s="8">
        <v>46272</v>
      </c>
      <c r="B170" s="8">
        <f t="shared" si="4"/>
        <v>46266</v>
      </c>
      <c r="C170" t="s">
        <v>26</v>
      </c>
      <c r="D170" s="5" t="s">
        <v>44</v>
      </c>
      <c r="E170" s="10">
        <f>IFERROR(VLOOKUP(C170,Assets!$A:$G,7,FALSE),0)</f>
        <v>27</v>
      </c>
      <c r="F170" s="11" t="s">
        <v>45</v>
      </c>
      <c r="G170" s="6"/>
      <c r="H170" s="10">
        <f t="shared" si="5"/>
        <v>27</v>
      </c>
    </row>
    <row r="171" spans="1:8" x14ac:dyDescent="0.35">
      <c r="A171" s="8">
        <v>46279</v>
      </c>
      <c r="B171" s="8">
        <f t="shared" si="4"/>
        <v>46266</v>
      </c>
      <c r="C171" t="s">
        <v>26</v>
      </c>
      <c r="D171" s="5" t="s">
        <v>44</v>
      </c>
      <c r="E171" s="10">
        <f>IFERROR(VLOOKUP(C171,Assets!$A:$G,7,FALSE),0)</f>
        <v>27</v>
      </c>
      <c r="F171" s="11" t="s">
        <v>45</v>
      </c>
      <c r="G171" s="6"/>
      <c r="H171" s="10">
        <f t="shared" si="5"/>
        <v>27</v>
      </c>
    </row>
    <row r="172" spans="1:8" x14ac:dyDescent="0.35">
      <c r="A172" s="8">
        <v>46286</v>
      </c>
      <c r="B172" s="8">
        <f t="shared" si="4"/>
        <v>46266</v>
      </c>
      <c r="C172" t="s">
        <v>26</v>
      </c>
      <c r="D172" s="5" t="s">
        <v>44</v>
      </c>
      <c r="E172" s="10">
        <f>IFERROR(VLOOKUP(C172,Assets!$A:$G,7,FALSE),0)</f>
        <v>27</v>
      </c>
      <c r="F172" s="11" t="s">
        <v>45</v>
      </c>
      <c r="G172" s="6"/>
      <c r="H172" s="10">
        <f t="shared" si="5"/>
        <v>27</v>
      </c>
    </row>
    <row r="173" spans="1:8" x14ac:dyDescent="0.35">
      <c r="A173" s="8">
        <v>46293</v>
      </c>
      <c r="B173" s="8">
        <f t="shared" si="4"/>
        <v>46266</v>
      </c>
      <c r="C173" t="s">
        <v>26</v>
      </c>
      <c r="D173" s="5" t="s">
        <v>44</v>
      </c>
      <c r="E173" s="10">
        <f>IFERROR(VLOOKUP(C173,Assets!$A:$G,7,FALSE),0)</f>
        <v>27</v>
      </c>
      <c r="F173" s="11" t="s">
        <v>45</v>
      </c>
      <c r="G173" s="6"/>
      <c r="H173" s="10">
        <f t="shared" si="5"/>
        <v>27</v>
      </c>
    </row>
    <row r="174" spans="1:8" x14ac:dyDescent="0.35">
      <c r="A174" s="8">
        <v>46272</v>
      </c>
      <c r="B174" s="8">
        <f t="shared" si="4"/>
        <v>46266</v>
      </c>
      <c r="C174" t="s">
        <v>29</v>
      </c>
      <c r="D174" s="5" t="s">
        <v>44</v>
      </c>
      <c r="E174" s="10">
        <f>IFERROR(VLOOKUP(C174,Assets!$A:$G,7,FALSE),0)</f>
        <v>20</v>
      </c>
      <c r="F174" s="11" t="s">
        <v>45</v>
      </c>
      <c r="G174" s="6"/>
      <c r="H174" s="10">
        <f t="shared" si="5"/>
        <v>20</v>
      </c>
    </row>
    <row r="175" spans="1:8" x14ac:dyDescent="0.35">
      <c r="A175" s="8">
        <v>46279</v>
      </c>
      <c r="B175" s="8">
        <f t="shared" si="4"/>
        <v>46266</v>
      </c>
      <c r="C175" t="s">
        <v>29</v>
      </c>
      <c r="D175" s="5" t="s">
        <v>44</v>
      </c>
      <c r="E175" s="10">
        <f>IFERROR(VLOOKUP(C175,Assets!$A:$G,7,FALSE),0)</f>
        <v>20</v>
      </c>
      <c r="F175" s="11" t="s">
        <v>45</v>
      </c>
      <c r="G175" s="6"/>
      <c r="H175" s="10">
        <f t="shared" si="5"/>
        <v>20</v>
      </c>
    </row>
    <row r="176" spans="1:8" x14ac:dyDescent="0.35">
      <c r="A176" s="8">
        <v>46286</v>
      </c>
      <c r="B176" s="8">
        <f t="shared" si="4"/>
        <v>46266</v>
      </c>
      <c r="C176" t="s">
        <v>29</v>
      </c>
      <c r="D176" s="5" t="s">
        <v>44</v>
      </c>
      <c r="E176" s="10">
        <f>IFERROR(VLOOKUP(C176,Assets!$A:$G,7,FALSE),0)</f>
        <v>20</v>
      </c>
      <c r="F176" s="11" t="s">
        <v>45</v>
      </c>
      <c r="G176" s="6"/>
      <c r="H176" s="10">
        <f t="shared" si="5"/>
        <v>20</v>
      </c>
    </row>
    <row r="177" spans="1:8" x14ac:dyDescent="0.35">
      <c r="A177" s="8">
        <v>46293</v>
      </c>
      <c r="B177" s="8">
        <f t="shared" si="4"/>
        <v>46266</v>
      </c>
      <c r="C177" t="s">
        <v>29</v>
      </c>
      <c r="D177" s="5" t="s">
        <v>44</v>
      </c>
      <c r="E177" s="10">
        <f>IFERROR(VLOOKUP(C177,Assets!$A:$G,7,FALSE),0)</f>
        <v>20</v>
      </c>
      <c r="F177" s="11" t="s">
        <v>45</v>
      </c>
      <c r="G177" s="6"/>
      <c r="H177" s="10">
        <f t="shared" si="5"/>
        <v>20</v>
      </c>
    </row>
    <row r="178" spans="1:8" x14ac:dyDescent="0.35">
      <c r="A178" s="8">
        <v>46272</v>
      </c>
      <c r="B178" s="8">
        <f t="shared" si="4"/>
        <v>46266</v>
      </c>
      <c r="C178" t="s">
        <v>31</v>
      </c>
      <c r="D178" s="5" t="s">
        <v>44</v>
      </c>
      <c r="E178" s="10">
        <f>IFERROR(VLOOKUP(C178,Assets!$A:$G,7,FALSE),0)</f>
        <v>27</v>
      </c>
      <c r="F178" s="11" t="s">
        <v>45</v>
      </c>
      <c r="G178" s="6"/>
      <c r="H178" s="10">
        <f t="shared" si="5"/>
        <v>27</v>
      </c>
    </row>
    <row r="179" spans="1:8" x14ac:dyDescent="0.35">
      <c r="A179" s="8">
        <v>46279</v>
      </c>
      <c r="B179" s="8">
        <f t="shared" si="4"/>
        <v>46266</v>
      </c>
      <c r="C179" t="s">
        <v>31</v>
      </c>
      <c r="D179" s="5" t="s">
        <v>44</v>
      </c>
      <c r="E179" s="10">
        <f>IFERROR(VLOOKUP(C179,Assets!$A:$G,7,FALSE),0)</f>
        <v>27</v>
      </c>
      <c r="F179" s="11" t="s">
        <v>45</v>
      </c>
      <c r="G179" s="6"/>
      <c r="H179" s="10">
        <f t="shared" si="5"/>
        <v>27</v>
      </c>
    </row>
    <row r="180" spans="1:8" x14ac:dyDescent="0.35">
      <c r="A180" s="8">
        <v>46286</v>
      </c>
      <c r="B180" s="8">
        <f t="shared" si="4"/>
        <v>46266</v>
      </c>
      <c r="C180" t="s">
        <v>31</v>
      </c>
      <c r="D180" s="5" t="s">
        <v>44</v>
      </c>
      <c r="E180" s="10">
        <f>IFERROR(VLOOKUP(C180,Assets!$A:$G,7,FALSE),0)</f>
        <v>27</v>
      </c>
      <c r="F180" s="11" t="s">
        <v>45</v>
      </c>
      <c r="G180" s="6"/>
      <c r="H180" s="10">
        <f t="shared" si="5"/>
        <v>27</v>
      </c>
    </row>
    <row r="181" spans="1:8" x14ac:dyDescent="0.35">
      <c r="A181" s="8">
        <v>46293</v>
      </c>
      <c r="B181" s="8">
        <f t="shared" si="4"/>
        <v>46266</v>
      </c>
      <c r="C181" t="s">
        <v>31</v>
      </c>
      <c r="D181" s="5" t="s">
        <v>44</v>
      </c>
      <c r="E181" s="10">
        <f>IFERROR(VLOOKUP(C181,Assets!$A:$G,7,FALSE),0)</f>
        <v>27</v>
      </c>
      <c r="F181" s="11" t="s">
        <v>45</v>
      </c>
      <c r="G181" s="6"/>
      <c r="H181" s="10">
        <f t="shared" si="5"/>
        <v>27</v>
      </c>
    </row>
    <row r="182" spans="1:8" x14ac:dyDescent="0.35">
      <c r="A182" s="8">
        <v>46272</v>
      </c>
      <c r="B182" s="8">
        <f t="shared" si="4"/>
        <v>46266</v>
      </c>
      <c r="C182" t="s">
        <v>32</v>
      </c>
      <c r="D182" s="5" t="s">
        <v>44</v>
      </c>
      <c r="E182" s="10">
        <f>IFERROR(VLOOKUP(C182,Assets!$A:$G,7,FALSE),0)</f>
        <v>45</v>
      </c>
      <c r="F182" s="11" t="s">
        <v>45</v>
      </c>
      <c r="G182" s="6"/>
      <c r="H182" s="10">
        <f t="shared" si="5"/>
        <v>45</v>
      </c>
    </row>
    <row r="183" spans="1:8" x14ac:dyDescent="0.35">
      <c r="A183" s="8">
        <v>46279</v>
      </c>
      <c r="B183" s="8">
        <f t="shared" si="4"/>
        <v>46266</v>
      </c>
      <c r="C183" t="s">
        <v>32</v>
      </c>
      <c r="D183" s="5" t="s">
        <v>44</v>
      </c>
      <c r="E183" s="10">
        <f>IFERROR(VLOOKUP(C183,Assets!$A:$G,7,FALSE),0)</f>
        <v>45</v>
      </c>
      <c r="F183" s="11" t="s">
        <v>45</v>
      </c>
      <c r="G183" s="6"/>
      <c r="H183" s="10">
        <f t="shared" si="5"/>
        <v>45</v>
      </c>
    </row>
    <row r="184" spans="1:8" x14ac:dyDescent="0.35">
      <c r="A184" s="8">
        <v>46286</v>
      </c>
      <c r="B184" s="8">
        <f t="shared" si="4"/>
        <v>46266</v>
      </c>
      <c r="C184" t="s">
        <v>32</v>
      </c>
      <c r="D184" s="5" t="s">
        <v>44</v>
      </c>
      <c r="E184" s="10">
        <f>IFERROR(VLOOKUP(C184,Assets!$A:$G,7,FALSE),0)</f>
        <v>45</v>
      </c>
      <c r="F184" s="11" t="s">
        <v>45</v>
      </c>
      <c r="G184" s="6"/>
      <c r="H184" s="10">
        <f t="shared" si="5"/>
        <v>45</v>
      </c>
    </row>
    <row r="185" spans="1:8" x14ac:dyDescent="0.35">
      <c r="A185" s="8">
        <v>46293</v>
      </c>
      <c r="B185" s="8">
        <f t="shared" si="4"/>
        <v>46266</v>
      </c>
      <c r="C185" t="s">
        <v>32</v>
      </c>
      <c r="D185" s="5" t="s">
        <v>44</v>
      </c>
      <c r="E185" s="10">
        <f>IFERROR(VLOOKUP(C185,Assets!$A:$G,7,FALSE),0)</f>
        <v>45</v>
      </c>
      <c r="F185" s="11" t="s">
        <v>45</v>
      </c>
      <c r="G185" s="6"/>
      <c r="H185" s="10">
        <f t="shared" si="5"/>
        <v>45</v>
      </c>
    </row>
    <row r="186" spans="1:8" x14ac:dyDescent="0.35">
      <c r="A186" s="8">
        <v>46272</v>
      </c>
      <c r="B186" s="8">
        <f t="shared" si="4"/>
        <v>46266</v>
      </c>
      <c r="C186" t="s">
        <v>33</v>
      </c>
      <c r="D186" s="5" t="s">
        <v>44</v>
      </c>
      <c r="E186" s="10">
        <f>IFERROR(VLOOKUP(C186,Assets!$A:$G,7,FALSE),0)</f>
        <v>41</v>
      </c>
      <c r="F186" s="11" t="s">
        <v>45</v>
      </c>
      <c r="G186" s="6"/>
      <c r="H186" s="10">
        <f t="shared" si="5"/>
        <v>41</v>
      </c>
    </row>
    <row r="187" spans="1:8" x14ac:dyDescent="0.35">
      <c r="A187" s="8">
        <v>46279</v>
      </c>
      <c r="B187" s="8">
        <f t="shared" si="4"/>
        <v>46266</v>
      </c>
      <c r="C187" t="s">
        <v>33</v>
      </c>
      <c r="D187" s="5" t="s">
        <v>44</v>
      </c>
      <c r="E187" s="10">
        <f>IFERROR(VLOOKUP(C187,Assets!$A:$G,7,FALSE),0)</f>
        <v>41</v>
      </c>
      <c r="F187" s="11" t="s">
        <v>45</v>
      </c>
      <c r="G187" s="6"/>
      <c r="H187" s="10">
        <f t="shared" si="5"/>
        <v>41</v>
      </c>
    </row>
    <row r="188" spans="1:8" x14ac:dyDescent="0.35">
      <c r="A188" s="8">
        <v>46286</v>
      </c>
      <c r="B188" s="8">
        <f t="shared" si="4"/>
        <v>46266</v>
      </c>
      <c r="C188" t="s">
        <v>33</v>
      </c>
      <c r="D188" s="5" t="s">
        <v>44</v>
      </c>
      <c r="E188" s="10">
        <f>IFERROR(VLOOKUP(C188,Assets!$A:$G,7,FALSE),0)</f>
        <v>41</v>
      </c>
      <c r="F188" s="11" t="s">
        <v>45</v>
      </c>
      <c r="G188" s="6"/>
      <c r="H188" s="10">
        <f t="shared" si="5"/>
        <v>41</v>
      </c>
    </row>
    <row r="189" spans="1:8" x14ac:dyDescent="0.35">
      <c r="A189" s="8">
        <v>46293</v>
      </c>
      <c r="B189" s="8">
        <f t="shared" si="4"/>
        <v>46266</v>
      </c>
      <c r="C189" t="s">
        <v>33</v>
      </c>
      <c r="D189" s="5" t="s">
        <v>44</v>
      </c>
      <c r="E189" s="10">
        <f>IFERROR(VLOOKUP(C189,Assets!$A:$G,7,FALSE),0)</f>
        <v>41</v>
      </c>
      <c r="F189" s="11" t="s">
        <v>45</v>
      </c>
      <c r="G189" s="6"/>
      <c r="H189" s="10">
        <f t="shared" si="5"/>
        <v>41</v>
      </c>
    </row>
    <row r="190" spans="1:8" x14ac:dyDescent="0.35">
      <c r="A190" s="8">
        <v>46272</v>
      </c>
      <c r="B190" s="8">
        <f t="shared" si="4"/>
        <v>46266</v>
      </c>
      <c r="C190" t="s">
        <v>34</v>
      </c>
      <c r="D190" s="5" t="s">
        <v>44</v>
      </c>
      <c r="E190" s="10">
        <f>IFERROR(VLOOKUP(C190,Assets!$A:$G,7,FALSE),0)</f>
        <v>15</v>
      </c>
      <c r="F190" s="11" t="s">
        <v>45</v>
      </c>
      <c r="G190" s="6"/>
      <c r="H190" s="10">
        <f t="shared" si="5"/>
        <v>15</v>
      </c>
    </row>
    <row r="191" spans="1:8" x14ac:dyDescent="0.35">
      <c r="A191" s="8">
        <v>46279</v>
      </c>
      <c r="B191" s="8">
        <f t="shared" si="4"/>
        <v>46266</v>
      </c>
      <c r="C191" t="s">
        <v>34</v>
      </c>
      <c r="D191" s="5" t="s">
        <v>44</v>
      </c>
      <c r="E191" s="10">
        <f>IFERROR(VLOOKUP(C191,Assets!$A:$G,7,FALSE),0)</f>
        <v>15</v>
      </c>
      <c r="F191" s="11" t="s">
        <v>45</v>
      </c>
      <c r="G191" s="6"/>
      <c r="H191" s="10">
        <f t="shared" si="5"/>
        <v>15</v>
      </c>
    </row>
    <row r="192" spans="1:8" x14ac:dyDescent="0.35">
      <c r="A192" s="8">
        <v>46286</v>
      </c>
      <c r="B192" s="8">
        <f t="shared" si="4"/>
        <v>46266</v>
      </c>
      <c r="C192" t="s">
        <v>34</v>
      </c>
      <c r="D192" s="5" t="s">
        <v>44</v>
      </c>
      <c r="E192" s="10">
        <f>IFERROR(VLOOKUP(C192,Assets!$A:$G,7,FALSE),0)</f>
        <v>15</v>
      </c>
      <c r="F192" s="11" t="s">
        <v>45</v>
      </c>
      <c r="G192" s="6"/>
      <c r="H192" s="10">
        <f t="shared" si="5"/>
        <v>15</v>
      </c>
    </row>
    <row r="193" spans="1:8" x14ac:dyDescent="0.35">
      <c r="A193" s="8">
        <v>46293</v>
      </c>
      <c r="B193" s="8">
        <f t="shared" si="4"/>
        <v>46266</v>
      </c>
      <c r="C193" t="s">
        <v>34</v>
      </c>
      <c r="D193" s="5" t="s">
        <v>44</v>
      </c>
      <c r="E193" s="10">
        <f>IFERROR(VLOOKUP(C193,Assets!$A:$G,7,FALSE),0)</f>
        <v>15</v>
      </c>
      <c r="F193" s="11" t="s">
        <v>45</v>
      </c>
      <c r="G193" s="6"/>
      <c r="H193" s="10">
        <f t="shared" si="5"/>
        <v>15</v>
      </c>
    </row>
    <row r="194" spans="1:8" x14ac:dyDescent="0.35">
      <c r="A194" s="8">
        <v>46302</v>
      </c>
      <c r="B194" s="8">
        <f t="shared" ref="B194:B257" si="6">DATE(YEAR(A194),MONTH(A194),1)</f>
        <v>46296</v>
      </c>
      <c r="C194" t="s">
        <v>20</v>
      </c>
      <c r="D194" s="5" t="s">
        <v>44</v>
      </c>
      <c r="E194" s="10">
        <f>IFERROR(VLOOKUP(C194,Assets!$A:$G,7,FALSE),0)</f>
        <v>160</v>
      </c>
      <c r="F194" s="11" t="s">
        <v>45</v>
      </c>
      <c r="G194" s="6"/>
      <c r="H194" s="10">
        <f t="shared" ref="H194:H257" si="7">IF(F194="No",0,IF(F194="Edited",IF(G194="",E194,G194),E194))</f>
        <v>160</v>
      </c>
    </row>
    <row r="195" spans="1:8" x14ac:dyDescent="0.35">
      <c r="A195" s="8">
        <v>46309</v>
      </c>
      <c r="B195" s="8">
        <f t="shared" si="6"/>
        <v>46296</v>
      </c>
      <c r="C195" t="s">
        <v>20</v>
      </c>
      <c r="D195" s="5" t="s">
        <v>44</v>
      </c>
      <c r="E195" s="10">
        <f>IFERROR(VLOOKUP(C195,Assets!$A:$G,7,FALSE),0)</f>
        <v>160</v>
      </c>
      <c r="F195" s="11" t="s">
        <v>45</v>
      </c>
      <c r="G195" s="6"/>
      <c r="H195" s="10">
        <f t="shared" si="7"/>
        <v>160</v>
      </c>
    </row>
    <row r="196" spans="1:8" x14ac:dyDescent="0.35">
      <c r="A196" s="8">
        <v>46316</v>
      </c>
      <c r="B196" s="8">
        <f t="shared" si="6"/>
        <v>46296</v>
      </c>
      <c r="C196" t="s">
        <v>20</v>
      </c>
      <c r="D196" s="5" t="s">
        <v>44</v>
      </c>
      <c r="E196" s="10">
        <f>IFERROR(VLOOKUP(C196,Assets!$A:$G,7,FALSE),0)</f>
        <v>160</v>
      </c>
      <c r="F196" s="11" t="s">
        <v>45</v>
      </c>
      <c r="G196" s="6"/>
      <c r="H196" s="10">
        <f t="shared" si="7"/>
        <v>160</v>
      </c>
    </row>
    <row r="197" spans="1:8" x14ac:dyDescent="0.35">
      <c r="A197" s="8">
        <v>46323</v>
      </c>
      <c r="B197" s="8">
        <f t="shared" si="6"/>
        <v>46296</v>
      </c>
      <c r="C197" t="s">
        <v>20</v>
      </c>
      <c r="D197" s="5" t="s">
        <v>44</v>
      </c>
      <c r="E197" s="10">
        <f>IFERROR(VLOOKUP(C197,Assets!$A:$G,7,FALSE),0)</f>
        <v>160</v>
      </c>
      <c r="F197" s="11" t="s">
        <v>45</v>
      </c>
      <c r="G197" s="6"/>
      <c r="H197" s="10">
        <f t="shared" si="7"/>
        <v>160</v>
      </c>
    </row>
    <row r="198" spans="1:8" x14ac:dyDescent="0.35">
      <c r="A198" s="8">
        <v>46302</v>
      </c>
      <c r="B198" s="8">
        <f t="shared" si="6"/>
        <v>46296</v>
      </c>
      <c r="C198" t="s">
        <v>25</v>
      </c>
      <c r="D198" s="5" t="s">
        <v>44</v>
      </c>
      <c r="E198" s="10">
        <f>IFERROR(VLOOKUP(C198,Assets!$A:$G,7,FALSE),0)</f>
        <v>40</v>
      </c>
      <c r="F198" s="11" t="s">
        <v>45</v>
      </c>
      <c r="G198" s="6"/>
      <c r="H198" s="10">
        <f t="shared" si="7"/>
        <v>40</v>
      </c>
    </row>
    <row r="199" spans="1:8" x14ac:dyDescent="0.35">
      <c r="A199" s="8">
        <v>46309</v>
      </c>
      <c r="B199" s="8">
        <f t="shared" si="6"/>
        <v>46296</v>
      </c>
      <c r="C199" t="s">
        <v>25</v>
      </c>
      <c r="D199" s="5" t="s">
        <v>44</v>
      </c>
      <c r="E199" s="10">
        <f>IFERROR(VLOOKUP(C199,Assets!$A:$G,7,FALSE),0)</f>
        <v>40</v>
      </c>
      <c r="F199" s="11" t="s">
        <v>45</v>
      </c>
      <c r="G199" s="6"/>
      <c r="H199" s="10">
        <f t="shared" si="7"/>
        <v>40</v>
      </c>
    </row>
    <row r="200" spans="1:8" x14ac:dyDescent="0.35">
      <c r="A200" s="8">
        <v>46316</v>
      </c>
      <c r="B200" s="8">
        <f t="shared" si="6"/>
        <v>46296</v>
      </c>
      <c r="C200" t="s">
        <v>25</v>
      </c>
      <c r="D200" s="5" t="s">
        <v>44</v>
      </c>
      <c r="E200" s="10">
        <f>IFERROR(VLOOKUP(C200,Assets!$A:$G,7,FALSE),0)</f>
        <v>40</v>
      </c>
      <c r="F200" s="11" t="s">
        <v>45</v>
      </c>
      <c r="G200" s="6"/>
      <c r="H200" s="10">
        <f t="shared" si="7"/>
        <v>40</v>
      </c>
    </row>
    <row r="201" spans="1:8" x14ac:dyDescent="0.35">
      <c r="A201" s="8">
        <v>46323</v>
      </c>
      <c r="B201" s="8">
        <f t="shared" si="6"/>
        <v>46296</v>
      </c>
      <c r="C201" t="s">
        <v>25</v>
      </c>
      <c r="D201" s="5" t="s">
        <v>44</v>
      </c>
      <c r="E201" s="10">
        <f>IFERROR(VLOOKUP(C201,Assets!$A:$G,7,FALSE),0)</f>
        <v>40</v>
      </c>
      <c r="F201" s="11" t="s">
        <v>45</v>
      </c>
      <c r="G201" s="6"/>
      <c r="H201" s="10">
        <f t="shared" si="7"/>
        <v>40</v>
      </c>
    </row>
    <row r="202" spans="1:8" x14ac:dyDescent="0.35">
      <c r="A202" s="8">
        <v>46302</v>
      </c>
      <c r="B202" s="8">
        <f t="shared" si="6"/>
        <v>46296</v>
      </c>
      <c r="C202" t="s">
        <v>26</v>
      </c>
      <c r="D202" s="5" t="s">
        <v>44</v>
      </c>
      <c r="E202" s="10">
        <f>IFERROR(VLOOKUP(C202,Assets!$A:$G,7,FALSE),0)</f>
        <v>27</v>
      </c>
      <c r="F202" s="11" t="s">
        <v>45</v>
      </c>
      <c r="G202" s="6"/>
      <c r="H202" s="10">
        <f t="shared" si="7"/>
        <v>27</v>
      </c>
    </row>
    <row r="203" spans="1:8" x14ac:dyDescent="0.35">
      <c r="A203" s="8">
        <v>46309</v>
      </c>
      <c r="B203" s="8">
        <f t="shared" si="6"/>
        <v>46296</v>
      </c>
      <c r="C203" t="s">
        <v>26</v>
      </c>
      <c r="D203" s="5" t="s">
        <v>44</v>
      </c>
      <c r="E203" s="10">
        <f>IFERROR(VLOOKUP(C203,Assets!$A:$G,7,FALSE),0)</f>
        <v>27</v>
      </c>
      <c r="F203" s="11" t="s">
        <v>45</v>
      </c>
      <c r="G203" s="6"/>
      <c r="H203" s="10">
        <f t="shared" si="7"/>
        <v>27</v>
      </c>
    </row>
    <row r="204" spans="1:8" x14ac:dyDescent="0.35">
      <c r="A204" s="8">
        <v>46316</v>
      </c>
      <c r="B204" s="8">
        <f t="shared" si="6"/>
        <v>46296</v>
      </c>
      <c r="C204" t="s">
        <v>26</v>
      </c>
      <c r="D204" s="5" t="s">
        <v>44</v>
      </c>
      <c r="E204" s="10">
        <f>IFERROR(VLOOKUP(C204,Assets!$A:$G,7,FALSE),0)</f>
        <v>27</v>
      </c>
      <c r="F204" s="11" t="s">
        <v>45</v>
      </c>
      <c r="G204" s="6"/>
      <c r="H204" s="10">
        <f t="shared" si="7"/>
        <v>27</v>
      </c>
    </row>
    <row r="205" spans="1:8" x14ac:dyDescent="0.35">
      <c r="A205" s="8">
        <v>46323</v>
      </c>
      <c r="B205" s="8">
        <f t="shared" si="6"/>
        <v>46296</v>
      </c>
      <c r="C205" t="s">
        <v>26</v>
      </c>
      <c r="D205" s="5" t="s">
        <v>44</v>
      </c>
      <c r="E205" s="10">
        <f>IFERROR(VLOOKUP(C205,Assets!$A:$G,7,FALSE),0)</f>
        <v>27</v>
      </c>
      <c r="F205" s="11" t="s">
        <v>45</v>
      </c>
      <c r="G205" s="6"/>
      <c r="H205" s="10">
        <f t="shared" si="7"/>
        <v>27</v>
      </c>
    </row>
    <row r="206" spans="1:8" x14ac:dyDescent="0.35">
      <c r="A206" s="8">
        <v>46302</v>
      </c>
      <c r="B206" s="8">
        <f t="shared" si="6"/>
        <v>46296</v>
      </c>
      <c r="C206" t="s">
        <v>29</v>
      </c>
      <c r="D206" s="5" t="s">
        <v>44</v>
      </c>
      <c r="E206" s="10">
        <f>IFERROR(VLOOKUP(C206,Assets!$A:$G,7,FALSE),0)</f>
        <v>20</v>
      </c>
      <c r="F206" s="11" t="s">
        <v>45</v>
      </c>
      <c r="G206" s="6"/>
      <c r="H206" s="10">
        <f t="shared" si="7"/>
        <v>20</v>
      </c>
    </row>
    <row r="207" spans="1:8" x14ac:dyDescent="0.35">
      <c r="A207" s="8">
        <v>46309</v>
      </c>
      <c r="B207" s="8">
        <f t="shared" si="6"/>
        <v>46296</v>
      </c>
      <c r="C207" t="s">
        <v>29</v>
      </c>
      <c r="D207" s="5" t="s">
        <v>44</v>
      </c>
      <c r="E207" s="10">
        <f>IFERROR(VLOOKUP(C207,Assets!$A:$G,7,FALSE),0)</f>
        <v>20</v>
      </c>
      <c r="F207" s="11" t="s">
        <v>45</v>
      </c>
      <c r="G207" s="6"/>
      <c r="H207" s="10">
        <f t="shared" si="7"/>
        <v>20</v>
      </c>
    </row>
    <row r="208" spans="1:8" x14ac:dyDescent="0.35">
      <c r="A208" s="8">
        <v>46316</v>
      </c>
      <c r="B208" s="8">
        <f t="shared" si="6"/>
        <v>46296</v>
      </c>
      <c r="C208" t="s">
        <v>29</v>
      </c>
      <c r="D208" s="5" t="s">
        <v>44</v>
      </c>
      <c r="E208" s="10">
        <f>IFERROR(VLOOKUP(C208,Assets!$A:$G,7,FALSE),0)</f>
        <v>20</v>
      </c>
      <c r="F208" s="11" t="s">
        <v>45</v>
      </c>
      <c r="G208" s="6"/>
      <c r="H208" s="10">
        <f t="shared" si="7"/>
        <v>20</v>
      </c>
    </row>
    <row r="209" spans="1:8" x14ac:dyDescent="0.35">
      <c r="A209" s="8">
        <v>46323</v>
      </c>
      <c r="B209" s="8">
        <f t="shared" si="6"/>
        <v>46296</v>
      </c>
      <c r="C209" t="s">
        <v>29</v>
      </c>
      <c r="D209" s="5" t="s">
        <v>44</v>
      </c>
      <c r="E209" s="10">
        <f>IFERROR(VLOOKUP(C209,Assets!$A:$G,7,FALSE),0)</f>
        <v>20</v>
      </c>
      <c r="F209" s="11" t="s">
        <v>45</v>
      </c>
      <c r="G209" s="6"/>
      <c r="H209" s="10">
        <f t="shared" si="7"/>
        <v>20</v>
      </c>
    </row>
    <row r="210" spans="1:8" x14ac:dyDescent="0.35">
      <c r="A210" s="8">
        <v>46302</v>
      </c>
      <c r="B210" s="8">
        <f t="shared" si="6"/>
        <v>46296</v>
      </c>
      <c r="C210" t="s">
        <v>31</v>
      </c>
      <c r="D210" s="5" t="s">
        <v>44</v>
      </c>
      <c r="E210" s="10">
        <f>IFERROR(VLOOKUP(C210,Assets!$A:$G,7,FALSE),0)</f>
        <v>27</v>
      </c>
      <c r="F210" s="11" t="s">
        <v>45</v>
      </c>
      <c r="G210" s="6"/>
      <c r="H210" s="10">
        <f t="shared" si="7"/>
        <v>27</v>
      </c>
    </row>
    <row r="211" spans="1:8" x14ac:dyDescent="0.35">
      <c r="A211" s="8">
        <v>46309</v>
      </c>
      <c r="B211" s="8">
        <f t="shared" si="6"/>
        <v>46296</v>
      </c>
      <c r="C211" t="s">
        <v>31</v>
      </c>
      <c r="D211" s="5" t="s">
        <v>44</v>
      </c>
      <c r="E211" s="10">
        <f>IFERROR(VLOOKUP(C211,Assets!$A:$G,7,FALSE),0)</f>
        <v>27</v>
      </c>
      <c r="F211" s="11" t="s">
        <v>45</v>
      </c>
      <c r="G211" s="6"/>
      <c r="H211" s="10">
        <f t="shared" si="7"/>
        <v>27</v>
      </c>
    </row>
    <row r="212" spans="1:8" x14ac:dyDescent="0.35">
      <c r="A212" s="8">
        <v>46316</v>
      </c>
      <c r="B212" s="8">
        <f t="shared" si="6"/>
        <v>46296</v>
      </c>
      <c r="C212" t="s">
        <v>31</v>
      </c>
      <c r="D212" s="5" t="s">
        <v>44</v>
      </c>
      <c r="E212" s="10">
        <f>IFERROR(VLOOKUP(C212,Assets!$A:$G,7,FALSE),0)</f>
        <v>27</v>
      </c>
      <c r="F212" s="11" t="s">
        <v>45</v>
      </c>
      <c r="G212" s="6"/>
      <c r="H212" s="10">
        <f t="shared" si="7"/>
        <v>27</v>
      </c>
    </row>
    <row r="213" spans="1:8" x14ac:dyDescent="0.35">
      <c r="A213" s="8">
        <v>46323</v>
      </c>
      <c r="B213" s="8">
        <f t="shared" si="6"/>
        <v>46296</v>
      </c>
      <c r="C213" t="s">
        <v>31</v>
      </c>
      <c r="D213" s="5" t="s">
        <v>44</v>
      </c>
      <c r="E213" s="10">
        <f>IFERROR(VLOOKUP(C213,Assets!$A:$G,7,FALSE),0)</f>
        <v>27</v>
      </c>
      <c r="F213" s="11" t="s">
        <v>45</v>
      </c>
      <c r="G213" s="6"/>
      <c r="H213" s="10">
        <f t="shared" si="7"/>
        <v>27</v>
      </c>
    </row>
    <row r="214" spans="1:8" x14ac:dyDescent="0.35">
      <c r="A214" s="8">
        <v>46302</v>
      </c>
      <c r="B214" s="8">
        <f t="shared" si="6"/>
        <v>46296</v>
      </c>
      <c r="C214" t="s">
        <v>32</v>
      </c>
      <c r="D214" s="5" t="s">
        <v>44</v>
      </c>
      <c r="E214" s="10">
        <f>IFERROR(VLOOKUP(C214,Assets!$A:$G,7,FALSE),0)</f>
        <v>45</v>
      </c>
      <c r="F214" s="11" t="s">
        <v>45</v>
      </c>
      <c r="G214" s="6"/>
      <c r="H214" s="10">
        <f t="shared" si="7"/>
        <v>45</v>
      </c>
    </row>
    <row r="215" spans="1:8" x14ac:dyDescent="0.35">
      <c r="A215" s="8">
        <v>46309</v>
      </c>
      <c r="B215" s="8">
        <f t="shared" si="6"/>
        <v>46296</v>
      </c>
      <c r="C215" t="s">
        <v>32</v>
      </c>
      <c r="D215" s="5" t="s">
        <v>44</v>
      </c>
      <c r="E215" s="10">
        <f>IFERROR(VLOOKUP(C215,Assets!$A:$G,7,FALSE),0)</f>
        <v>45</v>
      </c>
      <c r="F215" s="11" t="s">
        <v>45</v>
      </c>
      <c r="G215" s="6"/>
      <c r="H215" s="10">
        <f t="shared" si="7"/>
        <v>45</v>
      </c>
    </row>
    <row r="216" spans="1:8" x14ac:dyDescent="0.35">
      <c r="A216" s="8">
        <v>46316</v>
      </c>
      <c r="B216" s="8">
        <f t="shared" si="6"/>
        <v>46296</v>
      </c>
      <c r="C216" t="s">
        <v>32</v>
      </c>
      <c r="D216" s="5" t="s">
        <v>44</v>
      </c>
      <c r="E216" s="10">
        <f>IFERROR(VLOOKUP(C216,Assets!$A:$G,7,FALSE),0)</f>
        <v>45</v>
      </c>
      <c r="F216" s="11" t="s">
        <v>45</v>
      </c>
      <c r="G216" s="6"/>
      <c r="H216" s="10">
        <f t="shared" si="7"/>
        <v>45</v>
      </c>
    </row>
    <row r="217" spans="1:8" x14ac:dyDescent="0.35">
      <c r="A217" s="8">
        <v>46323</v>
      </c>
      <c r="B217" s="8">
        <f t="shared" si="6"/>
        <v>46296</v>
      </c>
      <c r="C217" t="s">
        <v>32</v>
      </c>
      <c r="D217" s="5" t="s">
        <v>44</v>
      </c>
      <c r="E217" s="10">
        <f>IFERROR(VLOOKUP(C217,Assets!$A:$G,7,FALSE),0)</f>
        <v>45</v>
      </c>
      <c r="F217" s="11" t="s">
        <v>45</v>
      </c>
      <c r="G217" s="6"/>
      <c r="H217" s="10">
        <f t="shared" si="7"/>
        <v>45</v>
      </c>
    </row>
    <row r="218" spans="1:8" x14ac:dyDescent="0.35">
      <c r="A218" s="8">
        <v>46302</v>
      </c>
      <c r="B218" s="8">
        <f t="shared" si="6"/>
        <v>46296</v>
      </c>
      <c r="C218" t="s">
        <v>33</v>
      </c>
      <c r="D218" s="5" t="s">
        <v>44</v>
      </c>
      <c r="E218" s="10">
        <f>IFERROR(VLOOKUP(C218,Assets!$A:$G,7,FALSE),0)</f>
        <v>41</v>
      </c>
      <c r="F218" s="11" t="s">
        <v>45</v>
      </c>
      <c r="G218" s="6"/>
      <c r="H218" s="10">
        <f t="shared" si="7"/>
        <v>41</v>
      </c>
    </row>
    <row r="219" spans="1:8" x14ac:dyDescent="0.35">
      <c r="A219" s="8">
        <v>46309</v>
      </c>
      <c r="B219" s="8">
        <f t="shared" si="6"/>
        <v>46296</v>
      </c>
      <c r="C219" t="s">
        <v>33</v>
      </c>
      <c r="D219" s="5" t="s">
        <v>44</v>
      </c>
      <c r="E219" s="10">
        <f>IFERROR(VLOOKUP(C219,Assets!$A:$G,7,FALSE),0)</f>
        <v>41</v>
      </c>
      <c r="F219" s="11" t="s">
        <v>45</v>
      </c>
      <c r="G219" s="6"/>
      <c r="H219" s="10">
        <f t="shared" si="7"/>
        <v>41</v>
      </c>
    </row>
    <row r="220" spans="1:8" x14ac:dyDescent="0.35">
      <c r="A220" s="8">
        <v>46316</v>
      </c>
      <c r="B220" s="8">
        <f t="shared" si="6"/>
        <v>46296</v>
      </c>
      <c r="C220" t="s">
        <v>33</v>
      </c>
      <c r="D220" s="5" t="s">
        <v>44</v>
      </c>
      <c r="E220" s="10">
        <f>IFERROR(VLOOKUP(C220,Assets!$A:$G,7,FALSE),0)</f>
        <v>41</v>
      </c>
      <c r="F220" s="11" t="s">
        <v>45</v>
      </c>
      <c r="G220" s="6"/>
      <c r="H220" s="10">
        <f t="shared" si="7"/>
        <v>41</v>
      </c>
    </row>
    <row r="221" spans="1:8" x14ac:dyDescent="0.35">
      <c r="A221" s="8">
        <v>46323</v>
      </c>
      <c r="B221" s="8">
        <f t="shared" si="6"/>
        <v>46296</v>
      </c>
      <c r="C221" t="s">
        <v>33</v>
      </c>
      <c r="D221" s="5" t="s">
        <v>44</v>
      </c>
      <c r="E221" s="10">
        <f>IFERROR(VLOOKUP(C221,Assets!$A:$G,7,FALSE),0)</f>
        <v>41</v>
      </c>
      <c r="F221" s="11" t="s">
        <v>45</v>
      </c>
      <c r="G221" s="6"/>
      <c r="H221" s="10">
        <f t="shared" si="7"/>
        <v>41</v>
      </c>
    </row>
    <row r="222" spans="1:8" x14ac:dyDescent="0.35">
      <c r="A222" s="8">
        <v>46302</v>
      </c>
      <c r="B222" s="8">
        <f t="shared" si="6"/>
        <v>46296</v>
      </c>
      <c r="C222" t="s">
        <v>34</v>
      </c>
      <c r="D222" s="5" t="s">
        <v>44</v>
      </c>
      <c r="E222" s="10">
        <f>IFERROR(VLOOKUP(C222,Assets!$A:$G,7,FALSE),0)</f>
        <v>15</v>
      </c>
      <c r="F222" s="11" t="s">
        <v>45</v>
      </c>
      <c r="G222" s="6"/>
      <c r="H222" s="10">
        <f t="shared" si="7"/>
        <v>15</v>
      </c>
    </row>
    <row r="223" spans="1:8" x14ac:dyDescent="0.35">
      <c r="A223" s="8">
        <v>46309</v>
      </c>
      <c r="B223" s="8">
        <f t="shared" si="6"/>
        <v>46296</v>
      </c>
      <c r="C223" t="s">
        <v>34</v>
      </c>
      <c r="D223" s="5" t="s">
        <v>44</v>
      </c>
      <c r="E223" s="10">
        <f>IFERROR(VLOOKUP(C223,Assets!$A:$G,7,FALSE),0)</f>
        <v>15</v>
      </c>
      <c r="F223" s="11" t="s">
        <v>45</v>
      </c>
      <c r="G223" s="6"/>
      <c r="H223" s="10">
        <f t="shared" si="7"/>
        <v>15</v>
      </c>
    </row>
    <row r="224" spans="1:8" x14ac:dyDescent="0.35">
      <c r="A224" s="8">
        <v>46316</v>
      </c>
      <c r="B224" s="8">
        <f t="shared" si="6"/>
        <v>46296</v>
      </c>
      <c r="C224" t="s">
        <v>34</v>
      </c>
      <c r="D224" s="5" t="s">
        <v>44</v>
      </c>
      <c r="E224" s="10">
        <f>IFERROR(VLOOKUP(C224,Assets!$A:$G,7,FALSE),0)</f>
        <v>15</v>
      </c>
      <c r="F224" s="11" t="s">
        <v>45</v>
      </c>
      <c r="G224" s="6"/>
      <c r="H224" s="10">
        <f t="shared" si="7"/>
        <v>15</v>
      </c>
    </row>
    <row r="225" spans="1:8" x14ac:dyDescent="0.35">
      <c r="A225" s="8">
        <v>46323</v>
      </c>
      <c r="B225" s="8">
        <f t="shared" si="6"/>
        <v>46296</v>
      </c>
      <c r="C225" t="s">
        <v>34</v>
      </c>
      <c r="D225" s="5" t="s">
        <v>44</v>
      </c>
      <c r="E225" s="10">
        <f>IFERROR(VLOOKUP(C225,Assets!$A:$G,7,FALSE),0)</f>
        <v>15</v>
      </c>
      <c r="F225" s="11" t="s">
        <v>45</v>
      </c>
      <c r="G225" s="6"/>
      <c r="H225" s="10">
        <f t="shared" si="7"/>
        <v>15</v>
      </c>
    </row>
    <row r="226" spans="1:8" x14ac:dyDescent="0.35">
      <c r="A226" s="8">
        <v>46333</v>
      </c>
      <c r="B226" s="8">
        <f t="shared" si="6"/>
        <v>46327</v>
      </c>
      <c r="C226" t="s">
        <v>20</v>
      </c>
      <c r="D226" s="5" t="s">
        <v>44</v>
      </c>
      <c r="E226" s="10">
        <f>IFERROR(VLOOKUP(C226,Assets!$A:$G,7,FALSE),0)</f>
        <v>160</v>
      </c>
      <c r="F226" s="11" t="s">
        <v>45</v>
      </c>
      <c r="G226" s="6"/>
      <c r="H226" s="10">
        <f t="shared" si="7"/>
        <v>160</v>
      </c>
    </row>
    <row r="227" spans="1:8" x14ac:dyDescent="0.35">
      <c r="A227" s="8">
        <v>46340</v>
      </c>
      <c r="B227" s="8">
        <f t="shared" si="6"/>
        <v>46327</v>
      </c>
      <c r="C227" t="s">
        <v>20</v>
      </c>
      <c r="D227" s="5" t="s">
        <v>44</v>
      </c>
      <c r="E227" s="10">
        <f>IFERROR(VLOOKUP(C227,Assets!$A:$G,7,FALSE),0)</f>
        <v>160</v>
      </c>
      <c r="F227" s="11" t="s">
        <v>45</v>
      </c>
      <c r="G227" s="6"/>
      <c r="H227" s="10">
        <f t="shared" si="7"/>
        <v>160</v>
      </c>
    </row>
    <row r="228" spans="1:8" x14ac:dyDescent="0.35">
      <c r="A228" s="8">
        <v>46347</v>
      </c>
      <c r="B228" s="8">
        <f t="shared" si="6"/>
        <v>46327</v>
      </c>
      <c r="C228" t="s">
        <v>20</v>
      </c>
      <c r="D228" s="5" t="s">
        <v>44</v>
      </c>
      <c r="E228" s="10">
        <f>IFERROR(VLOOKUP(C228,Assets!$A:$G,7,FALSE),0)</f>
        <v>160</v>
      </c>
      <c r="F228" s="11" t="s">
        <v>45</v>
      </c>
      <c r="G228" s="6"/>
      <c r="H228" s="10">
        <f t="shared" si="7"/>
        <v>160</v>
      </c>
    </row>
    <row r="229" spans="1:8" x14ac:dyDescent="0.35">
      <c r="A229" s="8">
        <v>46354</v>
      </c>
      <c r="B229" s="8">
        <f t="shared" si="6"/>
        <v>46327</v>
      </c>
      <c r="C229" t="s">
        <v>20</v>
      </c>
      <c r="D229" s="5" t="s">
        <v>44</v>
      </c>
      <c r="E229" s="10">
        <f>IFERROR(VLOOKUP(C229,Assets!$A:$G,7,FALSE),0)</f>
        <v>160</v>
      </c>
      <c r="F229" s="11" t="s">
        <v>45</v>
      </c>
      <c r="G229" s="6"/>
      <c r="H229" s="10">
        <f t="shared" si="7"/>
        <v>160</v>
      </c>
    </row>
    <row r="230" spans="1:8" x14ac:dyDescent="0.35">
      <c r="A230" s="8">
        <v>46333</v>
      </c>
      <c r="B230" s="8">
        <f t="shared" si="6"/>
        <v>46327</v>
      </c>
      <c r="C230" t="s">
        <v>25</v>
      </c>
      <c r="D230" s="5" t="s">
        <v>44</v>
      </c>
      <c r="E230" s="10">
        <f>IFERROR(VLOOKUP(C230,Assets!$A:$G,7,FALSE),0)</f>
        <v>40</v>
      </c>
      <c r="F230" s="11" t="s">
        <v>45</v>
      </c>
      <c r="G230" s="6"/>
      <c r="H230" s="10">
        <f t="shared" si="7"/>
        <v>40</v>
      </c>
    </row>
    <row r="231" spans="1:8" x14ac:dyDescent="0.35">
      <c r="A231" s="8">
        <v>46340</v>
      </c>
      <c r="B231" s="8">
        <f t="shared" si="6"/>
        <v>46327</v>
      </c>
      <c r="C231" t="s">
        <v>25</v>
      </c>
      <c r="D231" s="5" t="s">
        <v>44</v>
      </c>
      <c r="E231" s="10">
        <f>IFERROR(VLOOKUP(C231,Assets!$A:$G,7,FALSE),0)</f>
        <v>40</v>
      </c>
      <c r="F231" s="11" t="s">
        <v>45</v>
      </c>
      <c r="G231" s="6"/>
      <c r="H231" s="10">
        <f t="shared" si="7"/>
        <v>40</v>
      </c>
    </row>
    <row r="232" spans="1:8" x14ac:dyDescent="0.35">
      <c r="A232" s="8">
        <v>46347</v>
      </c>
      <c r="B232" s="8">
        <f t="shared" si="6"/>
        <v>46327</v>
      </c>
      <c r="C232" t="s">
        <v>25</v>
      </c>
      <c r="D232" s="5" t="s">
        <v>44</v>
      </c>
      <c r="E232" s="10">
        <f>IFERROR(VLOOKUP(C232,Assets!$A:$G,7,FALSE),0)</f>
        <v>40</v>
      </c>
      <c r="F232" s="11" t="s">
        <v>45</v>
      </c>
      <c r="G232" s="6"/>
      <c r="H232" s="10">
        <f t="shared" si="7"/>
        <v>40</v>
      </c>
    </row>
    <row r="233" spans="1:8" x14ac:dyDescent="0.35">
      <c r="A233" s="8">
        <v>46354</v>
      </c>
      <c r="B233" s="8">
        <f t="shared" si="6"/>
        <v>46327</v>
      </c>
      <c r="C233" t="s">
        <v>25</v>
      </c>
      <c r="D233" s="5" t="s">
        <v>44</v>
      </c>
      <c r="E233" s="10">
        <f>IFERROR(VLOOKUP(C233,Assets!$A:$G,7,FALSE),0)</f>
        <v>40</v>
      </c>
      <c r="F233" s="11" t="s">
        <v>45</v>
      </c>
      <c r="G233" s="6"/>
      <c r="H233" s="10">
        <f t="shared" si="7"/>
        <v>40</v>
      </c>
    </row>
    <row r="234" spans="1:8" x14ac:dyDescent="0.35">
      <c r="A234" s="8">
        <v>46333</v>
      </c>
      <c r="B234" s="8">
        <f t="shared" si="6"/>
        <v>46327</v>
      </c>
      <c r="C234" t="s">
        <v>26</v>
      </c>
      <c r="D234" s="5" t="s">
        <v>44</v>
      </c>
      <c r="E234" s="10">
        <f>IFERROR(VLOOKUP(C234,Assets!$A:$G,7,FALSE),0)</f>
        <v>27</v>
      </c>
      <c r="F234" s="11" t="s">
        <v>45</v>
      </c>
      <c r="G234" s="6"/>
      <c r="H234" s="10">
        <f t="shared" si="7"/>
        <v>27</v>
      </c>
    </row>
    <row r="235" spans="1:8" x14ac:dyDescent="0.35">
      <c r="A235" s="8">
        <v>46340</v>
      </c>
      <c r="B235" s="8">
        <f t="shared" si="6"/>
        <v>46327</v>
      </c>
      <c r="C235" t="s">
        <v>26</v>
      </c>
      <c r="D235" s="5" t="s">
        <v>44</v>
      </c>
      <c r="E235" s="10">
        <f>IFERROR(VLOOKUP(C235,Assets!$A:$G,7,FALSE),0)</f>
        <v>27</v>
      </c>
      <c r="F235" s="11" t="s">
        <v>45</v>
      </c>
      <c r="G235" s="6"/>
      <c r="H235" s="10">
        <f t="shared" si="7"/>
        <v>27</v>
      </c>
    </row>
    <row r="236" spans="1:8" x14ac:dyDescent="0.35">
      <c r="A236" s="8">
        <v>46347</v>
      </c>
      <c r="B236" s="8">
        <f t="shared" si="6"/>
        <v>46327</v>
      </c>
      <c r="C236" t="s">
        <v>26</v>
      </c>
      <c r="D236" s="5" t="s">
        <v>44</v>
      </c>
      <c r="E236" s="10">
        <f>IFERROR(VLOOKUP(C236,Assets!$A:$G,7,FALSE),0)</f>
        <v>27</v>
      </c>
      <c r="F236" s="11" t="s">
        <v>45</v>
      </c>
      <c r="G236" s="6"/>
      <c r="H236" s="10">
        <f t="shared" si="7"/>
        <v>27</v>
      </c>
    </row>
    <row r="237" spans="1:8" x14ac:dyDescent="0.35">
      <c r="A237" s="8">
        <v>46354</v>
      </c>
      <c r="B237" s="8">
        <f t="shared" si="6"/>
        <v>46327</v>
      </c>
      <c r="C237" t="s">
        <v>26</v>
      </c>
      <c r="D237" s="5" t="s">
        <v>44</v>
      </c>
      <c r="E237" s="10">
        <f>IFERROR(VLOOKUP(C237,Assets!$A:$G,7,FALSE),0)</f>
        <v>27</v>
      </c>
      <c r="F237" s="11" t="s">
        <v>45</v>
      </c>
      <c r="G237" s="6"/>
      <c r="H237" s="10">
        <f t="shared" si="7"/>
        <v>27</v>
      </c>
    </row>
    <row r="238" spans="1:8" x14ac:dyDescent="0.35">
      <c r="A238" s="8">
        <v>46333</v>
      </c>
      <c r="B238" s="8">
        <f t="shared" si="6"/>
        <v>46327</v>
      </c>
      <c r="C238" t="s">
        <v>29</v>
      </c>
      <c r="D238" s="5" t="s">
        <v>44</v>
      </c>
      <c r="E238" s="10">
        <f>IFERROR(VLOOKUP(C238,Assets!$A:$G,7,FALSE),0)</f>
        <v>20</v>
      </c>
      <c r="F238" s="11" t="s">
        <v>45</v>
      </c>
      <c r="G238" s="6"/>
      <c r="H238" s="10">
        <f t="shared" si="7"/>
        <v>20</v>
      </c>
    </row>
    <row r="239" spans="1:8" x14ac:dyDescent="0.35">
      <c r="A239" s="8">
        <v>46340</v>
      </c>
      <c r="B239" s="8">
        <f t="shared" si="6"/>
        <v>46327</v>
      </c>
      <c r="C239" t="s">
        <v>29</v>
      </c>
      <c r="D239" s="5" t="s">
        <v>44</v>
      </c>
      <c r="E239" s="10">
        <f>IFERROR(VLOOKUP(C239,Assets!$A:$G,7,FALSE),0)</f>
        <v>20</v>
      </c>
      <c r="F239" s="11" t="s">
        <v>45</v>
      </c>
      <c r="G239" s="6"/>
      <c r="H239" s="10">
        <f t="shared" si="7"/>
        <v>20</v>
      </c>
    </row>
    <row r="240" spans="1:8" x14ac:dyDescent="0.35">
      <c r="A240" s="8">
        <v>46347</v>
      </c>
      <c r="B240" s="8">
        <f t="shared" si="6"/>
        <v>46327</v>
      </c>
      <c r="C240" t="s">
        <v>29</v>
      </c>
      <c r="D240" s="5" t="s">
        <v>44</v>
      </c>
      <c r="E240" s="10">
        <f>IFERROR(VLOOKUP(C240,Assets!$A:$G,7,FALSE),0)</f>
        <v>20</v>
      </c>
      <c r="F240" s="11" t="s">
        <v>45</v>
      </c>
      <c r="G240" s="6"/>
      <c r="H240" s="10">
        <f t="shared" si="7"/>
        <v>20</v>
      </c>
    </row>
    <row r="241" spans="1:8" x14ac:dyDescent="0.35">
      <c r="A241" s="8">
        <v>46354</v>
      </c>
      <c r="B241" s="8">
        <f t="shared" si="6"/>
        <v>46327</v>
      </c>
      <c r="C241" t="s">
        <v>29</v>
      </c>
      <c r="D241" s="5" t="s">
        <v>44</v>
      </c>
      <c r="E241" s="10">
        <f>IFERROR(VLOOKUP(C241,Assets!$A:$G,7,FALSE),0)</f>
        <v>20</v>
      </c>
      <c r="F241" s="11" t="s">
        <v>45</v>
      </c>
      <c r="G241" s="6"/>
      <c r="H241" s="10">
        <f t="shared" si="7"/>
        <v>20</v>
      </c>
    </row>
    <row r="242" spans="1:8" x14ac:dyDescent="0.35">
      <c r="A242" s="8">
        <v>46333</v>
      </c>
      <c r="B242" s="8">
        <f t="shared" si="6"/>
        <v>46327</v>
      </c>
      <c r="C242" t="s">
        <v>31</v>
      </c>
      <c r="D242" s="5" t="s">
        <v>44</v>
      </c>
      <c r="E242" s="10">
        <f>IFERROR(VLOOKUP(C242,Assets!$A:$G,7,FALSE),0)</f>
        <v>27</v>
      </c>
      <c r="F242" s="11" t="s">
        <v>45</v>
      </c>
      <c r="G242" s="6"/>
      <c r="H242" s="10">
        <f t="shared" si="7"/>
        <v>27</v>
      </c>
    </row>
    <row r="243" spans="1:8" x14ac:dyDescent="0.35">
      <c r="A243" s="8">
        <v>46340</v>
      </c>
      <c r="B243" s="8">
        <f t="shared" si="6"/>
        <v>46327</v>
      </c>
      <c r="C243" t="s">
        <v>31</v>
      </c>
      <c r="D243" s="5" t="s">
        <v>44</v>
      </c>
      <c r="E243" s="10">
        <f>IFERROR(VLOOKUP(C243,Assets!$A:$G,7,FALSE),0)</f>
        <v>27</v>
      </c>
      <c r="F243" s="11" t="s">
        <v>45</v>
      </c>
      <c r="G243" s="6"/>
      <c r="H243" s="10">
        <f t="shared" si="7"/>
        <v>27</v>
      </c>
    </row>
    <row r="244" spans="1:8" x14ac:dyDescent="0.35">
      <c r="A244" s="8">
        <v>46347</v>
      </c>
      <c r="B244" s="8">
        <f t="shared" si="6"/>
        <v>46327</v>
      </c>
      <c r="C244" t="s">
        <v>31</v>
      </c>
      <c r="D244" s="5" t="s">
        <v>44</v>
      </c>
      <c r="E244" s="10">
        <f>IFERROR(VLOOKUP(C244,Assets!$A:$G,7,FALSE),0)</f>
        <v>27</v>
      </c>
      <c r="F244" s="11" t="s">
        <v>45</v>
      </c>
      <c r="G244" s="6"/>
      <c r="H244" s="10">
        <f t="shared" si="7"/>
        <v>27</v>
      </c>
    </row>
    <row r="245" spans="1:8" x14ac:dyDescent="0.35">
      <c r="A245" s="8">
        <v>46354</v>
      </c>
      <c r="B245" s="8">
        <f t="shared" si="6"/>
        <v>46327</v>
      </c>
      <c r="C245" t="s">
        <v>31</v>
      </c>
      <c r="D245" s="5" t="s">
        <v>44</v>
      </c>
      <c r="E245" s="10">
        <f>IFERROR(VLOOKUP(C245,Assets!$A:$G,7,FALSE),0)</f>
        <v>27</v>
      </c>
      <c r="F245" s="11" t="s">
        <v>45</v>
      </c>
      <c r="G245" s="6"/>
      <c r="H245" s="10">
        <f t="shared" si="7"/>
        <v>27</v>
      </c>
    </row>
    <row r="246" spans="1:8" x14ac:dyDescent="0.35">
      <c r="A246" s="8">
        <v>46333</v>
      </c>
      <c r="B246" s="8">
        <f t="shared" si="6"/>
        <v>46327</v>
      </c>
      <c r="C246" t="s">
        <v>32</v>
      </c>
      <c r="D246" s="5" t="s">
        <v>44</v>
      </c>
      <c r="E246" s="10">
        <f>IFERROR(VLOOKUP(C246,Assets!$A:$G,7,FALSE),0)</f>
        <v>45</v>
      </c>
      <c r="F246" s="11" t="s">
        <v>45</v>
      </c>
      <c r="G246" s="6"/>
      <c r="H246" s="10">
        <f t="shared" si="7"/>
        <v>45</v>
      </c>
    </row>
    <row r="247" spans="1:8" x14ac:dyDescent="0.35">
      <c r="A247" s="8">
        <v>46340</v>
      </c>
      <c r="B247" s="8">
        <f t="shared" si="6"/>
        <v>46327</v>
      </c>
      <c r="C247" t="s">
        <v>32</v>
      </c>
      <c r="D247" s="5" t="s">
        <v>44</v>
      </c>
      <c r="E247" s="10">
        <f>IFERROR(VLOOKUP(C247,Assets!$A:$G,7,FALSE),0)</f>
        <v>45</v>
      </c>
      <c r="F247" s="11" t="s">
        <v>45</v>
      </c>
      <c r="G247" s="6"/>
      <c r="H247" s="10">
        <f t="shared" si="7"/>
        <v>45</v>
      </c>
    </row>
    <row r="248" spans="1:8" x14ac:dyDescent="0.35">
      <c r="A248" s="8">
        <v>46347</v>
      </c>
      <c r="B248" s="8">
        <f t="shared" si="6"/>
        <v>46327</v>
      </c>
      <c r="C248" t="s">
        <v>32</v>
      </c>
      <c r="D248" s="5" t="s">
        <v>44</v>
      </c>
      <c r="E248" s="10">
        <f>IFERROR(VLOOKUP(C248,Assets!$A:$G,7,FALSE),0)</f>
        <v>45</v>
      </c>
      <c r="F248" s="11" t="s">
        <v>45</v>
      </c>
      <c r="G248" s="6"/>
      <c r="H248" s="10">
        <f t="shared" si="7"/>
        <v>45</v>
      </c>
    </row>
    <row r="249" spans="1:8" x14ac:dyDescent="0.35">
      <c r="A249" s="8">
        <v>46354</v>
      </c>
      <c r="B249" s="8">
        <f t="shared" si="6"/>
        <v>46327</v>
      </c>
      <c r="C249" t="s">
        <v>32</v>
      </c>
      <c r="D249" s="5" t="s">
        <v>44</v>
      </c>
      <c r="E249" s="10">
        <f>IFERROR(VLOOKUP(C249,Assets!$A:$G,7,FALSE),0)</f>
        <v>45</v>
      </c>
      <c r="F249" s="11" t="s">
        <v>45</v>
      </c>
      <c r="G249" s="6"/>
      <c r="H249" s="10">
        <f t="shared" si="7"/>
        <v>45</v>
      </c>
    </row>
    <row r="250" spans="1:8" x14ac:dyDescent="0.35">
      <c r="A250" s="8">
        <v>46333</v>
      </c>
      <c r="B250" s="8">
        <f t="shared" si="6"/>
        <v>46327</v>
      </c>
      <c r="C250" t="s">
        <v>33</v>
      </c>
      <c r="D250" s="5" t="s">
        <v>44</v>
      </c>
      <c r="E250" s="10">
        <f>IFERROR(VLOOKUP(C250,Assets!$A:$G,7,FALSE),0)</f>
        <v>41</v>
      </c>
      <c r="F250" s="11" t="s">
        <v>45</v>
      </c>
      <c r="G250" s="6"/>
      <c r="H250" s="10">
        <f t="shared" si="7"/>
        <v>41</v>
      </c>
    </row>
    <row r="251" spans="1:8" x14ac:dyDescent="0.35">
      <c r="A251" s="8">
        <v>46340</v>
      </c>
      <c r="B251" s="8">
        <f t="shared" si="6"/>
        <v>46327</v>
      </c>
      <c r="C251" t="s">
        <v>33</v>
      </c>
      <c r="D251" s="5" t="s">
        <v>44</v>
      </c>
      <c r="E251" s="10">
        <f>IFERROR(VLOOKUP(C251,Assets!$A:$G,7,FALSE),0)</f>
        <v>41</v>
      </c>
      <c r="F251" s="11" t="s">
        <v>45</v>
      </c>
      <c r="G251" s="6"/>
      <c r="H251" s="10">
        <f t="shared" si="7"/>
        <v>41</v>
      </c>
    </row>
    <row r="252" spans="1:8" x14ac:dyDescent="0.35">
      <c r="A252" s="8">
        <v>46347</v>
      </c>
      <c r="B252" s="8">
        <f t="shared" si="6"/>
        <v>46327</v>
      </c>
      <c r="C252" t="s">
        <v>33</v>
      </c>
      <c r="D252" s="5" t="s">
        <v>44</v>
      </c>
      <c r="E252" s="10">
        <f>IFERROR(VLOOKUP(C252,Assets!$A:$G,7,FALSE),0)</f>
        <v>41</v>
      </c>
      <c r="F252" s="11" t="s">
        <v>45</v>
      </c>
      <c r="G252" s="6"/>
      <c r="H252" s="10">
        <f t="shared" si="7"/>
        <v>41</v>
      </c>
    </row>
    <row r="253" spans="1:8" x14ac:dyDescent="0.35">
      <c r="A253" s="8">
        <v>46354</v>
      </c>
      <c r="B253" s="8">
        <f t="shared" si="6"/>
        <v>46327</v>
      </c>
      <c r="C253" t="s">
        <v>33</v>
      </c>
      <c r="D253" s="5" t="s">
        <v>44</v>
      </c>
      <c r="E253" s="10">
        <f>IFERROR(VLOOKUP(C253,Assets!$A:$G,7,FALSE),0)</f>
        <v>41</v>
      </c>
      <c r="F253" s="11" t="s">
        <v>45</v>
      </c>
      <c r="G253" s="6"/>
      <c r="H253" s="10">
        <f t="shared" si="7"/>
        <v>41</v>
      </c>
    </row>
    <row r="254" spans="1:8" x14ac:dyDescent="0.35">
      <c r="A254" s="8">
        <v>46333</v>
      </c>
      <c r="B254" s="8">
        <f t="shared" si="6"/>
        <v>46327</v>
      </c>
      <c r="C254" t="s">
        <v>34</v>
      </c>
      <c r="D254" s="5" t="s">
        <v>44</v>
      </c>
      <c r="E254" s="10">
        <f>IFERROR(VLOOKUP(C254,Assets!$A:$G,7,FALSE),0)</f>
        <v>15</v>
      </c>
      <c r="F254" s="11" t="s">
        <v>45</v>
      </c>
      <c r="G254" s="6"/>
      <c r="H254" s="10">
        <f t="shared" si="7"/>
        <v>15</v>
      </c>
    </row>
    <row r="255" spans="1:8" x14ac:dyDescent="0.35">
      <c r="A255" s="8">
        <v>46340</v>
      </c>
      <c r="B255" s="8">
        <f t="shared" si="6"/>
        <v>46327</v>
      </c>
      <c r="C255" t="s">
        <v>34</v>
      </c>
      <c r="D255" s="5" t="s">
        <v>44</v>
      </c>
      <c r="E255" s="10">
        <f>IFERROR(VLOOKUP(C255,Assets!$A:$G,7,FALSE),0)</f>
        <v>15</v>
      </c>
      <c r="F255" s="11" t="s">
        <v>45</v>
      </c>
      <c r="G255" s="6"/>
      <c r="H255" s="10">
        <f t="shared" si="7"/>
        <v>15</v>
      </c>
    </row>
    <row r="256" spans="1:8" x14ac:dyDescent="0.35">
      <c r="A256" s="8">
        <v>46347</v>
      </c>
      <c r="B256" s="8">
        <f t="shared" si="6"/>
        <v>46327</v>
      </c>
      <c r="C256" t="s">
        <v>34</v>
      </c>
      <c r="D256" s="5" t="s">
        <v>44</v>
      </c>
      <c r="E256" s="10">
        <f>IFERROR(VLOOKUP(C256,Assets!$A:$G,7,FALSE),0)</f>
        <v>15</v>
      </c>
      <c r="F256" s="11" t="s">
        <v>45</v>
      </c>
      <c r="G256" s="6"/>
      <c r="H256" s="10">
        <f t="shared" si="7"/>
        <v>15</v>
      </c>
    </row>
    <row r="257" spans="1:8" x14ac:dyDescent="0.35">
      <c r="A257" s="8">
        <v>46354</v>
      </c>
      <c r="B257" s="8">
        <f t="shared" si="6"/>
        <v>46327</v>
      </c>
      <c r="C257" t="s">
        <v>34</v>
      </c>
      <c r="D257" s="5" t="s">
        <v>44</v>
      </c>
      <c r="E257" s="10">
        <f>IFERROR(VLOOKUP(C257,Assets!$A:$G,7,FALSE),0)</f>
        <v>15</v>
      </c>
      <c r="F257" s="11" t="s">
        <v>45</v>
      </c>
      <c r="G257" s="6"/>
      <c r="H257" s="10">
        <f t="shared" si="7"/>
        <v>15</v>
      </c>
    </row>
    <row r="258" spans="1:8" x14ac:dyDescent="0.35">
      <c r="A258" s="8">
        <v>46363</v>
      </c>
      <c r="B258" s="8">
        <f t="shared" ref="B258:B321" si="8">DATE(YEAR(A258),MONTH(A258),1)</f>
        <v>46357</v>
      </c>
      <c r="C258" t="s">
        <v>20</v>
      </c>
      <c r="D258" s="5" t="s">
        <v>44</v>
      </c>
      <c r="E258" s="10">
        <f>IFERROR(VLOOKUP(C258,Assets!$A:$G,7,FALSE),0)</f>
        <v>160</v>
      </c>
      <c r="F258" s="11" t="s">
        <v>45</v>
      </c>
      <c r="G258" s="6"/>
      <c r="H258" s="10">
        <f t="shared" ref="H258:H321" si="9">IF(F258="No",0,IF(F258="Edited",IF(G258="",E258,G258),E258))</f>
        <v>160</v>
      </c>
    </row>
    <row r="259" spans="1:8" x14ac:dyDescent="0.35">
      <c r="A259" s="8">
        <v>46370</v>
      </c>
      <c r="B259" s="8">
        <f t="shared" si="8"/>
        <v>46357</v>
      </c>
      <c r="C259" t="s">
        <v>20</v>
      </c>
      <c r="D259" s="5" t="s">
        <v>44</v>
      </c>
      <c r="E259" s="10">
        <f>IFERROR(VLOOKUP(C259,Assets!$A:$G,7,FALSE),0)</f>
        <v>160</v>
      </c>
      <c r="F259" s="11" t="s">
        <v>45</v>
      </c>
      <c r="G259" s="6"/>
      <c r="H259" s="10">
        <f t="shared" si="9"/>
        <v>160</v>
      </c>
    </row>
    <row r="260" spans="1:8" x14ac:dyDescent="0.35">
      <c r="A260" s="8">
        <v>46377</v>
      </c>
      <c r="B260" s="8">
        <f t="shared" si="8"/>
        <v>46357</v>
      </c>
      <c r="C260" t="s">
        <v>20</v>
      </c>
      <c r="D260" s="5" t="s">
        <v>44</v>
      </c>
      <c r="E260" s="10">
        <f>IFERROR(VLOOKUP(C260,Assets!$A:$G,7,FALSE),0)</f>
        <v>160</v>
      </c>
      <c r="F260" s="11" t="s">
        <v>45</v>
      </c>
      <c r="G260" s="6"/>
      <c r="H260" s="10">
        <f t="shared" si="9"/>
        <v>160</v>
      </c>
    </row>
    <row r="261" spans="1:8" x14ac:dyDescent="0.35">
      <c r="A261" s="8">
        <v>46384</v>
      </c>
      <c r="B261" s="8">
        <f t="shared" si="8"/>
        <v>46357</v>
      </c>
      <c r="C261" t="s">
        <v>20</v>
      </c>
      <c r="D261" s="5" t="s">
        <v>44</v>
      </c>
      <c r="E261" s="10">
        <f>IFERROR(VLOOKUP(C261,Assets!$A:$G,7,FALSE),0)</f>
        <v>160</v>
      </c>
      <c r="F261" s="11" t="s">
        <v>45</v>
      </c>
      <c r="G261" s="6"/>
      <c r="H261" s="10">
        <f t="shared" si="9"/>
        <v>160</v>
      </c>
    </row>
    <row r="262" spans="1:8" x14ac:dyDescent="0.35">
      <c r="A262" s="8">
        <v>46363</v>
      </c>
      <c r="B262" s="8">
        <f t="shared" si="8"/>
        <v>46357</v>
      </c>
      <c r="C262" t="s">
        <v>25</v>
      </c>
      <c r="D262" s="5" t="s">
        <v>44</v>
      </c>
      <c r="E262" s="10">
        <f>IFERROR(VLOOKUP(C262,Assets!$A:$G,7,FALSE),0)</f>
        <v>40</v>
      </c>
      <c r="F262" s="11" t="s">
        <v>45</v>
      </c>
      <c r="G262" s="6"/>
      <c r="H262" s="10">
        <f t="shared" si="9"/>
        <v>40</v>
      </c>
    </row>
    <row r="263" spans="1:8" x14ac:dyDescent="0.35">
      <c r="A263" s="8">
        <v>46370</v>
      </c>
      <c r="B263" s="8">
        <f t="shared" si="8"/>
        <v>46357</v>
      </c>
      <c r="C263" t="s">
        <v>25</v>
      </c>
      <c r="D263" s="5" t="s">
        <v>44</v>
      </c>
      <c r="E263" s="10">
        <f>IFERROR(VLOOKUP(C263,Assets!$A:$G,7,FALSE),0)</f>
        <v>40</v>
      </c>
      <c r="F263" s="11" t="s">
        <v>45</v>
      </c>
      <c r="G263" s="6"/>
      <c r="H263" s="10">
        <f t="shared" si="9"/>
        <v>40</v>
      </c>
    </row>
    <row r="264" spans="1:8" x14ac:dyDescent="0.35">
      <c r="A264" s="8">
        <v>46377</v>
      </c>
      <c r="B264" s="8">
        <f t="shared" si="8"/>
        <v>46357</v>
      </c>
      <c r="C264" t="s">
        <v>25</v>
      </c>
      <c r="D264" s="5" t="s">
        <v>44</v>
      </c>
      <c r="E264" s="10">
        <f>IFERROR(VLOOKUP(C264,Assets!$A:$G,7,FALSE),0)</f>
        <v>40</v>
      </c>
      <c r="F264" s="11" t="s">
        <v>45</v>
      </c>
      <c r="G264" s="6"/>
      <c r="H264" s="10">
        <f t="shared" si="9"/>
        <v>40</v>
      </c>
    </row>
    <row r="265" spans="1:8" x14ac:dyDescent="0.35">
      <c r="A265" s="8">
        <v>46384</v>
      </c>
      <c r="B265" s="8">
        <f t="shared" si="8"/>
        <v>46357</v>
      </c>
      <c r="C265" t="s">
        <v>25</v>
      </c>
      <c r="D265" s="5" t="s">
        <v>44</v>
      </c>
      <c r="E265" s="10">
        <f>IFERROR(VLOOKUP(C265,Assets!$A:$G,7,FALSE),0)</f>
        <v>40</v>
      </c>
      <c r="F265" s="11" t="s">
        <v>45</v>
      </c>
      <c r="G265" s="6"/>
      <c r="H265" s="10">
        <f t="shared" si="9"/>
        <v>40</v>
      </c>
    </row>
    <row r="266" spans="1:8" x14ac:dyDescent="0.35">
      <c r="A266" s="8">
        <v>46363</v>
      </c>
      <c r="B266" s="8">
        <f t="shared" si="8"/>
        <v>46357</v>
      </c>
      <c r="C266" t="s">
        <v>26</v>
      </c>
      <c r="D266" s="5" t="s">
        <v>44</v>
      </c>
      <c r="E266" s="10">
        <f>IFERROR(VLOOKUP(C266,Assets!$A:$G,7,FALSE),0)</f>
        <v>27</v>
      </c>
      <c r="F266" s="11" t="s">
        <v>45</v>
      </c>
      <c r="G266" s="6"/>
      <c r="H266" s="10">
        <f t="shared" si="9"/>
        <v>27</v>
      </c>
    </row>
    <row r="267" spans="1:8" x14ac:dyDescent="0.35">
      <c r="A267" s="8">
        <v>46370</v>
      </c>
      <c r="B267" s="8">
        <f t="shared" si="8"/>
        <v>46357</v>
      </c>
      <c r="C267" t="s">
        <v>26</v>
      </c>
      <c r="D267" s="5" t="s">
        <v>44</v>
      </c>
      <c r="E267" s="10">
        <f>IFERROR(VLOOKUP(C267,Assets!$A:$G,7,FALSE),0)</f>
        <v>27</v>
      </c>
      <c r="F267" s="11" t="s">
        <v>45</v>
      </c>
      <c r="G267" s="6"/>
      <c r="H267" s="10">
        <f t="shared" si="9"/>
        <v>27</v>
      </c>
    </row>
    <row r="268" spans="1:8" x14ac:dyDescent="0.35">
      <c r="A268" s="8">
        <v>46377</v>
      </c>
      <c r="B268" s="8">
        <f t="shared" si="8"/>
        <v>46357</v>
      </c>
      <c r="C268" t="s">
        <v>26</v>
      </c>
      <c r="D268" s="5" t="s">
        <v>44</v>
      </c>
      <c r="E268" s="10">
        <f>IFERROR(VLOOKUP(C268,Assets!$A:$G,7,FALSE),0)</f>
        <v>27</v>
      </c>
      <c r="F268" s="11" t="s">
        <v>45</v>
      </c>
      <c r="G268" s="6"/>
      <c r="H268" s="10">
        <f t="shared" si="9"/>
        <v>27</v>
      </c>
    </row>
    <row r="269" spans="1:8" x14ac:dyDescent="0.35">
      <c r="A269" s="8">
        <v>46384</v>
      </c>
      <c r="B269" s="8">
        <f t="shared" si="8"/>
        <v>46357</v>
      </c>
      <c r="C269" t="s">
        <v>26</v>
      </c>
      <c r="D269" s="5" t="s">
        <v>44</v>
      </c>
      <c r="E269" s="10">
        <f>IFERROR(VLOOKUP(C269,Assets!$A:$G,7,FALSE),0)</f>
        <v>27</v>
      </c>
      <c r="F269" s="11" t="s">
        <v>45</v>
      </c>
      <c r="G269" s="6"/>
      <c r="H269" s="10">
        <f t="shared" si="9"/>
        <v>27</v>
      </c>
    </row>
    <row r="270" spans="1:8" x14ac:dyDescent="0.35">
      <c r="A270" s="8">
        <v>46363</v>
      </c>
      <c r="B270" s="8">
        <f t="shared" si="8"/>
        <v>46357</v>
      </c>
      <c r="C270" t="s">
        <v>29</v>
      </c>
      <c r="D270" s="5" t="s">
        <v>44</v>
      </c>
      <c r="E270" s="10">
        <f>IFERROR(VLOOKUP(C270,Assets!$A:$G,7,FALSE),0)</f>
        <v>20</v>
      </c>
      <c r="F270" s="11" t="s">
        <v>45</v>
      </c>
      <c r="G270" s="6"/>
      <c r="H270" s="10">
        <f t="shared" si="9"/>
        <v>20</v>
      </c>
    </row>
    <row r="271" spans="1:8" x14ac:dyDescent="0.35">
      <c r="A271" s="8">
        <v>46370</v>
      </c>
      <c r="B271" s="8">
        <f t="shared" si="8"/>
        <v>46357</v>
      </c>
      <c r="C271" t="s">
        <v>29</v>
      </c>
      <c r="D271" s="5" t="s">
        <v>44</v>
      </c>
      <c r="E271" s="10">
        <f>IFERROR(VLOOKUP(C271,Assets!$A:$G,7,FALSE),0)</f>
        <v>20</v>
      </c>
      <c r="F271" s="11" t="s">
        <v>45</v>
      </c>
      <c r="G271" s="6"/>
      <c r="H271" s="10">
        <f t="shared" si="9"/>
        <v>20</v>
      </c>
    </row>
    <row r="272" spans="1:8" x14ac:dyDescent="0.35">
      <c r="A272" s="8">
        <v>46377</v>
      </c>
      <c r="B272" s="8">
        <f t="shared" si="8"/>
        <v>46357</v>
      </c>
      <c r="C272" t="s">
        <v>29</v>
      </c>
      <c r="D272" s="5" t="s">
        <v>44</v>
      </c>
      <c r="E272" s="10">
        <f>IFERROR(VLOOKUP(C272,Assets!$A:$G,7,FALSE),0)</f>
        <v>20</v>
      </c>
      <c r="F272" s="11" t="s">
        <v>45</v>
      </c>
      <c r="G272" s="6"/>
      <c r="H272" s="10">
        <f t="shared" si="9"/>
        <v>20</v>
      </c>
    </row>
    <row r="273" spans="1:8" x14ac:dyDescent="0.35">
      <c r="A273" s="8">
        <v>46384</v>
      </c>
      <c r="B273" s="8">
        <f t="shared" si="8"/>
        <v>46357</v>
      </c>
      <c r="C273" t="s">
        <v>29</v>
      </c>
      <c r="D273" s="5" t="s">
        <v>44</v>
      </c>
      <c r="E273" s="10">
        <f>IFERROR(VLOOKUP(C273,Assets!$A:$G,7,FALSE),0)</f>
        <v>20</v>
      </c>
      <c r="F273" s="11" t="s">
        <v>45</v>
      </c>
      <c r="G273" s="6"/>
      <c r="H273" s="10">
        <f t="shared" si="9"/>
        <v>20</v>
      </c>
    </row>
    <row r="274" spans="1:8" x14ac:dyDescent="0.35">
      <c r="A274" s="8">
        <v>46363</v>
      </c>
      <c r="B274" s="8">
        <f t="shared" si="8"/>
        <v>46357</v>
      </c>
      <c r="C274" t="s">
        <v>31</v>
      </c>
      <c r="D274" s="5" t="s">
        <v>44</v>
      </c>
      <c r="E274" s="10">
        <f>IFERROR(VLOOKUP(C274,Assets!$A:$G,7,FALSE),0)</f>
        <v>27</v>
      </c>
      <c r="F274" s="11" t="s">
        <v>45</v>
      </c>
      <c r="G274" s="6"/>
      <c r="H274" s="10">
        <f t="shared" si="9"/>
        <v>27</v>
      </c>
    </row>
    <row r="275" spans="1:8" x14ac:dyDescent="0.35">
      <c r="A275" s="8">
        <v>46370</v>
      </c>
      <c r="B275" s="8">
        <f t="shared" si="8"/>
        <v>46357</v>
      </c>
      <c r="C275" t="s">
        <v>31</v>
      </c>
      <c r="D275" s="5" t="s">
        <v>44</v>
      </c>
      <c r="E275" s="10">
        <f>IFERROR(VLOOKUP(C275,Assets!$A:$G,7,FALSE),0)</f>
        <v>27</v>
      </c>
      <c r="F275" s="11" t="s">
        <v>45</v>
      </c>
      <c r="G275" s="6"/>
      <c r="H275" s="10">
        <f t="shared" si="9"/>
        <v>27</v>
      </c>
    </row>
    <row r="276" spans="1:8" x14ac:dyDescent="0.35">
      <c r="A276" s="8">
        <v>46377</v>
      </c>
      <c r="B276" s="8">
        <f t="shared" si="8"/>
        <v>46357</v>
      </c>
      <c r="C276" t="s">
        <v>31</v>
      </c>
      <c r="D276" s="5" t="s">
        <v>44</v>
      </c>
      <c r="E276" s="10">
        <f>IFERROR(VLOOKUP(C276,Assets!$A:$G,7,FALSE),0)</f>
        <v>27</v>
      </c>
      <c r="F276" s="11" t="s">
        <v>45</v>
      </c>
      <c r="G276" s="6"/>
      <c r="H276" s="10">
        <f t="shared" si="9"/>
        <v>27</v>
      </c>
    </row>
    <row r="277" spans="1:8" x14ac:dyDescent="0.35">
      <c r="A277" s="8">
        <v>46384</v>
      </c>
      <c r="B277" s="8">
        <f t="shared" si="8"/>
        <v>46357</v>
      </c>
      <c r="C277" t="s">
        <v>31</v>
      </c>
      <c r="D277" s="5" t="s">
        <v>44</v>
      </c>
      <c r="E277" s="10">
        <f>IFERROR(VLOOKUP(C277,Assets!$A:$G,7,FALSE),0)</f>
        <v>27</v>
      </c>
      <c r="F277" s="11" t="s">
        <v>45</v>
      </c>
      <c r="G277" s="6"/>
      <c r="H277" s="10">
        <f t="shared" si="9"/>
        <v>27</v>
      </c>
    </row>
    <row r="278" spans="1:8" x14ac:dyDescent="0.35">
      <c r="A278" s="8">
        <v>46363</v>
      </c>
      <c r="B278" s="8">
        <f t="shared" si="8"/>
        <v>46357</v>
      </c>
      <c r="C278" t="s">
        <v>32</v>
      </c>
      <c r="D278" s="5" t="s">
        <v>44</v>
      </c>
      <c r="E278" s="10">
        <f>IFERROR(VLOOKUP(C278,Assets!$A:$G,7,FALSE),0)</f>
        <v>45</v>
      </c>
      <c r="F278" s="11" t="s">
        <v>45</v>
      </c>
      <c r="G278" s="6"/>
      <c r="H278" s="10">
        <f t="shared" si="9"/>
        <v>45</v>
      </c>
    </row>
    <row r="279" spans="1:8" x14ac:dyDescent="0.35">
      <c r="A279" s="8">
        <v>46370</v>
      </c>
      <c r="B279" s="8">
        <f t="shared" si="8"/>
        <v>46357</v>
      </c>
      <c r="C279" t="s">
        <v>32</v>
      </c>
      <c r="D279" s="5" t="s">
        <v>44</v>
      </c>
      <c r="E279" s="10">
        <f>IFERROR(VLOOKUP(C279,Assets!$A:$G,7,FALSE),0)</f>
        <v>45</v>
      </c>
      <c r="F279" s="11" t="s">
        <v>45</v>
      </c>
      <c r="G279" s="6"/>
      <c r="H279" s="10">
        <f t="shared" si="9"/>
        <v>45</v>
      </c>
    </row>
    <row r="280" spans="1:8" x14ac:dyDescent="0.35">
      <c r="A280" s="8">
        <v>46377</v>
      </c>
      <c r="B280" s="8">
        <f t="shared" si="8"/>
        <v>46357</v>
      </c>
      <c r="C280" t="s">
        <v>32</v>
      </c>
      <c r="D280" s="5" t="s">
        <v>44</v>
      </c>
      <c r="E280" s="10">
        <f>IFERROR(VLOOKUP(C280,Assets!$A:$G,7,FALSE),0)</f>
        <v>45</v>
      </c>
      <c r="F280" s="11" t="s">
        <v>45</v>
      </c>
      <c r="G280" s="6"/>
      <c r="H280" s="10">
        <f t="shared" si="9"/>
        <v>45</v>
      </c>
    </row>
    <row r="281" spans="1:8" x14ac:dyDescent="0.35">
      <c r="A281" s="8">
        <v>46384</v>
      </c>
      <c r="B281" s="8">
        <f t="shared" si="8"/>
        <v>46357</v>
      </c>
      <c r="C281" t="s">
        <v>32</v>
      </c>
      <c r="D281" s="5" t="s">
        <v>44</v>
      </c>
      <c r="E281" s="10">
        <f>IFERROR(VLOOKUP(C281,Assets!$A:$G,7,FALSE),0)</f>
        <v>45</v>
      </c>
      <c r="F281" s="11" t="s">
        <v>45</v>
      </c>
      <c r="G281" s="6"/>
      <c r="H281" s="10">
        <f t="shared" si="9"/>
        <v>45</v>
      </c>
    </row>
    <row r="282" spans="1:8" x14ac:dyDescent="0.35">
      <c r="A282" s="8">
        <v>46363</v>
      </c>
      <c r="B282" s="8">
        <f t="shared" si="8"/>
        <v>46357</v>
      </c>
      <c r="C282" t="s">
        <v>33</v>
      </c>
      <c r="D282" s="5" t="s">
        <v>44</v>
      </c>
      <c r="E282" s="10">
        <f>IFERROR(VLOOKUP(C282,Assets!$A:$G,7,FALSE),0)</f>
        <v>41</v>
      </c>
      <c r="F282" s="11" t="s">
        <v>45</v>
      </c>
      <c r="G282" s="6"/>
      <c r="H282" s="10">
        <f t="shared" si="9"/>
        <v>41</v>
      </c>
    </row>
    <row r="283" spans="1:8" x14ac:dyDescent="0.35">
      <c r="A283" s="8">
        <v>46370</v>
      </c>
      <c r="B283" s="8">
        <f t="shared" si="8"/>
        <v>46357</v>
      </c>
      <c r="C283" t="s">
        <v>33</v>
      </c>
      <c r="D283" s="5" t="s">
        <v>44</v>
      </c>
      <c r="E283" s="10">
        <f>IFERROR(VLOOKUP(C283,Assets!$A:$G,7,FALSE),0)</f>
        <v>41</v>
      </c>
      <c r="F283" s="11" t="s">
        <v>45</v>
      </c>
      <c r="G283" s="6"/>
      <c r="H283" s="10">
        <f t="shared" si="9"/>
        <v>41</v>
      </c>
    </row>
    <row r="284" spans="1:8" x14ac:dyDescent="0.35">
      <c r="A284" s="8">
        <v>46377</v>
      </c>
      <c r="B284" s="8">
        <f t="shared" si="8"/>
        <v>46357</v>
      </c>
      <c r="C284" t="s">
        <v>33</v>
      </c>
      <c r="D284" s="5" t="s">
        <v>44</v>
      </c>
      <c r="E284" s="10">
        <f>IFERROR(VLOOKUP(C284,Assets!$A:$G,7,FALSE),0)</f>
        <v>41</v>
      </c>
      <c r="F284" s="11" t="s">
        <v>45</v>
      </c>
      <c r="G284" s="6"/>
      <c r="H284" s="10">
        <f t="shared" si="9"/>
        <v>41</v>
      </c>
    </row>
    <row r="285" spans="1:8" x14ac:dyDescent="0.35">
      <c r="A285" s="8">
        <v>46384</v>
      </c>
      <c r="B285" s="8">
        <f t="shared" si="8"/>
        <v>46357</v>
      </c>
      <c r="C285" t="s">
        <v>33</v>
      </c>
      <c r="D285" s="5" t="s">
        <v>44</v>
      </c>
      <c r="E285" s="10">
        <f>IFERROR(VLOOKUP(C285,Assets!$A:$G,7,FALSE),0)</f>
        <v>41</v>
      </c>
      <c r="F285" s="11" t="s">
        <v>45</v>
      </c>
      <c r="G285" s="6"/>
      <c r="H285" s="10">
        <f t="shared" si="9"/>
        <v>41</v>
      </c>
    </row>
    <row r="286" spans="1:8" x14ac:dyDescent="0.35">
      <c r="A286" s="8">
        <v>46363</v>
      </c>
      <c r="B286" s="8">
        <f t="shared" si="8"/>
        <v>46357</v>
      </c>
      <c r="C286" t="s">
        <v>34</v>
      </c>
      <c r="D286" s="5" t="s">
        <v>44</v>
      </c>
      <c r="E286" s="10">
        <f>IFERROR(VLOOKUP(C286,Assets!$A:$G,7,FALSE),0)</f>
        <v>15</v>
      </c>
      <c r="F286" s="11" t="s">
        <v>45</v>
      </c>
      <c r="G286" s="6"/>
      <c r="H286" s="10">
        <f t="shared" si="9"/>
        <v>15</v>
      </c>
    </row>
    <row r="287" spans="1:8" x14ac:dyDescent="0.35">
      <c r="A287" s="8">
        <v>46370</v>
      </c>
      <c r="B287" s="8">
        <f t="shared" si="8"/>
        <v>46357</v>
      </c>
      <c r="C287" t="s">
        <v>34</v>
      </c>
      <c r="D287" s="5" t="s">
        <v>44</v>
      </c>
      <c r="E287" s="10">
        <f>IFERROR(VLOOKUP(C287,Assets!$A:$G,7,FALSE),0)</f>
        <v>15</v>
      </c>
      <c r="F287" s="11" t="s">
        <v>45</v>
      </c>
      <c r="G287" s="6"/>
      <c r="H287" s="10">
        <f t="shared" si="9"/>
        <v>15</v>
      </c>
    </row>
    <row r="288" spans="1:8" x14ac:dyDescent="0.35">
      <c r="A288" s="8">
        <v>46377</v>
      </c>
      <c r="B288" s="8">
        <f t="shared" si="8"/>
        <v>46357</v>
      </c>
      <c r="C288" t="s">
        <v>34</v>
      </c>
      <c r="D288" s="5" t="s">
        <v>44</v>
      </c>
      <c r="E288" s="10">
        <f>IFERROR(VLOOKUP(C288,Assets!$A:$G,7,FALSE),0)</f>
        <v>15</v>
      </c>
      <c r="F288" s="11" t="s">
        <v>45</v>
      </c>
      <c r="G288" s="6"/>
      <c r="H288" s="10">
        <f t="shared" si="9"/>
        <v>15</v>
      </c>
    </row>
    <row r="289" spans="1:8" x14ac:dyDescent="0.35">
      <c r="A289" s="8">
        <v>46384</v>
      </c>
      <c r="B289" s="8">
        <f t="shared" si="8"/>
        <v>46357</v>
      </c>
      <c r="C289" t="s">
        <v>34</v>
      </c>
      <c r="D289" s="5" t="s">
        <v>44</v>
      </c>
      <c r="E289" s="10">
        <f>IFERROR(VLOOKUP(C289,Assets!$A:$G,7,FALSE),0)</f>
        <v>15</v>
      </c>
      <c r="F289" s="11" t="s">
        <v>45</v>
      </c>
      <c r="G289" s="6"/>
      <c r="H289" s="10">
        <f t="shared" si="9"/>
        <v>15</v>
      </c>
    </row>
    <row r="290" spans="1:8" x14ac:dyDescent="0.35">
      <c r="A290" s="8">
        <v>46394</v>
      </c>
      <c r="B290" s="8">
        <f t="shared" si="8"/>
        <v>46388</v>
      </c>
      <c r="C290" t="s">
        <v>20</v>
      </c>
      <c r="D290" s="5" t="s">
        <v>44</v>
      </c>
      <c r="E290" s="10">
        <f>IFERROR(VLOOKUP(C290,Assets!$A:$G,7,FALSE),0)</f>
        <v>160</v>
      </c>
      <c r="F290" s="11" t="s">
        <v>45</v>
      </c>
      <c r="G290" s="6"/>
      <c r="H290" s="10">
        <f t="shared" si="9"/>
        <v>160</v>
      </c>
    </row>
    <row r="291" spans="1:8" x14ac:dyDescent="0.35">
      <c r="A291" s="8">
        <v>46401</v>
      </c>
      <c r="B291" s="8">
        <f t="shared" si="8"/>
        <v>46388</v>
      </c>
      <c r="C291" t="s">
        <v>20</v>
      </c>
      <c r="D291" s="5" t="s">
        <v>44</v>
      </c>
      <c r="E291" s="10">
        <f>IFERROR(VLOOKUP(C291,Assets!$A:$G,7,FALSE),0)</f>
        <v>160</v>
      </c>
      <c r="F291" s="11" t="s">
        <v>45</v>
      </c>
      <c r="G291" s="6"/>
      <c r="H291" s="10">
        <f t="shared" si="9"/>
        <v>160</v>
      </c>
    </row>
    <row r="292" spans="1:8" x14ac:dyDescent="0.35">
      <c r="A292" s="8">
        <v>46408</v>
      </c>
      <c r="B292" s="8">
        <f t="shared" si="8"/>
        <v>46388</v>
      </c>
      <c r="C292" t="s">
        <v>20</v>
      </c>
      <c r="D292" s="5" t="s">
        <v>44</v>
      </c>
      <c r="E292" s="10">
        <f>IFERROR(VLOOKUP(C292,Assets!$A:$G,7,FALSE),0)</f>
        <v>160</v>
      </c>
      <c r="F292" s="11" t="s">
        <v>45</v>
      </c>
      <c r="G292" s="6"/>
      <c r="H292" s="10">
        <f t="shared" si="9"/>
        <v>160</v>
      </c>
    </row>
    <row r="293" spans="1:8" x14ac:dyDescent="0.35">
      <c r="A293" s="8">
        <v>46415</v>
      </c>
      <c r="B293" s="8">
        <f t="shared" si="8"/>
        <v>46388</v>
      </c>
      <c r="C293" t="s">
        <v>20</v>
      </c>
      <c r="D293" s="5" t="s">
        <v>44</v>
      </c>
      <c r="E293" s="10">
        <f>IFERROR(VLOOKUP(C293,Assets!$A:$G,7,FALSE),0)</f>
        <v>160</v>
      </c>
      <c r="F293" s="11" t="s">
        <v>45</v>
      </c>
      <c r="G293" s="6"/>
      <c r="H293" s="10">
        <f t="shared" si="9"/>
        <v>160</v>
      </c>
    </row>
    <row r="294" spans="1:8" x14ac:dyDescent="0.35">
      <c r="A294" s="8">
        <v>46394</v>
      </c>
      <c r="B294" s="8">
        <f t="shared" si="8"/>
        <v>46388</v>
      </c>
      <c r="C294" t="s">
        <v>25</v>
      </c>
      <c r="D294" s="5" t="s">
        <v>44</v>
      </c>
      <c r="E294" s="10">
        <f>IFERROR(VLOOKUP(C294,Assets!$A:$G,7,FALSE),0)</f>
        <v>40</v>
      </c>
      <c r="F294" s="11" t="s">
        <v>45</v>
      </c>
      <c r="G294" s="6"/>
      <c r="H294" s="10">
        <f t="shared" si="9"/>
        <v>40</v>
      </c>
    </row>
    <row r="295" spans="1:8" x14ac:dyDescent="0.35">
      <c r="A295" s="8">
        <v>46401</v>
      </c>
      <c r="B295" s="8">
        <f t="shared" si="8"/>
        <v>46388</v>
      </c>
      <c r="C295" t="s">
        <v>25</v>
      </c>
      <c r="D295" s="5" t="s">
        <v>44</v>
      </c>
      <c r="E295" s="10">
        <f>IFERROR(VLOOKUP(C295,Assets!$A:$G,7,FALSE),0)</f>
        <v>40</v>
      </c>
      <c r="F295" s="11" t="s">
        <v>45</v>
      </c>
      <c r="G295" s="6"/>
      <c r="H295" s="10">
        <f t="shared" si="9"/>
        <v>40</v>
      </c>
    </row>
    <row r="296" spans="1:8" x14ac:dyDescent="0.35">
      <c r="A296" s="8">
        <v>46408</v>
      </c>
      <c r="B296" s="8">
        <f t="shared" si="8"/>
        <v>46388</v>
      </c>
      <c r="C296" t="s">
        <v>25</v>
      </c>
      <c r="D296" s="5" t="s">
        <v>44</v>
      </c>
      <c r="E296" s="10">
        <f>IFERROR(VLOOKUP(C296,Assets!$A:$G,7,FALSE),0)</f>
        <v>40</v>
      </c>
      <c r="F296" s="11" t="s">
        <v>45</v>
      </c>
      <c r="G296" s="6"/>
      <c r="H296" s="10">
        <f t="shared" si="9"/>
        <v>40</v>
      </c>
    </row>
    <row r="297" spans="1:8" x14ac:dyDescent="0.35">
      <c r="A297" s="8">
        <v>46415</v>
      </c>
      <c r="B297" s="8">
        <f t="shared" si="8"/>
        <v>46388</v>
      </c>
      <c r="C297" t="s">
        <v>25</v>
      </c>
      <c r="D297" s="5" t="s">
        <v>44</v>
      </c>
      <c r="E297" s="10">
        <f>IFERROR(VLOOKUP(C297,Assets!$A:$G,7,FALSE),0)</f>
        <v>40</v>
      </c>
      <c r="F297" s="11" t="s">
        <v>45</v>
      </c>
      <c r="G297" s="6"/>
      <c r="H297" s="10">
        <f t="shared" si="9"/>
        <v>40</v>
      </c>
    </row>
    <row r="298" spans="1:8" x14ac:dyDescent="0.35">
      <c r="A298" s="8">
        <v>46394</v>
      </c>
      <c r="B298" s="8">
        <f t="shared" si="8"/>
        <v>46388</v>
      </c>
      <c r="C298" t="s">
        <v>26</v>
      </c>
      <c r="D298" s="5" t="s">
        <v>44</v>
      </c>
      <c r="E298" s="10">
        <f>IFERROR(VLOOKUP(C298,Assets!$A:$G,7,FALSE),0)</f>
        <v>27</v>
      </c>
      <c r="F298" s="11" t="s">
        <v>45</v>
      </c>
      <c r="G298" s="6"/>
      <c r="H298" s="10">
        <f t="shared" si="9"/>
        <v>27</v>
      </c>
    </row>
    <row r="299" spans="1:8" x14ac:dyDescent="0.35">
      <c r="A299" s="8">
        <v>46401</v>
      </c>
      <c r="B299" s="8">
        <f t="shared" si="8"/>
        <v>46388</v>
      </c>
      <c r="C299" t="s">
        <v>26</v>
      </c>
      <c r="D299" s="5" t="s">
        <v>44</v>
      </c>
      <c r="E299" s="10">
        <f>IFERROR(VLOOKUP(C299,Assets!$A:$G,7,FALSE),0)</f>
        <v>27</v>
      </c>
      <c r="F299" s="11" t="s">
        <v>45</v>
      </c>
      <c r="G299" s="6"/>
      <c r="H299" s="10">
        <f t="shared" si="9"/>
        <v>27</v>
      </c>
    </row>
    <row r="300" spans="1:8" x14ac:dyDescent="0.35">
      <c r="A300" s="8">
        <v>46408</v>
      </c>
      <c r="B300" s="8">
        <f t="shared" si="8"/>
        <v>46388</v>
      </c>
      <c r="C300" t="s">
        <v>26</v>
      </c>
      <c r="D300" s="5" t="s">
        <v>44</v>
      </c>
      <c r="E300" s="10">
        <f>IFERROR(VLOOKUP(C300,Assets!$A:$G,7,FALSE),0)</f>
        <v>27</v>
      </c>
      <c r="F300" s="11" t="s">
        <v>45</v>
      </c>
      <c r="G300" s="6"/>
      <c r="H300" s="10">
        <f t="shared" si="9"/>
        <v>27</v>
      </c>
    </row>
    <row r="301" spans="1:8" x14ac:dyDescent="0.35">
      <c r="A301" s="8">
        <v>46415</v>
      </c>
      <c r="B301" s="8">
        <f t="shared" si="8"/>
        <v>46388</v>
      </c>
      <c r="C301" t="s">
        <v>26</v>
      </c>
      <c r="D301" s="5" t="s">
        <v>44</v>
      </c>
      <c r="E301" s="10">
        <f>IFERROR(VLOOKUP(C301,Assets!$A:$G,7,FALSE),0)</f>
        <v>27</v>
      </c>
      <c r="F301" s="11" t="s">
        <v>45</v>
      </c>
      <c r="G301" s="6"/>
      <c r="H301" s="10">
        <f t="shared" si="9"/>
        <v>27</v>
      </c>
    </row>
    <row r="302" spans="1:8" x14ac:dyDescent="0.35">
      <c r="A302" s="8">
        <v>46394</v>
      </c>
      <c r="B302" s="8">
        <f t="shared" si="8"/>
        <v>46388</v>
      </c>
      <c r="C302" t="s">
        <v>29</v>
      </c>
      <c r="D302" s="5" t="s">
        <v>44</v>
      </c>
      <c r="E302" s="10">
        <f>IFERROR(VLOOKUP(C302,Assets!$A:$G,7,FALSE),0)</f>
        <v>20</v>
      </c>
      <c r="F302" s="11" t="s">
        <v>45</v>
      </c>
      <c r="G302" s="6"/>
      <c r="H302" s="10">
        <f t="shared" si="9"/>
        <v>20</v>
      </c>
    </row>
    <row r="303" spans="1:8" x14ac:dyDescent="0.35">
      <c r="A303" s="8">
        <v>46401</v>
      </c>
      <c r="B303" s="8">
        <f t="shared" si="8"/>
        <v>46388</v>
      </c>
      <c r="C303" t="s">
        <v>29</v>
      </c>
      <c r="D303" s="5" t="s">
        <v>44</v>
      </c>
      <c r="E303" s="10">
        <f>IFERROR(VLOOKUP(C303,Assets!$A:$G,7,FALSE),0)</f>
        <v>20</v>
      </c>
      <c r="F303" s="11" t="s">
        <v>45</v>
      </c>
      <c r="G303" s="6"/>
      <c r="H303" s="10">
        <f t="shared" si="9"/>
        <v>20</v>
      </c>
    </row>
    <row r="304" spans="1:8" x14ac:dyDescent="0.35">
      <c r="A304" s="8">
        <v>46408</v>
      </c>
      <c r="B304" s="8">
        <f t="shared" si="8"/>
        <v>46388</v>
      </c>
      <c r="C304" t="s">
        <v>29</v>
      </c>
      <c r="D304" s="5" t="s">
        <v>44</v>
      </c>
      <c r="E304" s="10">
        <f>IFERROR(VLOOKUP(C304,Assets!$A:$G,7,FALSE),0)</f>
        <v>20</v>
      </c>
      <c r="F304" s="11" t="s">
        <v>45</v>
      </c>
      <c r="G304" s="6"/>
      <c r="H304" s="10">
        <f t="shared" si="9"/>
        <v>20</v>
      </c>
    </row>
    <row r="305" spans="1:8" x14ac:dyDescent="0.35">
      <c r="A305" s="8">
        <v>46415</v>
      </c>
      <c r="B305" s="8">
        <f t="shared" si="8"/>
        <v>46388</v>
      </c>
      <c r="C305" t="s">
        <v>29</v>
      </c>
      <c r="D305" s="5" t="s">
        <v>44</v>
      </c>
      <c r="E305" s="10">
        <f>IFERROR(VLOOKUP(C305,Assets!$A:$G,7,FALSE),0)</f>
        <v>20</v>
      </c>
      <c r="F305" s="11" t="s">
        <v>45</v>
      </c>
      <c r="G305" s="6"/>
      <c r="H305" s="10">
        <f t="shared" si="9"/>
        <v>20</v>
      </c>
    </row>
    <row r="306" spans="1:8" x14ac:dyDescent="0.35">
      <c r="A306" s="8">
        <v>46394</v>
      </c>
      <c r="B306" s="8">
        <f t="shared" si="8"/>
        <v>46388</v>
      </c>
      <c r="C306" t="s">
        <v>31</v>
      </c>
      <c r="D306" s="5" t="s">
        <v>44</v>
      </c>
      <c r="E306" s="10">
        <f>IFERROR(VLOOKUP(C306,Assets!$A:$G,7,FALSE),0)</f>
        <v>27</v>
      </c>
      <c r="F306" s="11" t="s">
        <v>45</v>
      </c>
      <c r="G306" s="6"/>
      <c r="H306" s="10">
        <f t="shared" si="9"/>
        <v>27</v>
      </c>
    </row>
    <row r="307" spans="1:8" x14ac:dyDescent="0.35">
      <c r="A307" s="8">
        <v>46401</v>
      </c>
      <c r="B307" s="8">
        <f t="shared" si="8"/>
        <v>46388</v>
      </c>
      <c r="C307" t="s">
        <v>31</v>
      </c>
      <c r="D307" s="5" t="s">
        <v>44</v>
      </c>
      <c r="E307" s="10">
        <f>IFERROR(VLOOKUP(C307,Assets!$A:$G,7,FALSE),0)</f>
        <v>27</v>
      </c>
      <c r="F307" s="11" t="s">
        <v>45</v>
      </c>
      <c r="G307" s="6"/>
      <c r="H307" s="10">
        <f t="shared" si="9"/>
        <v>27</v>
      </c>
    </row>
    <row r="308" spans="1:8" x14ac:dyDescent="0.35">
      <c r="A308" s="8">
        <v>46408</v>
      </c>
      <c r="B308" s="8">
        <f t="shared" si="8"/>
        <v>46388</v>
      </c>
      <c r="C308" t="s">
        <v>31</v>
      </c>
      <c r="D308" s="5" t="s">
        <v>44</v>
      </c>
      <c r="E308" s="10">
        <f>IFERROR(VLOOKUP(C308,Assets!$A:$G,7,FALSE),0)</f>
        <v>27</v>
      </c>
      <c r="F308" s="11" t="s">
        <v>45</v>
      </c>
      <c r="G308" s="6"/>
      <c r="H308" s="10">
        <f t="shared" si="9"/>
        <v>27</v>
      </c>
    </row>
    <row r="309" spans="1:8" x14ac:dyDescent="0.35">
      <c r="A309" s="8">
        <v>46415</v>
      </c>
      <c r="B309" s="8">
        <f t="shared" si="8"/>
        <v>46388</v>
      </c>
      <c r="C309" t="s">
        <v>31</v>
      </c>
      <c r="D309" s="5" t="s">
        <v>44</v>
      </c>
      <c r="E309" s="10">
        <f>IFERROR(VLOOKUP(C309,Assets!$A:$G,7,FALSE),0)</f>
        <v>27</v>
      </c>
      <c r="F309" s="11" t="s">
        <v>45</v>
      </c>
      <c r="G309" s="6"/>
      <c r="H309" s="10">
        <f t="shared" si="9"/>
        <v>27</v>
      </c>
    </row>
    <row r="310" spans="1:8" x14ac:dyDescent="0.35">
      <c r="A310" s="8">
        <v>46394</v>
      </c>
      <c r="B310" s="8">
        <f t="shared" si="8"/>
        <v>46388</v>
      </c>
      <c r="C310" t="s">
        <v>32</v>
      </c>
      <c r="D310" s="5" t="s">
        <v>44</v>
      </c>
      <c r="E310" s="10">
        <f>IFERROR(VLOOKUP(C310,Assets!$A:$G,7,FALSE),0)</f>
        <v>45</v>
      </c>
      <c r="F310" s="11" t="s">
        <v>45</v>
      </c>
      <c r="G310" s="6"/>
      <c r="H310" s="10">
        <f t="shared" si="9"/>
        <v>45</v>
      </c>
    </row>
    <row r="311" spans="1:8" x14ac:dyDescent="0.35">
      <c r="A311" s="8">
        <v>46401</v>
      </c>
      <c r="B311" s="8">
        <f t="shared" si="8"/>
        <v>46388</v>
      </c>
      <c r="C311" t="s">
        <v>32</v>
      </c>
      <c r="D311" s="5" t="s">
        <v>44</v>
      </c>
      <c r="E311" s="10">
        <f>IFERROR(VLOOKUP(C311,Assets!$A:$G,7,FALSE),0)</f>
        <v>45</v>
      </c>
      <c r="F311" s="11" t="s">
        <v>45</v>
      </c>
      <c r="G311" s="6"/>
      <c r="H311" s="10">
        <f t="shared" si="9"/>
        <v>45</v>
      </c>
    </row>
    <row r="312" spans="1:8" x14ac:dyDescent="0.35">
      <c r="A312" s="8">
        <v>46408</v>
      </c>
      <c r="B312" s="8">
        <f t="shared" si="8"/>
        <v>46388</v>
      </c>
      <c r="C312" t="s">
        <v>32</v>
      </c>
      <c r="D312" s="5" t="s">
        <v>44</v>
      </c>
      <c r="E312" s="10">
        <f>IFERROR(VLOOKUP(C312,Assets!$A:$G,7,FALSE),0)</f>
        <v>45</v>
      </c>
      <c r="F312" s="11" t="s">
        <v>45</v>
      </c>
      <c r="G312" s="6"/>
      <c r="H312" s="10">
        <f t="shared" si="9"/>
        <v>45</v>
      </c>
    </row>
    <row r="313" spans="1:8" x14ac:dyDescent="0.35">
      <c r="A313" s="8">
        <v>46415</v>
      </c>
      <c r="B313" s="8">
        <f t="shared" si="8"/>
        <v>46388</v>
      </c>
      <c r="C313" t="s">
        <v>32</v>
      </c>
      <c r="D313" s="5" t="s">
        <v>44</v>
      </c>
      <c r="E313" s="10">
        <f>IFERROR(VLOOKUP(C313,Assets!$A:$G,7,FALSE),0)</f>
        <v>45</v>
      </c>
      <c r="F313" s="11" t="s">
        <v>45</v>
      </c>
      <c r="G313" s="6"/>
      <c r="H313" s="10">
        <f t="shared" si="9"/>
        <v>45</v>
      </c>
    </row>
    <row r="314" spans="1:8" x14ac:dyDescent="0.35">
      <c r="A314" s="8">
        <v>46394</v>
      </c>
      <c r="B314" s="8">
        <f t="shared" si="8"/>
        <v>46388</v>
      </c>
      <c r="C314" t="s">
        <v>33</v>
      </c>
      <c r="D314" s="5" t="s">
        <v>44</v>
      </c>
      <c r="E314" s="10">
        <f>IFERROR(VLOOKUP(C314,Assets!$A:$G,7,FALSE),0)</f>
        <v>41</v>
      </c>
      <c r="F314" s="11" t="s">
        <v>45</v>
      </c>
      <c r="G314" s="6"/>
      <c r="H314" s="10">
        <f t="shared" si="9"/>
        <v>41</v>
      </c>
    </row>
    <row r="315" spans="1:8" x14ac:dyDescent="0.35">
      <c r="A315" s="8">
        <v>46401</v>
      </c>
      <c r="B315" s="8">
        <f t="shared" si="8"/>
        <v>46388</v>
      </c>
      <c r="C315" t="s">
        <v>33</v>
      </c>
      <c r="D315" s="5" t="s">
        <v>44</v>
      </c>
      <c r="E315" s="10">
        <f>IFERROR(VLOOKUP(C315,Assets!$A:$G,7,FALSE),0)</f>
        <v>41</v>
      </c>
      <c r="F315" s="11" t="s">
        <v>45</v>
      </c>
      <c r="G315" s="6"/>
      <c r="H315" s="10">
        <f t="shared" si="9"/>
        <v>41</v>
      </c>
    </row>
    <row r="316" spans="1:8" x14ac:dyDescent="0.35">
      <c r="A316" s="8">
        <v>46408</v>
      </c>
      <c r="B316" s="8">
        <f t="shared" si="8"/>
        <v>46388</v>
      </c>
      <c r="C316" t="s">
        <v>33</v>
      </c>
      <c r="D316" s="5" t="s">
        <v>44</v>
      </c>
      <c r="E316" s="10">
        <f>IFERROR(VLOOKUP(C316,Assets!$A:$G,7,FALSE),0)</f>
        <v>41</v>
      </c>
      <c r="F316" s="11" t="s">
        <v>45</v>
      </c>
      <c r="G316" s="6"/>
      <c r="H316" s="10">
        <f t="shared" si="9"/>
        <v>41</v>
      </c>
    </row>
    <row r="317" spans="1:8" x14ac:dyDescent="0.35">
      <c r="A317" s="8">
        <v>46415</v>
      </c>
      <c r="B317" s="8">
        <f t="shared" si="8"/>
        <v>46388</v>
      </c>
      <c r="C317" t="s">
        <v>33</v>
      </c>
      <c r="D317" s="5" t="s">
        <v>44</v>
      </c>
      <c r="E317" s="10">
        <f>IFERROR(VLOOKUP(C317,Assets!$A:$G,7,FALSE),0)</f>
        <v>41</v>
      </c>
      <c r="F317" s="11" t="s">
        <v>45</v>
      </c>
      <c r="G317" s="6"/>
      <c r="H317" s="10">
        <f t="shared" si="9"/>
        <v>41</v>
      </c>
    </row>
    <row r="318" spans="1:8" x14ac:dyDescent="0.35">
      <c r="A318" s="8">
        <v>46394</v>
      </c>
      <c r="B318" s="8">
        <f t="shared" si="8"/>
        <v>46388</v>
      </c>
      <c r="C318" t="s">
        <v>34</v>
      </c>
      <c r="D318" s="5" t="s">
        <v>44</v>
      </c>
      <c r="E318" s="10">
        <f>IFERROR(VLOOKUP(C318,Assets!$A:$G,7,FALSE),0)</f>
        <v>15</v>
      </c>
      <c r="F318" s="11" t="s">
        <v>45</v>
      </c>
      <c r="G318" s="6"/>
      <c r="H318" s="10">
        <f t="shared" si="9"/>
        <v>15</v>
      </c>
    </row>
    <row r="319" spans="1:8" x14ac:dyDescent="0.35">
      <c r="A319" s="8">
        <v>46401</v>
      </c>
      <c r="B319" s="8">
        <f t="shared" si="8"/>
        <v>46388</v>
      </c>
      <c r="C319" t="s">
        <v>34</v>
      </c>
      <c r="D319" s="5" t="s">
        <v>44</v>
      </c>
      <c r="E319" s="10">
        <f>IFERROR(VLOOKUP(C319,Assets!$A:$G,7,FALSE),0)</f>
        <v>15</v>
      </c>
      <c r="F319" s="11" t="s">
        <v>45</v>
      </c>
      <c r="G319" s="6"/>
      <c r="H319" s="10">
        <f t="shared" si="9"/>
        <v>15</v>
      </c>
    </row>
    <row r="320" spans="1:8" x14ac:dyDescent="0.35">
      <c r="A320" s="8">
        <v>46408</v>
      </c>
      <c r="B320" s="8">
        <f t="shared" si="8"/>
        <v>46388</v>
      </c>
      <c r="C320" t="s">
        <v>34</v>
      </c>
      <c r="D320" s="5" t="s">
        <v>44</v>
      </c>
      <c r="E320" s="10">
        <f>IFERROR(VLOOKUP(C320,Assets!$A:$G,7,FALSE),0)</f>
        <v>15</v>
      </c>
      <c r="F320" s="11" t="s">
        <v>45</v>
      </c>
      <c r="G320" s="6"/>
      <c r="H320" s="10">
        <f t="shared" si="9"/>
        <v>15</v>
      </c>
    </row>
    <row r="321" spans="1:8" x14ac:dyDescent="0.35">
      <c r="A321" s="8">
        <v>46415</v>
      </c>
      <c r="B321" s="8">
        <f t="shared" si="8"/>
        <v>46388</v>
      </c>
      <c r="C321" t="s">
        <v>34</v>
      </c>
      <c r="D321" s="5" t="s">
        <v>44</v>
      </c>
      <c r="E321" s="10">
        <f>IFERROR(VLOOKUP(C321,Assets!$A:$G,7,FALSE),0)</f>
        <v>15</v>
      </c>
      <c r="F321" s="11" t="s">
        <v>45</v>
      </c>
      <c r="G321" s="6"/>
      <c r="H321" s="10">
        <f t="shared" si="9"/>
        <v>15</v>
      </c>
    </row>
    <row r="322" spans="1:8" x14ac:dyDescent="0.35">
      <c r="A322" s="8">
        <v>46425</v>
      </c>
      <c r="B322" s="8">
        <f t="shared" ref="B322:B385" si="10">DATE(YEAR(A322),MONTH(A322),1)</f>
        <v>46419</v>
      </c>
      <c r="C322" t="s">
        <v>20</v>
      </c>
      <c r="D322" s="5" t="s">
        <v>44</v>
      </c>
      <c r="E322" s="10">
        <f>IFERROR(VLOOKUP(C322,Assets!$A:$G,7,FALSE),0)</f>
        <v>160</v>
      </c>
      <c r="F322" s="11" t="s">
        <v>45</v>
      </c>
      <c r="G322" s="6"/>
      <c r="H322" s="10">
        <f t="shared" ref="H322:H385" si="11">IF(F322="No",0,IF(F322="Edited",IF(G322="",E322,G322),E322))</f>
        <v>160</v>
      </c>
    </row>
    <row r="323" spans="1:8" x14ac:dyDescent="0.35">
      <c r="A323" s="8">
        <v>46432</v>
      </c>
      <c r="B323" s="8">
        <f t="shared" si="10"/>
        <v>46419</v>
      </c>
      <c r="C323" t="s">
        <v>20</v>
      </c>
      <c r="D323" s="5" t="s">
        <v>44</v>
      </c>
      <c r="E323" s="10">
        <f>IFERROR(VLOOKUP(C323,Assets!$A:$G,7,FALSE),0)</f>
        <v>160</v>
      </c>
      <c r="F323" s="11" t="s">
        <v>45</v>
      </c>
      <c r="G323" s="6"/>
      <c r="H323" s="10">
        <f t="shared" si="11"/>
        <v>160</v>
      </c>
    </row>
    <row r="324" spans="1:8" x14ac:dyDescent="0.35">
      <c r="A324" s="8">
        <v>46439</v>
      </c>
      <c r="B324" s="8">
        <f t="shared" si="10"/>
        <v>46419</v>
      </c>
      <c r="C324" t="s">
        <v>20</v>
      </c>
      <c r="D324" s="5" t="s">
        <v>44</v>
      </c>
      <c r="E324" s="10">
        <f>IFERROR(VLOOKUP(C324,Assets!$A:$G,7,FALSE),0)</f>
        <v>160</v>
      </c>
      <c r="F324" s="11" t="s">
        <v>45</v>
      </c>
      <c r="G324" s="6"/>
      <c r="H324" s="10">
        <f t="shared" si="11"/>
        <v>160</v>
      </c>
    </row>
    <row r="325" spans="1:8" x14ac:dyDescent="0.35">
      <c r="A325" s="8">
        <v>46446</v>
      </c>
      <c r="B325" s="8">
        <f t="shared" si="10"/>
        <v>46419</v>
      </c>
      <c r="C325" t="s">
        <v>20</v>
      </c>
      <c r="D325" s="5" t="s">
        <v>44</v>
      </c>
      <c r="E325" s="10">
        <f>IFERROR(VLOOKUP(C325,Assets!$A:$G,7,FALSE),0)</f>
        <v>160</v>
      </c>
      <c r="F325" s="11" t="s">
        <v>45</v>
      </c>
      <c r="G325" s="6"/>
      <c r="H325" s="10">
        <f t="shared" si="11"/>
        <v>160</v>
      </c>
    </row>
    <row r="326" spans="1:8" x14ac:dyDescent="0.35">
      <c r="A326" s="8">
        <v>46425</v>
      </c>
      <c r="B326" s="8">
        <f t="shared" si="10"/>
        <v>46419</v>
      </c>
      <c r="C326" t="s">
        <v>25</v>
      </c>
      <c r="D326" s="5" t="s">
        <v>44</v>
      </c>
      <c r="E326" s="10">
        <f>IFERROR(VLOOKUP(C326,Assets!$A:$G,7,FALSE),0)</f>
        <v>40</v>
      </c>
      <c r="F326" s="11" t="s">
        <v>45</v>
      </c>
      <c r="G326" s="6"/>
      <c r="H326" s="10">
        <f t="shared" si="11"/>
        <v>40</v>
      </c>
    </row>
    <row r="327" spans="1:8" x14ac:dyDescent="0.35">
      <c r="A327" s="8">
        <v>46432</v>
      </c>
      <c r="B327" s="8">
        <f t="shared" si="10"/>
        <v>46419</v>
      </c>
      <c r="C327" t="s">
        <v>25</v>
      </c>
      <c r="D327" s="5" t="s">
        <v>44</v>
      </c>
      <c r="E327" s="10">
        <f>IFERROR(VLOOKUP(C327,Assets!$A:$G,7,FALSE),0)</f>
        <v>40</v>
      </c>
      <c r="F327" s="11" t="s">
        <v>45</v>
      </c>
      <c r="G327" s="6"/>
      <c r="H327" s="10">
        <f t="shared" si="11"/>
        <v>40</v>
      </c>
    </row>
    <row r="328" spans="1:8" x14ac:dyDescent="0.35">
      <c r="A328" s="8">
        <v>46439</v>
      </c>
      <c r="B328" s="8">
        <f t="shared" si="10"/>
        <v>46419</v>
      </c>
      <c r="C328" t="s">
        <v>25</v>
      </c>
      <c r="D328" s="5" t="s">
        <v>44</v>
      </c>
      <c r="E328" s="10">
        <f>IFERROR(VLOOKUP(C328,Assets!$A:$G,7,FALSE),0)</f>
        <v>40</v>
      </c>
      <c r="F328" s="11" t="s">
        <v>45</v>
      </c>
      <c r="G328" s="6"/>
      <c r="H328" s="10">
        <f t="shared" si="11"/>
        <v>40</v>
      </c>
    </row>
    <row r="329" spans="1:8" x14ac:dyDescent="0.35">
      <c r="A329" s="8">
        <v>46446</v>
      </c>
      <c r="B329" s="8">
        <f t="shared" si="10"/>
        <v>46419</v>
      </c>
      <c r="C329" t="s">
        <v>25</v>
      </c>
      <c r="D329" s="5" t="s">
        <v>44</v>
      </c>
      <c r="E329" s="10">
        <f>IFERROR(VLOOKUP(C329,Assets!$A:$G,7,FALSE),0)</f>
        <v>40</v>
      </c>
      <c r="F329" s="11" t="s">
        <v>45</v>
      </c>
      <c r="G329" s="6"/>
      <c r="H329" s="10">
        <f t="shared" si="11"/>
        <v>40</v>
      </c>
    </row>
    <row r="330" spans="1:8" x14ac:dyDescent="0.35">
      <c r="A330" s="8">
        <v>46425</v>
      </c>
      <c r="B330" s="8">
        <f t="shared" si="10"/>
        <v>46419</v>
      </c>
      <c r="C330" t="s">
        <v>26</v>
      </c>
      <c r="D330" s="5" t="s">
        <v>44</v>
      </c>
      <c r="E330" s="10">
        <f>IFERROR(VLOOKUP(C330,Assets!$A:$G,7,FALSE),0)</f>
        <v>27</v>
      </c>
      <c r="F330" s="11" t="s">
        <v>45</v>
      </c>
      <c r="G330" s="6"/>
      <c r="H330" s="10">
        <f t="shared" si="11"/>
        <v>27</v>
      </c>
    </row>
    <row r="331" spans="1:8" x14ac:dyDescent="0.35">
      <c r="A331" s="8">
        <v>46432</v>
      </c>
      <c r="B331" s="8">
        <f t="shared" si="10"/>
        <v>46419</v>
      </c>
      <c r="C331" t="s">
        <v>26</v>
      </c>
      <c r="D331" s="5" t="s">
        <v>44</v>
      </c>
      <c r="E331" s="10">
        <f>IFERROR(VLOOKUP(C331,Assets!$A:$G,7,FALSE),0)</f>
        <v>27</v>
      </c>
      <c r="F331" s="11" t="s">
        <v>45</v>
      </c>
      <c r="G331" s="6"/>
      <c r="H331" s="10">
        <f t="shared" si="11"/>
        <v>27</v>
      </c>
    </row>
    <row r="332" spans="1:8" x14ac:dyDescent="0.35">
      <c r="A332" s="8">
        <v>46439</v>
      </c>
      <c r="B332" s="8">
        <f t="shared" si="10"/>
        <v>46419</v>
      </c>
      <c r="C332" t="s">
        <v>26</v>
      </c>
      <c r="D332" s="5" t="s">
        <v>44</v>
      </c>
      <c r="E332" s="10">
        <f>IFERROR(VLOOKUP(C332,Assets!$A:$G,7,FALSE),0)</f>
        <v>27</v>
      </c>
      <c r="F332" s="11" t="s">
        <v>45</v>
      </c>
      <c r="G332" s="6"/>
      <c r="H332" s="10">
        <f t="shared" si="11"/>
        <v>27</v>
      </c>
    </row>
    <row r="333" spans="1:8" x14ac:dyDescent="0.35">
      <c r="A333" s="8">
        <v>46446</v>
      </c>
      <c r="B333" s="8">
        <f t="shared" si="10"/>
        <v>46419</v>
      </c>
      <c r="C333" t="s">
        <v>26</v>
      </c>
      <c r="D333" s="5" t="s">
        <v>44</v>
      </c>
      <c r="E333" s="10">
        <f>IFERROR(VLOOKUP(C333,Assets!$A:$G,7,FALSE),0)</f>
        <v>27</v>
      </c>
      <c r="F333" s="11" t="s">
        <v>45</v>
      </c>
      <c r="G333" s="6"/>
      <c r="H333" s="10">
        <f t="shared" si="11"/>
        <v>27</v>
      </c>
    </row>
    <row r="334" spans="1:8" x14ac:dyDescent="0.35">
      <c r="A334" s="8">
        <v>46425</v>
      </c>
      <c r="B334" s="8">
        <f t="shared" si="10"/>
        <v>46419</v>
      </c>
      <c r="C334" t="s">
        <v>29</v>
      </c>
      <c r="D334" s="5" t="s">
        <v>44</v>
      </c>
      <c r="E334" s="10">
        <f>IFERROR(VLOOKUP(C334,Assets!$A:$G,7,FALSE),0)</f>
        <v>20</v>
      </c>
      <c r="F334" s="11" t="s">
        <v>45</v>
      </c>
      <c r="G334" s="6"/>
      <c r="H334" s="10">
        <f t="shared" si="11"/>
        <v>20</v>
      </c>
    </row>
    <row r="335" spans="1:8" x14ac:dyDescent="0.35">
      <c r="A335" s="8">
        <v>46432</v>
      </c>
      <c r="B335" s="8">
        <f t="shared" si="10"/>
        <v>46419</v>
      </c>
      <c r="C335" t="s">
        <v>29</v>
      </c>
      <c r="D335" s="5" t="s">
        <v>44</v>
      </c>
      <c r="E335" s="10">
        <f>IFERROR(VLOOKUP(C335,Assets!$A:$G,7,FALSE),0)</f>
        <v>20</v>
      </c>
      <c r="F335" s="11" t="s">
        <v>45</v>
      </c>
      <c r="G335" s="6"/>
      <c r="H335" s="10">
        <f t="shared" si="11"/>
        <v>20</v>
      </c>
    </row>
    <row r="336" spans="1:8" x14ac:dyDescent="0.35">
      <c r="A336" s="8">
        <v>46439</v>
      </c>
      <c r="B336" s="8">
        <f t="shared" si="10"/>
        <v>46419</v>
      </c>
      <c r="C336" t="s">
        <v>29</v>
      </c>
      <c r="D336" s="5" t="s">
        <v>44</v>
      </c>
      <c r="E336" s="10">
        <f>IFERROR(VLOOKUP(C336,Assets!$A:$G,7,FALSE),0)</f>
        <v>20</v>
      </c>
      <c r="F336" s="11" t="s">
        <v>45</v>
      </c>
      <c r="G336" s="6"/>
      <c r="H336" s="10">
        <f t="shared" si="11"/>
        <v>20</v>
      </c>
    </row>
    <row r="337" spans="1:8" x14ac:dyDescent="0.35">
      <c r="A337" s="8">
        <v>46446</v>
      </c>
      <c r="B337" s="8">
        <f t="shared" si="10"/>
        <v>46419</v>
      </c>
      <c r="C337" t="s">
        <v>29</v>
      </c>
      <c r="D337" s="5" t="s">
        <v>44</v>
      </c>
      <c r="E337" s="10">
        <f>IFERROR(VLOOKUP(C337,Assets!$A:$G,7,FALSE),0)</f>
        <v>20</v>
      </c>
      <c r="F337" s="11" t="s">
        <v>45</v>
      </c>
      <c r="G337" s="6"/>
      <c r="H337" s="10">
        <f t="shared" si="11"/>
        <v>20</v>
      </c>
    </row>
    <row r="338" spans="1:8" x14ac:dyDescent="0.35">
      <c r="A338" s="8">
        <v>46425</v>
      </c>
      <c r="B338" s="8">
        <f t="shared" si="10"/>
        <v>46419</v>
      </c>
      <c r="C338" t="s">
        <v>31</v>
      </c>
      <c r="D338" s="5" t="s">
        <v>44</v>
      </c>
      <c r="E338" s="10">
        <f>IFERROR(VLOOKUP(C338,Assets!$A:$G,7,FALSE),0)</f>
        <v>27</v>
      </c>
      <c r="F338" s="11" t="s">
        <v>45</v>
      </c>
      <c r="G338" s="6"/>
      <c r="H338" s="10">
        <f t="shared" si="11"/>
        <v>27</v>
      </c>
    </row>
    <row r="339" spans="1:8" x14ac:dyDescent="0.35">
      <c r="A339" s="8">
        <v>46432</v>
      </c>
      <c r="B339" s="8">
        <f t="shared" si="10"/>
        <v>46419</v>
      </c>
      <c r="C339" t="s">
        <v>31</v>
      </c>
      <c r="D339" s="5" t="s">
        <v>44</v>
      </c>
      <c r="E339" s="10">
        <f>IFERROR(VLOOKUP(C339,Assets!$A:$G,7,FALSE),0)</f>
        <v>27</v>
      </c>
      <c r="F339" s="11" t="s">
        <v>45</v>
      </c>
      <c r="G339" s="6"/>
      <c r="H339" s="10">
        <f t="shared" si="11"/>
        <v>27</v>
      </c>
    </row>
    <row r="340" spans="1:8" x14ac:dyDescent="0.35">
      <c r="A340" s="8">
        <v>46439</v>
      </c>
      <c r="B340" s="8">
        <f t="shared" si="10"/>
        <v>46419</v>
      </c>
      <c r="C340" t="s">
        <v>31</v>
      </c>
      <c r="D340" s="5" t="s">
        <v>44</v>
      </c>
      <c r="E340" s="10">
        <f>IFERROR(VLOOKUP(C340,Assets!$A:$G,7,FALSE),0)</f>
        <v>27</v>
      </c>
      <c r="F340" s="11" t="s">
        <v>45</v>
      </c>
      <c r="G340" s="6"/>
      <c r="H340" s="10">
        <f t="shared" si="11"/>
        <v>27</v>
      </c>
    </row>
    <row r="341" spans="1:8" x14ac:dyDescent="0.35">
      <c r="A341" s="8">
        <v>46446</v>
      </c>
      <c r="B341" s="8">
        <f t="shared" si="10"/>
        <v>46419</v>
      </c>
      <c r="C341" t="s">
        <v>31</v>
      </c>
      <c r="D341" s="5" t="s">
        <v>44</v>
      </c>
      <c r="E341" s="10">
        <f>IFERROR(VLOOKUP(C341,Assets!$A:$G,7,FALSE),0)</f>
        <v>27</v>
      </c>
      <c r="F341" s="11" t="s">
        <v>45</v>
      </c>
      <c r="G341" s="6"/>
      <c r="H341" s="10">
        <f t="shared" si="11"/>
        <v>27</v>
      </c>
    </row>
    <row r="342" spans="1:8" x14ac:dyDescent="0.35">
      <c r="A342" s="8">
        <v>46425</v>
      </c>
      <c r="B342" s="8">
        <f t="shared" si="10"/>
        <v>46419</v>
      </c>
      <c r="C342" t="s">
        <v>32</v>
      </c>
      <c r="D342" s="5" t="s">
        <v>44</v>
      </c>
      <c r="E342" s="10">
        <f>IFERROR(VLOOKUP(C342,Assets!$A:$G,7,FALSE),0)</f>
        <v>45</v>
      </c>
      <c r="F342" s="11" t="s">
        <v>45</v>
      </c>
      <c r="G342" s="6"/>
      <c r="H342" s="10">
        <f t="shared" si="11"/>
        <v>45</v>
      </c>
    </row>
    <row r="343" spans="1:8" x14ac:dyDescent="0.35">
      <c r="A343" s="8">
        <v>46432</v>
      </c>
      <c r="B343" s="8">
        <f t="shared" si="10"/>
        <v>46419</v>
      </c>
      <c r="C343" t="s">
        <v>32</v>
      </c>
      <c r="D343" s="5" t="s">
        <v>44</v>
      </c>
      <c r="E343" s="10">
        <f>IFERROR(VLOOKUP(C343,Assets!$A:$G,7,FALSE),0)</f>
        <v>45</v>
      </c>
      <c r="F343" s="11" t="s">
        <v>45</v>
      </c>
      <c r="G343" s="6"/>
      <c r="H343" s="10">
        <f t="shared" si="11"/>
        <v>45</v>
      </c>
    </row>
    <row r="344" spans="1:8" x14ac:dyDescent="0.35">
      <c r="A344" s="8">
        <v>46439</v>
      </c>
      <c r="B344" s="8">
        <f t="shared" si="10"/>
        <v>46419</v>
      </c>
      <c r="C344" t="s">
        <v>32</v>
      </c>
      <c r="D344" s="5" t="s">
        <v>44</v>
      </c>
      <c r="E344" s="10">
        <f>IFERROR(VLOOKUP(C344,Assets!$A:$G,7,FALSE),0)</f>
        <v>45</v>
      </c>
      <c r="F344" s="11" t="s">
        <v>45</v>
      </c>
      <c r="G344" s="6"/>
      <c r="H344" s="10">
        <f t="shared" si="11"/>
        <v>45</v>
      </c>
    </row>
    <row r="345" spans="1:8" x14ac:dyDescent="0.35">
      <c r="A345" s="8">
        <v>46446</v>
      </c>
      <c r="B345" s="8">
        <f t="shared" si="10"/>
        <v>46419</v>
      </c>
      <c r="C345" t="s">
        <v>32</v>
      </c>
      <c r="D345" s="5" t="s">
        <v>44</v>
      </c>
      <c r="E345" s="10">
        <f>IFERROR(VLOOKUP(C345,Assets!$A:$G,7,FALSE),0)</f>
        <v>45</v>
      </c>
      <c r="F345" s="11" t="s">
        <v>45</v>
      </c>
      <c r="G345" s="6"/>
      <c r="H345" s="10">
        <f t="shared" si="11"/>
        <v>45</v>
      </c>
    </row>
    <row r="346" spans="1:8" x14ac:dyDescent="0.35">
      <c r="A346" s="8">
        <v>46425</v>
      </c>
      <c r="B346" s="8">
        <f t="shared" si="10"/>
        <v>46419</v>
      </c>
      <c r="C346" t="s">
        <v>33</v>
      </c>
      <c r="D346" s="5" t="s">
        <v>44</v>
      </c>
      <c r="E346" s="10">
        <f>IFERROR(VLOOKUP(C346,Assets!$A:$G,7,FALSE),0)</f>
        <v>41</v>
      </c>
      <c r="F346" s="11" t="s">
        <v>45</v>
      </c>
      <c r="G346" s="6"/>
      <c r="H346" s="10">
        <f t="shared" si="11"/>
        <v>41</v>
      </c>
    </row>
    <row r="347" spans="1:8" x14ac:dyDescent="0.35">
      <c r="A347" s="8">
        <v>46432</v>
      </c>
      <c r="B347" s="8">
        <f t="shared" si="10"/>
        <v>46419</v>
      </c>
      <c r="C347" t="s">
        <v>33</v>
      </c>
      <c r="D347" s="5" t="s">
        <v>44</v>
      </c>
      <c r="E347" s="10">
        <f>IFERROR(VLOOKUP(C347,Assets!$A:$G,7,FALSE),0)</f>
        <v>41</v>
      </c>
      <c r="F347" s="11" t="s">
        <v>45</v>
      </c>
      <c r="G347" s="6"/>
      <c r="H347" s="10">
        <f t="shared" si="11"/>
        <v>41</v>
      </c>
    </row>
    <row r="348" spans="1:8" x14ac:dyDescent="0.35">
      <c r="A348" s="8">
        <v>46439</v>
      </c>
      <c r="B348" s="8">
        <f t="shared" si="10"/>
        <v>46419</v>
      </c>
      <c r="C348" t="s">
        <v>33</v>
      </c>
      <c r="D348" s="5" t="s">
        <v>44</v>
      </c>
      <c r="E348" s="10">
        <f>IFERROR(VLOOKUP(C348,Assets!$A:$G,7,FALSE),0)</f>
        <v>41</v>
      </c>
      <c r="F348" s="11" t="s">
        <v>45</v>
      </c>
      <c r="G348" s="6"/>
      <c r="H348" s="10">
        <f t="shared" si="11"/>
        <v>41</v>
      </c>
    </row>
    <row r="349" spans="1:8" x14ac:dyDescent="0.35">
      <c r="A349" s="8">
        <v>46446</v>
      </c>
      <c r="B349" s="8">
        <f t="shared" si="10"/>
        <v>46419</v>
      </c>
      <c r="C349" t="s">
        <v>33</v>
      </c>
      <c r="D349" s="5" t="s">
        <v>44</v>
      </c>
      <c r="E349" s="10">
        <f>IFERROR(VLOOKUP(C349,Assets!$A:$G,7,FALSE),0)</f>
        <v>41</v>
      </c>
      <c r="F349" s="11" t="s">
        <v>45</v>
      </c>
      <c r="G349" s="6"/>
      <c r="H349" s="10">
        <f t="shared" si="11"/>
        <v>41</v>
      </c>
    </row>
    <row r="350" spans="1:8" x14ac:dyDescent="0.35">
      <c r="A350" s="8">
        <v>46425</v>
      </c>
      <c r="B350" s="8">
        <f t="shared" si="10"/>
        <v>46419</v>
      </c>
      <c r="C350" t="s">
        <v>34</v>
      </c>
      <c r="D350" s="5" t="s">
        <v>44</v>
      </c>
      <c r="E350" s="10">
        <f>IFERROR(VLOOKUP(C350,Assets!$A:$G,7,FALSE),0)</f>
        <v>15</v>
      </c>
      <c r="F350" s="11" t="s">
        <v>45</v>
      </c>
      <c r="G350" s="6"/>
      <c r="H350" s="10">
        <f t="shared" si="11"/>
        <v>15</v>
      </c>
    </row>
    <row r="351" spans="1:8" x14ac:dyDescent="0.35">
      <c r="A351" s="8">
        <v>46432</v>
      </c>
      <c r="B351" s="8">
        <f t="shared" si="10"/>
        <v>46419</v>
      </c>
      <c r="C351" t="s">
        <v>34</v>
      </c>
      <c r="D351" s="5" t="s">
        <v>44</v>
      </c>
      <c r="E351" s="10">
        <f>IFERROR(VLOOKUP(C351,Assets!$A:$G,7,FALSE),0)</f>
        <v>15</v>
      </c>
      <c r="F351" s="11" t="s">
        <v>45</v>
      </c>
      <c r="G351" s="6"/>
      <c r="H351" s="10">
        <f t="shared" si="11"/>
        <v>15</v>
      </c>
    </row>
    <row r="352" spans="1:8" x14ac:dyDescent="0.35">
      <c r="A352" s="8">
        <v>46439</v>
      </c>
      <c r="B352" s="8">
        <f t="shared" si="10"/>
        <v>46419</v>
      </c>
      <c r="C352" t="s">
        <v>34</v>
      </c>
      <c r="D352" s="5" t="s">
        <v>44</v>
      </c>
      <c r="E352" s="10">
        <f>IFERROR(VLOOKUP(C352,Assets!$A:$G,7,FALSE),0)</f>
        <v>15</v>
      </c>
      <c r="F352" s="11" t="s">
        <v>45</v>
      </c>
      <c r="G352" s="6"/>
      <c r="H352" s="10">
        <f t="shared" si="11"/>
        <v>15</v>
      </c>
    </row>
    <row r="353" spans="1:8" x14ac:dyDescent="0.35">
      <c r="A353" s="8">
        <v>46446</v>
      </c>
      <c r="B353" s="8">
        <f t="shared" si="10"/>
        <v>46419</v>
      </c>
      <c r="C353" t="s">
        <v>34</v>
      </c>
      <c r="D353" s="5" t="s">
        <v>44</v>
      </c>
      <c r="E353" s="10">
        <f>IFERROR(VLOOKUP(C353,Assets!$A:$G,7,FALSE),0)</f>
        <v>15</v>
      </c>
      <c r="F353" s="11" t="s">
        <v>45</v>
      </c>
      <c r="G353" s="6"/>
      <c r="H353" s="10">
        <f t="shared" si="11"/>
        <v>15</v>
      </c>
    </row>
    <row r="354" spans="1:8" x14ac:dyDescent="0.35">
      <c r="A354" s="8">
        <v>46453</v>
      </c>
      <c r="B354" s="8">
        <f t="shared" si="10"/>
        <v>46447</v>
      </c>
      <c r="C354" t="s">
        <v>20</v>
      </c>
      <c r="D354" s="5" t="s">
        <v>44</v>
      </c>
      <c r="E354" s="10">
        <f>IFERROR(VLOOKUP(C354,Assets!$A:$G,7,FALSE),0)</f>
        <v>160</v>
      </c>
      <c r="F354" s="11" t="s">
        <v>45</v>
      </c>
      <c r="G354" s="6"/>
      <c r="H354" s="10">
        <f t="shared" si="11"/>
        <v>160</v>
      </c>
    </row>
    <row r="355" spans="1:8" x14ac:dyDescent="0.35">
      <c r="A355" s="8">
        <v>46460</v>
      </c>
      <c r="B355" s="8">
        <f t="shared" si="10"/>
        <v>46447</v>
      </c>
      <c r="C355" t="s">
        <v>20</v>
      </c>
      <c r="D355" s="5" t="s">
        <v>44</v>
      </c>
      <c r="E355" s="10">
        <f>IFERROR(VLOOKUP(C355,Assets!$A:$G,7,FALSE),0)</f>
        <v>160</v>
      </c>
      <c r="F355" s="11" t="s">
        <v>45</v>
      </c>
      <c r="G355" s="6"/>
      <c r="H355" s="10">
        <f t="shared" si="11"/>
        <v>160</v>
      </c>
    </row>
    <row r="356" spans="1:8" x14ac:dyDescent="0.35">
      <c r="A356" s="8">
        <v>46467</v>
      </c>
      <c r="B356" s="8">
        <f t="shared" si="10"/>
        <v>46447</v>
      </c>
      <c r="C356" t="s">
        <v>20</v>
      </c>
      <c r="D356" s="5" t="s">
        <v>44</v>
      </c>
      <c r="E356" s="10">
        <f>IFERROR(VLOOKUP(C356,Assets!$A:$G,7,FALSE),0)</f>
        <v>160</v>
      </c>
      <c r="F356" s="11" t="s">
        <v>45</v>
      </c>
      <c r="G356" s="6"/>
      <c r="H356" s="10">
        <f t="shared" si="11"/>
        <v>160</v>
      </c>
    </row>
    <row r="357" spans="1:8" x14ac:dyDescent="0.35">
      <c r="A357" s="8">
        <v>46474</v>
      </c>
      <c r="B357" s="8">
        <f t="shared" si="10"/>
        <v>46447</v>
      </c>
      <c r="C357" t="s">
        <v>20</v>
      </c>
      <c r="D357" s="5" t="s">
        <v>44</v>
      </c>
      <c r="E357" s="10">
        <f>IFERROR(VLOOKUP(C357,Assets!$A:$G,7,FALSE),0)</f>
        <v>160</v>
      </c>
      <c r="F357" s="11" t="s">
        <v>45</v>
      </c>
      <c r="G357" s="6"/>
      <c r="H357" s="10">
        <f t="shared" si="11"/>
        <v>160</v>
      </c>
    </row>
    <row r="358" spans="1:8" x14ac:dyDescent="0.35">
      <c r="A358" s="8">
        <v>46453</v>
      </c>
      <c r="B358" s="8">
        <f t="shared" si="10"/>
        <v>46447</v>
      </c>
      <c r="C358" t="s">
        <v>25</v>
      </c>
      <c r="D358" s="5" t="s">
        <v>44</v>
      </c>
      <c r="E358" s="10">
        <f>IFERROR(VLOOKUP(C358,Assets!$A:$G,7,FALSE),0)</f>
        <v>40</v>
      </c>
      <c r="F358" s="11" t="s">
        <v>45</v>
      </c>
      <c r="G358" s="6"/>
      <c r="H358" s="10">
        <f t="shared" si="11"/>
        <v>40</v>
      </c>
    </row>
    <row r="359" spans="1:8" x14ac:dyDescent="0.35">
      <c r="A359" s="8">
        <v>46460</v>
      </c>
      <c r="B359" s="8">
        <f t="shared" si="10"/>
        <v>46447</v>
      </c>
      <c r="C359" t="s">
        <v>25</v>
      </c>
      <c r="D359" s="5" t="s">
        <v>44</v>
      </c>
      <c r="E359" s="10">
        <f>IFERROR(VLOOKUP(C359,Assets!$A:$G,7,FALSE),0)</f>
        <v>40</v>
      </c>
      <c r="F359" s="11" t="s">
        <v>45</v>
      </c>
      <c r="G359" s="6"/>
      <c r="H359" s="10">
        <f t="shared" si="11"/>
        <v>40</v>
      </c>
    </row>
    <row r="360" spans="1:8" x14ac:dyDescent="0.35">
      <c r="A360" s="8">
        <v>46467</v>
      </c>
      <c r="B360" s="8">
        <f t="shared" si="10"/>
        <v>46447</v>
      </c>
      <c r="C360" t="s">
        <v>25</v>
      </c>
      <c r="D360" s="5" t="s">
        <v>44</v>
      </c>
      <c r="E360" s="10">
        <f>IFERROR(VLOOKUP(C360,Assets!$A:$G,7,FALSE),0)</f>
        <v>40</v>
      </c>
      <c r="F360" s="11" t="s">
        <v>45</v>
      </c>
      <c r="G360" s="6"/>
      <c r="H360" s="10">
        <f t="shared" si="11"/>
        <v>40</v>
      </c>
    </row>
    <row r="361" spans="1:8" x14ac:dyDescent="0.35">
      <c r="A361" s="8">
        <v>46474</v>
      </c>
      <c r="B361" s="8">
        <f t="shared" si="10"/>
        <v>46447</v>
      </c>
      <c r="C361" t="s">
        <v>25</v>
      </c>
      <c r="D361" s="5" t="s">
        <v>44</v>
      </c>
      <c r="E361" s="10">
        <f>IFERROR(VLOOKUP(C361,Assets!$A:$G,7,FALSE),0)</f>
        <v>40</v>
      </c>
      <c r="F361" s="11" t="s">
        <v>45</v>
      </c>
      <c r="G361" s="6"/>
      <c r="H361" s="10">
        <f t="shared" si="11"/>
        <v>40</v>
      </c>
    </row>
    <row r="362" spans="1:8" x14ac:dyDescent="0.35">
      <c r="A362" s="8">
        <v>46453</v>
      </c>
      <c r="B362" s="8">
        <f t="shared" si="10"/>
        <v>46447</v>
      </c>
      <c r="C362" t="s">
        <v>26</v>
      </c>
      <c r="D362" s="5" t="s">
        <v>44</v>
      </c>
      <c r="E362" s="10">
        <f>IFERROR(VLOOKUP(C362,Assets!$A:$G,7,FALSE),0)</f>
        <v>27</v>
      </c>
      <c r="F362" s="11" t="s">
        <v>45</v>
      </c>
      <c r="G362" s="6"/>
      <c r="H362" s="10">
        <f t="shared" si="11"/>
        <v>27</v>
      </c>
    </row>
    <row r="363" spans="1:8" x14ac:dyDescent="0.35">
      <c r="A363" s="8">
        <v>46460</v>
      </c>
      <c r="B363" s="8">
        <f t="shared" si="10"/>
        <v>46447</v>
      </c>
      <c r="C363" t="s">
        <v>26</v>
      </c>
      <c r="D363" s="5" t="s">
        <v>44</v>
      </c>
      <c r="E363" s="10">
        <f>IFERROR(VLOOKUP(C363,Assets!$A:$G,7,FALSE),0)</f>
        <v>27</v>
      </c>
      <c r="F363" s="11" t="s">
        <v>45</v>
      </c>
      <c r="G363" s="6"/>
      <c r="H363" s="10">
        <f t="shared" si="11"/>
        <v>27</v>
      </c>
    </row>
    <row r="364" spans="1:8" x14ac:dyDescent="0.35">
      <c r="A364" s="8">
        <v>46467</v>
      </c>
      <c r="B364" s="8">
        <f t="shared" si="10"/>
        <v>46447</v>
      </c>
      <c r="C364" t="s">
        <v>26</v>
      </c>
      <c r="D364" s="5" t="s">
        <v>44</v>
      </c>
      <c r="E364" s="10">
        <f>IFERROR(VLOOKUP(C364,Assets!$A:$G,7,FALSE),0)</f>
        <v>27</v>
      </c>
      <c r="F364" s="11" t="s">
        <v>45</v>
      </c>
      <c r="G364" s="6"/>
      <c r="H364" s="10">
        <f t="shared" si="11"/>
        <v>27</v>
      </c>
    </row>
    <row r="365" spans="1:8" x14ac:dyDescent="0.35">
      <c r="A365" s="8">
        <v>46474</v>
      </c>
      <c r="B365" s="8">
        <f t="shared" si="10"/>
        <v>46447</v>
      </c>
      <c r="C365" t="s">
        <v>26</v>
      </c>
      <c r="D365" s="5" t="s">
        <v>44</v>
      </c>
      <c r="E365" s="10">
        <f>IFERROR(VLOOKUP(C365,Assets!$A:$G,7,FALSE),0)</f>
        <v>27</v>
      </c>
      <c r="F365" s="11" t="s">
        <v>45</v>
      </c>
      <c r="G365" s="6"/>
      <c r="H365" s="10">
        <f t="shared" si="11"/>
        <v>27</v>
      </c>
    </row>
    <row r="366" spans="1:8" x14ac:dyDescent="0.35">
      <c r="A366" s="8">
        <v>46453</v>
      </c>
      <c r="B366" s="8">
        <f t="shared" si="10"/>
        <v>46447</v>
      </c>
      <c r="C366" t="s">
        <v>29</v>
      </c>
      <c r="D366" s="5" t="s">
        <v>44</v>
      </c>
      <c r="E366" s="10">
        <f>IFERROR(VLOOKUP(C366,Assets!$A:$G,7,FALSE),0)</f>
        <v>20</v>
      </c>
      <c r="F366" s="11" t="s">
        <v>45</v>
      </c>
      <c r="G366" s="6"/>
      <c r="H366" s="10">
        <f t="shared" si="11"/>
        <v>20</v>
      </c>
    </row>
    <row r="367" spans="1:8" x14ac:dyDescent="0.35">
      <c r="A367" s="8">
        <v>46460</v>
      </c>
      <c r="B367" s="8">
        <f t="shared" si="10"/>
        <v>46447</v>
      </c>
      <c r="C367" t="s">
        <v>29</v>
      </c>
      <c r="D367" s="5" t="s">
        <v>44</v>
      </c>
      <c r="E367" s="10">
        <f>IFERROR(VLOOKUP(C367,Assets!$A:$G,7,FALSE),0)</f>
        <v>20</v>
      </c>
      <c r="F367" s="11" t="s">
        <v>45</v>
      </c>
      <c r="G367" s="6"/>
      <c r="H367" s="10">
        <f t="shared" si="11"/>
        <v>20</v>
      </c>
    </row>
    <row r="368" spans="1:8" x14ac:dyDescent="0.35">
      <c r="A368" s="8">
        <v>46467</v>
      </c>
      <c r="B368" s="8">
        <f t="shared" si="10"/>
        <v>46447</v>
      </c>
      <c r="C368" t="s">
        <v>29</v>
      </c>
      <c r="D368" s="5" t="s">
        <v>44</v>
      </c>
      <c r="E368" s="10">
        <f>IFERROR(VLOOKUP(C368,Assets!$A:$G,7,FALSE),0)</f>
        <v>20</v>
      </c>
      <c r="F368" s="11" t="s">
        <v>45</v>
      </c>
      <c r="G368" s="6"/>
      <c r="H368" s="10">
        <f t="shared" si="11"/>
        <v>20</v>
      </c>
    </row>
    <row r="369" spans="1:8" x14ac:dyDescent="0.35">
      <c r="A369" s="8">
        <v>46474</v>
      </c>
      <c r="B369" s="8">
        <f t="shared" si="10"/>
        <v>46447</v>
      </c>
      <c r="C369" t="s">
        <v>29</v>
      </c>
      <c r="D369" s="5" t="s">
        <v>44</v>
      </c>
      <c r="E369" s="10">
        <f>IFERROR(VLOOKUP(C369,Assets!$A:$G,7,FALSE),0)</f>
        <v>20</v>
      </c>
      <c r="F369" s="11" t="s">
        <v>45</v>
      </c>
      <c r="G369" s="6"/>
      <c r="H369" s="10">
        <f t="shared" si="11"/>
        <v>20</v>
      </c>
    </row>
    <row r="370" spans="1:8" x14ac:dyDescent="0.35">
      <c r="A370" s="8">
        <v>46453</v>
      </c>
      <c r="B370" s="8">
        <f t="shared" si="10"/>
        <v>46447</v>
      </c>
      <c r="C370" t="s">
        <v>31</v>
      </c>
      <c r="D370" s="5" t="s">
        <v>44</v>
      </c>
      <c r="E370" s="10">
        <f>IFERROR(VLOOKUP(C370,Assets!$A:$G,7,FALSE),0)</f>
        <v>27</v>
      </c>
      <c r="F370" s="11" t="s">
        <v>45</v>
      </c>
      <c r="G370" s="6"/>
      <c r="H370" s="10">
        <f t="shared" si="11"/>
        <v>27</v>
      </c>
    </row>
    <row r="371" spans="1:8" x14ac:dyDescent="0.35">
      <c r="A371" s="8">
        <v>46460</v>
      </c>
      <c r="B371" s="8">
        <f t="shared" si="10"/>
        <v>46447</v>
      </c>
      <c r="C371" t="s">
        <v>31</v>
      </c>
      <c r="D371" s="5" t="s">
        <v>44</v>
      </c>
      <c r="E371" s="10">
        <f>IFERROR(VLOOKUP(C371,Assets!$A:$G,7,FALSE),0)</f>
        <v>27</v>
      </c>
      <c r="F371" s="11" t="s">
        <v>45</v>
      </c>
      <c r="G371" s="6"/>
      <c r="H371" s="10">
        <f t="shared" si="11"/>
        <v>27</v>
      </c>
    </row>
    <row r="372" spans="1:8" x14ac:dyDescent="0.35">
      <c r="A372" s="8">
        <v>46467</v>
      </c>
      <c r="B372" s="8">
        <f t="shared" si="10"/>
        <v>46447</v>
      </c>
      <c r="C372" t="s">
        <v>31</v>
      </c>
      <c r="D372" s="5" t="s">
        <v>44</v>
      </c>
      <c r="E372" s="10">
        <f>IFERROR(VLOOKUP(C372,Assets!$A:$G,7,FALSE),0)</f>
        <v>27</v>
      </c>
      <c r="F372" s="11" t="s">
        <v>45</v>
      </c>
      <c r="G372" s="6"/>
      <c r="H372" s="10">
        <f t="shared" si="11"/>
        <v>27</v>
      </c>
    </row>
    <row r="373" spans="1:8" x14ac:dyDescent="0.35">
      <c r="A373" s="8">
        <v>46474</v>
      </c>
      <c r="B373" s="8">
        <f t="shared" si="10"/>
        <v>46447</v>
      </c>
      <c r="C373" t="s">
        <v>31</v>
      </c>
      <c r="D373" s="5" t="s">
        <v>44</v>
      </c>
      <c r="E373" s="10">
        <f>IFERROR(VLOOKUP(C373,Assets!$A:$G,7,FALSE),0)</f>
        <v>27</v>
      </c>
      <c r="F373" s="11" t="s">
        <v>45</v>
      </c>
      <c r="G373" s="6"/>
      <c r="H373" s="10">
        <f t="shared" si="11"/>
        <v>27</v>
      </c>
    </row>
    <row r="374" spans="1:8" x14ac:dyDescent="0.35">
      <c r="A374" s="8">
        <v>46453</v>
      </c>
      <c r="B374" s="8">
        <f t="shared" si="10"/>
        <v>46447</v>
      </c>
      <c r="C374" t="s">
        <v>32</v>
      </c>
      <c r="D374" s="5" t="s">
        <v>44</v>
      </c>
      <c r="E374" s="10">
        <f>IFERROR(VLOOKUP(C374,Assets!$A:$G,7,FALSE),0)</f>
        <v>45</v>
      </c>
      <c r="F374" s="11" t="s">
        <v>45</v>
      </c>
      <c r="G374" s="6"/>
      <c r="H374" s="10">
        <f t="shared" si="11"/>
        <v>45</v>
      </c>
    </row>
    <row r="375" spans="1:8" x14ac:dyDescent="0.35">
      <c r="A375" s="8">
        <v>46460</v>
      </c>
      <c r="B375" s="8">
        <f t="shared" si="10"/>
        <v>46447</v>
      </c>
      <c r="C375" t="s">
        <v>32</v>
      </c>
      <c r="D375" s="5" t="s">
        <v>44</v>
      </c>
      <c r="E375" s="10">
        <f>IFERROR(VLOOKUP(C375,Assets!$A:$G,7,FALSE),0)</f>
        <v>45</v>
      </c>
      <c r="F375" s="11" t="s">
        <v>45</v>
      </c>
      <c r="G375" s="6"/>
      <c r="H375" s="10">
        <f t="shared" si="11"/>
        <v>45</v>
      </c>
    </row>
    <row r="376" spans="1:8" x14ac:dyDescent="0.35">
      <c r="A376" s="8">
        <v>46467</v>
      </c>
      <c r="B376" s="8">
        <f t="shared" si="10"/>
        <v>46447</v>
      </c>
      <c r="C376" t="s">
        <v>32</v>
      </c>
      <c r="D376" s="5" t="s">
        <v>44</v>
      </c>
      <c r="E376" s="10">
        <f>IFERROR(VLOOKUP(C376,Assets!$A:$G,7,FALSE),0)</f>
        <v>45</v>
      </c>
      <c r="F376" s="11" t="s">
        <v>45</v>
      </c>
      <c r="G376" s="6"/>
      <c r="H376" s="10">
        <f t="shared" si="11"/>
        <v>45</v>
      </c>
    </row>
    <row r="377" spans="1:8" x14ac:dyDescent="0.35">
      <c r="A377" s="8">
        <v>46474</v>
      </c>
      <c r="B377" s="8">
        <f t="shared" si="10"/>
        <v>46447</v>
      </c>
      <c r="C377" t="s">
        <v>32</v>
      </c>
      <c r="D377" s="5" t="s">
        <v>44</v>
      </c>
      <c r="E377" s="10">
        <f>IFERROR(VLOOKUP(C377,Assets!$A:$G,7,FALSE),0)</f>
        <v>45</v>
      </c>
      <c r="F377" s="11" t="s">
        <v>45</v>
      </c>
      <c r="G377" s="6"/>
      <c r="H377" s="10">
        <f t="shared" si="11"/>
        <v>45</v>
      </c>
    </row>
    <row r="378" spans="1:8" x14ac:dyDescent="0.35">
      <c r="A378" s="8">
        <v>46453</v>
      </c>
      <c r="B378" s="8">
        <f t="shared" si="10"/>
        <v>46447</v>
      </c>
      <c r="C378" t="s">
        <v>33</v>
      </c>
      <c r="D378" s="5" t="s">
        <v>44</v>
      </c>
      <c r="E378" s="10">
        <f>IFERROR(VLOOKUP(C378,Assets!$A:$G,7,FALSE),0)</f>
        <v>41</v>
      </c>
      <c r="F378" s="11" t="s">
        <v>45</v>
      </c>
      <c r="G378" s="6"/>
      <c r="H378" s="10">
        <f t="shared" si="11"/>
        <v>41</v>
      </c>
    </row>
    <row r="379" spans="1:8" x14ac:dyDescent="0.35">
      <c r="A379" s="8">
        <v>46460</v>
      </c>
      <c r="B379" s="8">
        <f t="shared" si="10"/>
        <v>46447</v>
      </c>
      <c r="C379" t="s">
        <v>33</v>
      </c>
      <c r="D379" s="5" t="s">
        <v>44</v>
      </c>
      <c r="E379" s="10">
        <f>IFERROR(VLOOKUP(C379,Assets!$A:$G,7,FALSE),0)</f>
        <v>41</v>
      </c>
      <c r="F379" s="11" t="s">
        <v>45</v>
      </c>
      <c r="G379" s="6"/>
      <c r="H379" s="10">
        <f t="shared" si="11"/>
        <v>41</v>
      </c>
    </row>
    <row r="380" spans="1:8" x14ac:dyDescent="0.35">
      <c r="A380" s="8">
        <v>46467</v>
      </c>
      <c r="B380" s="8">
        <f t="shared" si="10"/>
        <v>46447</v>
      </c>
      <c r="C380" t="s">
        <v>33</v>
      </c>
      <c r="D380" s="5" t="s">
        <v>44</v>
      </c>
      <c r="E380" s="10">
        <f>IFERROR(VLOOKUP(C380,Assets!$A:$G,7,FALSE),0)</f>
        <v>41</v>
      </c>
      <c r="F380" s="11" t="s">
        <v>45</v>
      </c>
      <c r="G380" s="6"/>
      <c r="H380" s="10">
        <f t="shared" si="11"/>
        <v>41</v>
      </c>
    </row>
    <row r="381" spans="1:8" x14ac:dyDescent="0.35">
      <c r="A381" s="8">
        <v>46474</v>
      </c>
      <c r="B381" s="8">
        <f t="shared" si="10"/>
        <v>46447</v>
      </c>
      <c r="C381" t="s">
        <v>33</v>
      </c>
      <c r="D381" s="5" t="s">
        <v>44</v>
      </c>
      <c r="E381" s="10">
        <f>IFERROR(VLOOKUP(C381,Assets!$A:$G,7,FALSE),0)</f>
        <v>41</v>
      </c>
      <c r="F381" s="11" t="s">
        <v>45</v>
      </c>
      <c r="G381" s="6"/>
      <c r="H381" s="10">
        <f t="shared" si="11"/>
        <v>41</v>
      </c>
    </row>
    <row r="382" spans="1:8" x14ac:dyDescent="0.35">
      <c r="A382" s="8">
        <v>46453</v>
      </c>
      <c r="B382" s="8">
        <f t="shared" si="10"/>
        <v>46447</v>
      </c>
      <c r="C382" t="s">
        <v>34</v>
      </c>
      <c r="D382" s="5" t="s">
        <v>44</v>
      </c>
      <c r="E382" s="10">
        <f>IFERROR(VLOOKUP(C382,Assets!$A:$G,7,FALSE),0)</f>
        <v>15</v>
      </c>
      <c r="F382" s="11" t="s">
        <v>45</v>
      </c>
      <c r="G382" s="6"/>
      <c r="H382" s="10">
        <f t="shared" si="11"/>
        <v>15</v>
      </c>
    </row>
    <row r="383" spans="1:8" x14ac:dyDescent="0.35">
      <c r="A383" s="8">
        <v>46460</v>
      </c>
      <c r="B383" s="8">
        <f t="shared" si="10"/>
        <v>46447</v>
      </c>
      <c r="C383" t="s">
        <v>34</v>
      </c>
      <c r="D383" s="5" t="s">
        <v>44</v>
      </c>
      <c r="E383" s="10">
        <f>IFERROR(VLOOKUP(C383,Assets!$A:$G,7,FALSE),0)</f>
        <v>15</v>
      </c>
      <c r="F383" s="11" t="s">
        <v>45</v>
      </c>
      <c r="G383" s="6"/>
      <c r="H383" s="10">
        <f t="shared" si="11"/>
        <v>15</v>
      </c>
    </row>
    <row r="384" spans="1:8" x14ac:dyDescent="0.35">
      <c r="A384" s="8">
        <v>46467</v>
      </c>
      <c r="B384" s="8">
        <f t="shared" si="10"/>
        <v>46447</v>
      </c>
      <c r="C384" t="s">
        <v>34</v>
      </c>
      <c r="D384" s="5" t="s">
        <v>44</v>
      </c>
      <c r="E384" s="10">
        <f>IFERROR(VLOOKUP(C384,Assets!$A:$G,7,FALSE),0)</f>
        <v>15</v>
      </c>
      <c r="F384" s="11" t="s">
        <v>45</v>
      </c>
      <c r="G384" s="6"/>
      <c r="H384" s="10">
        <f t="shared" si="11"/>
        <v>15</v>
      </c>
    </row>
    <row r="385" spans="1:8" x14ac:dyDescent="0.35">
      <c r="A385" s="8">
        <v>46474</v>
      </c>
      <c r="B385" s="8">
        <f t="shared" si="10"/>
        <v>46447</v>
      </c>
      <c r="C385" t="s">
        <v>34</v>
      </c>
      <c r="D385" s="5" t="s">
        <v>44</v>
      </c>
      <c r="E385" s="10">
        <f>IFERROR(VLOOKUP(C385,Assets!$A:$G,7,FALSE),0)</f>
        <v>15</v>
      </c>
      <c r="F385" s="11" t="s">
        <v>45</v>
      </c>
      <c r="G385" s="6"/>
      <c r="H385" s="10">
        <f t="shared" si="11"/>
        <v>15</v>
      </c>
    </row>
    <row r="386" spans="1:8" x14ac:dyDescent="0.35">
      <c r="A386" s="8">
        <v>46484</v>
      </c>
      <c r="B386" s="8">
        <f t="shared" ref="B386:B449" si="12">DATE(YEAR(A386),MONTH(A386),1)</f>
        <v>46478</v>
      </c>
      <c r="C386" t="s">
        <v>20</v>
      </c>
      <c r="D386" s="5" t="s">
        <v>44</v>
      </c>
      <c r="E386" s="10">
        <f>IFERROR(VLOOKUP(C386,Assets!$A:$G,7,FALSE),0)</f>
        <v>160</v>
      </c>
      <c r="F386" s="11" t="s">
        <v>45</v>
      </c>
      <c r="G386" s="6"/>
      <c r="H386" s="10">
        <f t="shared" ref="H386:H449" si="13">IF(F386="No",0,IF(F386="Edited",IF(G386="",E386,G386),E386))</f>
        <v>160</v>
      </c>
    </row>
    <row r="387" spans="1:8" x14ac:dyDescent="0.35">
      <c r="A387" s="8">
        <v>46491</v>
      </c>
      <c r="B387" s="8">
        <f t="shared" si="12"/>
        <v>46478</v>
      </c>
      <c r="C387" t="s">
        <v>20</v>
      </c>
      <c r="D387" s="5" t="s">
        <v>44</v>
      </c>
      <c r="E387" s="10">
        <f>IFERROR(VLOOKUP(C387,Assets!$A:$G,7,FALSE),0)</f>
        <v>160</v>
      </c>
      <c r="F387" s="11" t="s">
        <v>45</v>
      </c>
      <c r="G387" s="6"/>
      <c r="H387" s="10">
        <f t="shared" si="13"/>
        <v>160</v>
      </c>
    </row>
    <row r="388" spans="1:8" x14ac:dyDescent="0.35">
      <c r="A388" s="8">
        <v>46498</v>
      </c>
      <c r="B388" s="8">
        <f t="shared" si="12"/>
        <v>46478</v>
      </c>
      <c r="C388" t="s">
        <v>20</v>
      </c>
      <c r="D388" s="5" t="s">
        <v>44</v>
      </c>
      <c r="E388" s="10">
        <f>IFERROR(VLOOKUP(C388,Assets!$A:$G,7,FALSE),0)</f>
        <v>160</v>
      </c>
      <c r="F388" s="11" t="s">
        <v>45</v>
      </c>
      <c r="G388" s="6"/>
      <c r="H388" s="10">
        <f t="shared" si="13"/>
        <v>160</v>
      </c>
    </row>
    <row r="389" spans="1:8" x14ac:dyDescent="0.35">
      <c r="A389" s="8">
        <v>46505</v>
      </c>
      <c r="B389" s="8">
        <f t="shared" si="12"/>
        <v>46478</v>
      </c>
      <c r="C389" t="s">
        <v>20</v>
      </c>
      <c r="D389" s="5" t="s">
        <v>44</v>
      </c>
      <c r="E389" s="10">
        <f>IFERROR(VLOOKUP(C389,Assets!$A:$G,7,FALSE),0)</f>
        <v>160</v>
      </c>
      <c r="F389" s="11" t="s">
        <v>45</v>
      </c>
      <c r="G389" s="6"/>
      <c r="H389" s="10">
        <f t="shared" si="13"/>
        <v>160</v>
      </c>
    </row>
    <row r="390" spans="1:8" x14ac:dyDescent="0.35">
      <c r="A390" s="8">
        <v>46484</v>
      </c>
      <c r="B390" s="8">
        <f t="shared" si="12"/>
        <v>46478</v>
      </c>
      <c r="C390" t="s">
        <v>25</v>
      </c>
      <c r="D390" s="5" t="s">
        <v>44</v>
      </c>
      <c r="E390" s="10">
        <f>IFERROR(VLOOKUP(C390,Assets!$A:$G,7,FALSE),0)</f>
        <v>40</v>
      </c>
      <c r="F390" s="11" t="s">
        <v>45</v>
      </c>
      <c r="G390" s="6"/>
      <c r="H390" s="10">
        <f t="shared" si="13"/>
        <v>40</v>
      </c>
    </row>
    <row r="391" spans="1:8" x14ac:dyDescent="0.35">
      <c r="A391" s="8">
        <v>46491</v>
      </c>
      <c r="B391" s="8">
        <f t="shared" si="12"/>
        <v>46478</v>
      </c>
      <c r="C391" t="s">
        <v>25</v>
      </c>
      <c r="D391" s="5" t="s">
        <v>44</v>
      </c>
      <c r="E391" s="10">
        <f>IFERROR(VLOOKUP(C391,Assets!$A:$G,7,FALSE),0)</f>
        <v>40</v>
      </c>
      <c r="F391" s="11" t="s">
        <v>45</v>
      </c>
      <c r="G391" s="6"/>
      <c r="H391" s="10">
        <f t="shared" si="13"/>
        <v>40</v>
      </c>
    </row>
    <row r="392" spans="1:8" x14ac:dyDescent="0.35">
      <c r="A392" s="8">
        <v>46498</v>
      </c>
      <c r="B392" s="8">
        <f t="shared" si="12"/>
        <v>46478</v>
      </c>
      <c r="C392" t="s">
        <v>25</v>
      </c>
      <c r="D392" s="5" t="s">
        <v>44</v>
      </c>
      <c r="E392" s="10">
        <f>IFERROR(VLOOKUP(C392,Assets!$A:$G,7,FALSE),0)</f>
        <v>40</v>
      </c>
      <c r="F392" s="11" t="s">
        <v>45</v>
      </c>
      <c r="G392" s="6"/>
      <c r="H392" s="10">
        <f t="shared" si="13"/>
        <v>40</v>
      </c>
    </row>
    <row r="393" spans="1:8" x14ac:dyDescent="0.35">
      <c r="A393" s="8">
        <v>46505</v>
      </c>
      <c r="B393" s="8">
        <f t="shared" si="12"/>
        <v>46478</v>
      </c>
      <c r="C393" t="s">
        <v>25</v>
      </c>
      <c r="D393" s="5" t="s">
        <v>44</v>
      </c>
      <c r="E393" s="10">
        <f>IFERROR(VLOOKUP(C393,Assets!$A:$G,7,FALSE),0)</f>
        <v>40</v>
      </c>
      <c r="F393" s="11" t="s">
        <v>45</v>
      </c>
      <c r="G393" s="6"/>
      <c r="H393" s="10">
        <f t="shared" si="13"/>
        <v>40</v>
      </c>
    </row>
    <row r="394" spans="1:8" x14ac:dyDescent="0.35">
      <c r="A394" s="8">
        <v>46484</v>
      </c>
      <c r="B394" s="8">
        <f t="shared" si="12"/>
        <v>46478</v>
      </c>
      <c r="C394" t="s">
        <v>26</v>
      </c>
      <c r="D394" s="5" t="s">
        <v>44</v>
      </c>
      <c r="E394" s="10">
        <f>IFERROR(VLOOKUP(C394,Assets!$A:$G,7,FALSE),0)</f>
        <v>27</v>
      </c>
      <c r="F394" s="11" t="s">
        <v>45</v>
      </c>
      <c r="G394" s="6"/>
      <c r="H394" s="10">
        <f t="shared" si="13"/>
        <v>27</v>
      </c>
    </row>
    <row r="395" spans="1:8" x14ac:dyDescent="0.35">
      <c r="A395" s="8">
        <v>46491</v>
      </c>
      <c r="B395" s="8">
        <f t="shared" si="12"/>
        <v>46478</v>
      </c>
      <c r="C395" t="s">
        <v>26</v>
      </c>
      <c r="D395" s="5" t="s">
        <v>44</v>
      </c>
      <c r="E395" s="10">
        <f>IFERROR(VLOOKUP(C395,Assets!$A:$G,7,FALSE),0)</f>
        <v>27</v>
      </c>
      <c r="F395" s="11" t="s">
        <v>45</v>
      </c>
      <c r="G395" s="6"/>
      <c r="H395" s="10">
        <f t="shared" si="13"/>
        <v>27</v>
      </c>
    </row>
    <row r="396" spans="1:8" x14ac:dyDescent="0.35">
      <c r="A396" s="8">
        <v>46498</v>
      </c>
      <c r="B396" s="8">
        <f t="shared" si="12"/>
        <v>46478</v>
      </c>
      <c r="C396" t="s">
        <v>26</v>
      </c>
      <c r="D396" s="5" t="s">
        <v>44</v>
      </c>
      <c r="E396" s="10">
        <f>IFERROR(VLOOKUP(C396,Assets!$A:$G,7,FALSE),0)</f>
        <v>27</v>
      </c>
      <c r="F396" s="11" t="s">
        <v>45</v>
      </c>
      <c r="G396" s="6"/>
      <c r="H396" s="10">
        <f t="shared" si="13"/>
        <v>27</v>
      </c>
    </row>
    <row r="397" spans="1:8" x14ac:dyDescent="0.35">
      <c r="A397" s="8">
        <v>46505</v>
      </c>
      <c r="B397" s="8">
        <f t="shared" si="12"/>
        <v>46478</v>
      </c>
      <c r="C397" t="s">
        <v>26</v>
      </c>
      <c r="D397" s="5" t="s">
        <v>44</v>
      </c>
      <c r="E397" s="10">
        <f>IFERROR(VLOOKUP(C397,Assets!$A:$G,7,FALSE),0)</f>
        <v>27</v>
      </c>
      <c r="F397" s="11" t="s">
        <v>45</v>
      </c>
      <c r="G397" s="6"/>
      <c r="H397" s="10">
        <f t="shared" si="13"/>
        <v>27</v>
      </c>
    </row>
    <row r="398" spans="1:8" x14ac:dyDescent="0.35">
      <c r="A398" s="8">
        <v>46484</v>
      </c>
      <c r="B398" s="8">
        <f t="shared" si="12"/>
        <v>46478</v>
      </c>
      <c r="C398" t="s">
        <v>29</v>
      </c>
      <c r="D398" s="5" t="s">
        <v>44</v>
      </c>
      <c r="E398" s="10">
        <f>IFERROR(VLOOKUP(C398,Assets!$A:$G,7,FALSE),0)</f>
        <v>20</v>
      </c>
      <c r="F398" s="11" t="s">
        <v>45</v>
      </c>
      <c r="G398" s="6"/>
      <c r="H398" s="10">
        <f t="shared" si="13"/>
        <v>20</v>
      </c>
    </row>
    <row r="399" spans="1:8" x14ac:dyDescent="0.35">
      <c r="A399" s="8">
        <v>46491</v>
      </c>
      <c r="B399" s="8">
        <f t="shared" si="12"/>
        <v>46478</v>
      </c>
      <c r="C399" t="s">
        <v>29</v>
      </c>
      <c r="D399" s="5" t="s">
        <v>44</v>
      </c>
      <c r="E399" s="10">
        <f>IFERROR(VLOOKUP(C399,Assets!$A:$G,7,FALSE),0)</f>
        <v>20</v>
      </c>
      <c r="F399" s="11" t="s">
        <v>45</v>
      </c>
      <c r="G399" s="6"/>
      <c r="H399" s="10">
        <f t="shared" si="13"/>
        <v>20</v>
      </c>
    </row>
    <row r="400" spans="1:8" x14ac:dyDescent="0.35">
      <c r="A400" s="8">
        <v>46498</v>
      </c>
      <c r="B400" s="8">
        <f t="shared" si="12"/>
        <v>46478</v>
      </c>
      <c r="C400" t="s">
        <v>29</v>
      </c>
      <c r="D400" s="5" t="s">
        <v>44</v>
      </c>
      <c r="E400" s="10">
        <f>IFERROR(VLOOKUP(C400,Assets!$A:$G,7,FALSE),0)</f>
        <v>20</v>
      </c>
      <c r="F400" s="11" t="s">
        <v>45</v>
      </c>
      <c r="G400" s="6"/>
      <c r="H400" s="10">
        <f t="shared" si="13"/>
        <v>20</v>
      </c>
    </row>
    <row r="401" spans="1:8" x14ac:dyDescent="0.35">
      <c r="A401" s="8">
        <v>46505</v>
      </c>
      <c r="B401" s="8">
        <f t="shared" si="12"/>
        <v>46478</v>
      </c>
      <c r="C401" t="s">
        <v>29</v>
      </c>
      <c r="D401" s="5" t="s">
        <v>44</v>
      </c>
      <c r="E401" s="10">
        <f>IFERROR(VLOOKUP(C401,Assets!$A:$G,7,FALSE),0)</f>
        <v>20</v>
      </c>
      <c r="F401" s="11" t="s">
        <v>45</v>
      </c>
      <c r="G401" s="6"/>
      <c r="H401" s="10">
        <f t="shared" si="13"/>
        <v>20</v>
      </c>
    </row>
    <row r="402" spans="1:8" x14ac:dyDescent="0.35">
      <c r="A402" s="8">
        <v>46484</v>
      </c>
      <c r="B402" s="8">
        <f t="shared" si="12"/>
        <v>46478</v>
      </c>
      <c r="C402" t="s">
        <v>31</v>
      </c>
      <c r="D402" s="5" t="s">
        <v>44</v>
      </c>
      <c r="E402" s="10">
        <f>IFERROR(VLOOKUP(C402,Assets!$A:$G,7,FALSE),0)</f>
        <v>27</v>
      </c>
      <c r="F402" s="11" t="s">
        <v>45</v>
      </c>
      <c r="G402" s="6"/>
      <c r="H402" s="10">
        <f t="shared" si="13"/>
        <v>27</v>
      </c>
    </row>
    <row r="403" spans="1:8" x14ac:dyDescent="0.35">
      <c r="A403" s="8">
        <v>46491</v>
      </c>
      <c r="B403" s="8">
        <f t="shared" si="12"/>
        <v>46478</v>
      </c>
      <c r="C403" t="s">
        <v>31</v>
      </c>
      <c r="D403" s="5" t="s">
        <v>44</v>
      </c>
      <c r="E403" s="10">
        <f>IFERROR(VLOOKUP(C403,Assets!$A:$G,7,FALSE),0)</f>
        <v>27</v>
      </c>
      <c r="F403" s="11" t="s">
        <v>45</v>
      </c>
      <c r="G403" s="6"/>
      <c r="H403" s="10">
        <f t="shared" si="13"/>
        <v>27</v>
      </c>
    </row>
    <row r="404" spans="1:8" x14ac:dyDescent="0.35">
      <c r="A404" s="8">
        <v>46498</v>
      </c>
      <c r="B404" s="8">
        <f t="shared" si="12"/>
        <v>46478</v>
      </c>
      <c r="C404" t="s">
        <v>31</v>
      </c>
      <c r="D404" s="5" t="s">
        <v>44</v>
      </c>
      <c r="E404" s="10">
        <f>IFERROR(VLOOKUP(C404,Assets!$A:$G,7,FALSE),0)</f>
        <v>27</v>
      </c>
      <c r="F404" s="11" t="s">
        <v>45</v>
      </c>
      <c r="G404" s="6"/>
      <c r="H404" s="10">
        <f t="shared" si="13"/>
        <v>27</v>
      </c>
    </row>
    <row r="405" spans="1:8" x14ac:dyDescent="0.35">
      <c r="A405" s="8">
        <v>46505</v>
      </c>
      <c r="B405" s="8">
        <f t="shared" si="12"/>
        <v>46478</v>
      </c>
      <c r="C405" t="s">
        <v>31</v>
      </c>
      <c r="D405" s="5" t="s">
        <v>44</v>
      </c>
      <c r="E405" s="10">
        <f>IFERROR(VLOOKUP(C405,Assets!$A:$G,7,FALSE),0)</f>
        <v>27</v>
      </c>
      <c r="F405" s="11" t="s">
        <v>45</v>
      </c>
      <c r="G405" s="6"/>
      <c r="H405" s="10">
        <f t="shared" si="13"/>
        <v>27</v>
      </c>
    </row>
    <row r="406" spans="1:8" x14ac:dyDescent="0.35">
      <c r="A406" s="8">
        <v>46484</v>
      </c>
      <c r="B406" s="8">
        <f t="shared" si="12"/>
        <v>46478</v>
      </c>
      <c r="C406" t="s">
        <v>32</v>
      </c>
      <c r="D406" s="5" t="s">
        <v>44</v>
      </c>
      <c r="E406" s="10">
        <f>IFERROR(VLOOKUP(C406,Assets!$A:$G,7,FALSE),0)</f>
        <v>45</v>
      </c>
      <c r="F406" s="11" t="s">
        <v>45</v>
      </c>
      <c r="G406" s="6"/>
      <c r="H406" s="10">
        <f t="shared" si="13"/>
        <v>45</v>
      </c>
    </row>
    <row r="407" spans="1:8" x14ac:dyDescent="0.35">
      <c r="A407" s="8">
        <v>46491</v>
      </c>
      <c r="B407" s="8">
        <f t="shared" si="12"/>
        <v>46478</v>
      </c>
      <c r="C407" t="s">
        <v>32</v>
      </c>
      <c r="D407" s="5" t="s">
        <v>44</v>
      </c>
      <c r="E407" s="10">
        <f>IFERROR(VLOOKUP(C407,Assets!$A:$G,7,FALSE),0)</f>
        <v>45</v>
      </c>
      <c r="F407" s="11" t="s">
        <v>45</v>
      </c>
      <c r="G407" s="6"/>
      <c r="H407" s="10">
        <f t="shared" si="13"/>
        <v>45</v>
      </c>
    </row>
    <row r="408" spans="1:8" x14ac:dyDescent="0.35">
      <c r="A408" s="8">
        <v>46498</v>
      </c>
      <c r="B408" s="8">
        <f t="shared" si="12"/>
        <v>46478</v>
      </c>
      <c r="C408" t="s">
        <v>32</v>
      </c>
      <c r="D408" s="5" t="s">
        <v>44</v>
      </c>
      <c r="E408" s="10">
        <f>IFERROR(VLOOKUP(C408,Assets!$A:$G,7,FALSE),0)</f>
        <v>45</v>
      </c>
      <c r="F408" s="11" t="s">
        <v>45</v>
      </c>
      <c r="G408" s="6"/>
      <c r="H408" s="10">
        <f t="shared" si="13"/>
        <v>45</v>
      </c>
    </row>
    <row r="409" spans="1:8" x14ac:dyDescent="0.35">
      <c r="A409" s="8">
        <v>46505</v>
      </c>
      <c r="B409" s="8">
        <f t="shared" si="12"/>
        <v>46478</v>
      </c>
      <c r="C409" t="s">
        <v>32</v>
      </c>
      <c r="D409" s="5" t="s">
        <v>44</v>
      </c>
      <c r="E409" s="10">
        <f>IFERROR(VLOOKUP(C409,Assets!$A:$G,7,FALSE),0)</f>
        <v>45</v>
      </c>
      <c r="F409" s="11" t="s">
        <v>45</v>
      </c>
      <c r="G409" s="6"/>
      <c r="H409" s="10">
        <f t="shared" si="13"/>
        <v>45</v>
      </c>
    </row>
    <row r="410" spans="1:8" x14ac:dyDescent="0.35">
      <c r="A410" s="8">
        <v>46484</v>
      </c>
      <c r="B410" s="8">
        <f t="shared" si="12"/>
        <v>46478</v>
      </c>
      <c r="C410" t="s">
        <v>33</v>
      </c>
      <c r="D410" s="5" t="s">
        <v>44</v>
      </c>
      <c r="E410" s="10">
        <f>IFERROR(VLOOKUP(C410,Assets!$A:$G,7,FALSE),0)</f>
        <v>41</v>
      </c>
      <c r="F410" s="11" t="s">
        <v>45</v>
      </c>
      <c r="G410" s="6"/>
      <c r="H410" s="10">
        <f t="shared" si="13"/>
        <v>41</v>
      </c>
    </row>
    <row r="411" spans="1:8" x14ac:dyDescent="0.35">
      <c r="A411" s="8">
        <v>46491</v>
      </c>
      <c r="B411" s="8">
        <f t="shared" si="12"/>
        <v>46478</v>
      </c>
      <c r="C411" t="s">
        <v>33</v>
      </c>
      <c r="D411" s="5" t="s">
        <v>44</v>
      </c>
      <c r="E411" s="10">
        <f>IFERROR(VLOOKUP(C411,Assets!$A:$G,7,FALSE),0)</f>
        <v>41</v>
      </c>
      <c r="F411" s="11" t="s">
        <v>45</v>
      </c>
      <c r="G411" s="6"/>
      <c r="H411" s="10">
        <f t="shared" si="13"/>
        <v>41</v>
      </c>
    </row>
    <row r="412" spans="1:8" x14ac:dyDescent="0.35">
      <c r="A412" s="8">
        <v>46498</v>
      </c>
      <c r="B412" s="8">
        <f t="shared" si="12"/>
        <v>46478</v>
      </c>
      <c r="C412" t="s">
        <v>33</v>
      </c>
      <c r="D412" s="5" t="s">
        <v>44</v>
      </c>
      <c r="E412" s="10">
        <f>IFERROR(VLOOKUP(C412,Assets!$A:$G,7,FALSE),0)</f>
        <v>41</v>
      </c>
      <c r="F412" s="11" t="s">
        <v>45</v>
      </c>
      <c r="G412" s="6"/>
      <c r="H412" s="10">
        <f t="shared" si="13"/>
        <v>41</v>
      </c>
    </row>
    <row r="413" spans="1:8" x14ac:dyDescent="0.35">
      <c r="A413" s="8">
        <v>46505</v>
      </c>
      <c r="B413" s="8">
        <f t="shared" si="12"/>
        <v>46478</v>
      </c>
      <c r="C413" t="s">
        <v>33</v>
      </c>
      <c r="D413" s="5" t="s">
        <v>44</v>
      </c>
      <c r="E413" s="10">
        <f>IFERROR(VLOOKUP(C413,Assets!$A:$G,7,FALSE),0)</f>
        <v>41</v>
      </c>
      <c r="F413" s="11" t="s">
        <v>45</v>
      </c>
      <c r="G413" s="6"/>
      <c r="H413" s="10">
        <f t="shared" si="13"/>
        <v>41</v>
      </c>
    </row>
    <row r="414" spans="1:8" x14ac:dyDescent="0.35">
      <c r="A414" s="8">
        <v>46484</v>
      </c>
      <c r="B414" s="8">
        <f t="shared" si="12"/>
        <v>46478</v>
      </c>
      <c r="C414" t="s">
        <v>34</v>
      </c>
      <c r="D414" s="5" t="s">
        <v>44</v>
      </c>
      <c r="E414" s="10">
        <f>IFERROR(VLOOKUP(C414,Assets!$A:$G,7,FALSE),0)</f>
        <v>15</v>
      </c>
      <c r="F414" s="11" t="s">
        <v>45</v>
      </c>
      <c r="G414" s="6"/>
      <c r="H414" s="10">
        <f t="shared" si="13"/>
        <v>15</v>
      </c>
    </row>
    <row r="415" spans="1:8" x14ac:dyDescent="0.35">
      <c r="A415" s="8">
        <v>46491</v>
      </c>
      <c r="B415" s="8">
        <f t="shared" si="12"/>
        <v>46478</v>
      </c>
      <c r="C415" t="s">
        <v>34</v>
      </c>
      <c r="D415" s="5" t="s">
        <v>44</v>
      </c>
      <c r="E415" s="10">
        <f>IFERROR(VLOOKUP(C415,Assets!$A:$G,7,FALSE),0)</f>
        <v>15</v>
      </c>
      <c r="F415" s="11" t="s">
        <v>45</v>
      </c>
      <c r="G415" s="6"/>
      <c r="H415" s="10">
        <f t="shared" si="13"/>
        <v>15</v>
      </c>
    </row>
    <row r="416" spans="1:8" x14ac:dyDescent="0.35">
      <c r="A416" s="8">
        <v>46498</v>
      </c>
      <c r="B416" s="8">
        <f t="shared" si="12"/>
        <v>46478</v>
      </c>
      <c r="C416" t="s">
        <v>34</v>
      </c>
      <c r="D416" s="5" t="s">
        <v>44</v>
      </c>
      <c r="E416" s="10">
        <f>IFERROR(VLOOKUP(C416,Assets!$A:$G,7,FALSE),0)</f>
        <v>15</v>
      </c>
      <c r="F416" s="11" t="s">
        <v>45</v>
      </c>
      <c r="G416" s="6"/>
      <c r="H416" s="10">
        <f t="shared" si="13"/>
        <v>15</v>
      </c>
    </row>
    <row r="417" spans="1:8" x14ac:dyDescent="0.35">
      <c r="A417" s="8">
        <v>46505</v>
      </c>
      <c r="B417" s="8">
        <f t="shared" si="12"/>
        <v>46478</v>
      </c>
      <c r="C417" t="s">
        <v>34</v>
      </c>
      <c r="D417" s="5" t="s">
        <v>44</v>
      </c>
      <c r="E417" s="10">
        <f>IFERROR(VLOOKUP(C417,Assets!$A:$G,7,FALSE),0)</f>
        <v>15</v>
      </c>
      <c r="F417" s="11" t="s">
        <v>45</v>
      </c>
      <c r="G417" s="6"/>
      <c r="H417" s="10">
        <f t="shared" si="13"/>
        <v>15</v>
      </c>
    </row>
    <row r="418" spans="1:8" x14ac:dyDescent="0.35">
      <c r="A418" s="8">
        <v>46514</v>
      </c>
      <c r="B418" s="8">
        <f t="shared" si="12"/>
        <v>46508</v>
      </c>
      <c r="C418" t="s">
        <v>20</v>
      </c>
      <c r="D418" s="5" t="s">
        <v>44</v>
      </c>
      <c r="E418" s="10">
        <f>IFERROR(VLOOKUP(C418,Assets!$A:$G,7,FALSE),0)</f>
        <v>160</v>
      </c>
      <c r="F418" s="11" t="s">
        <v>45</v>
      </c>
      <c r="G418" s="6"/>
      <c r="H418" s="10">
        <f t="shared" si="13"/>
        <v>160</v>
      </c>
    </row>
    <row r="419" spans="1:8" x14ac:dyDescent="0.35">
      <c r="A419" s="8">
        <v>46521</v>
      </c>
      <c r="B419" s="8">
        <f t="shared" si="12"/>
        <v>46508</v>
      </c>
      <c r="C419" t="s">
        <v>20</v>
      </c>
      <c r="D419" s="5" t="s">
        <v>44</v>
      </c>
      <c r="E419" s="10">
        <f>IFERROR(VLOOKUP(C419,Assets!$A:$G,7,FALSE),0)</f>
        <v>160</v>
      </c>
      <c r="F419" s="11" t="s">
        <v>45</v>
      </c>
      <c r="G419" s="6"/>
      <c r="H419" s="10">
        <f t="shared" si="13"/>
        <v>160</v>
      </c>
    </row>
    <row r="420" spans="1:8" x14ac:dyDescent="0.35">
      <c r="A420" s="8">
        <v>46528</v>
      </c>
      <c r="B420" s="8">
        <f t="shared" si="12"/>
        <v>46508</v>
      </c>
      <c r="C420" t="s">
        <v>20</v>
      </c>
      <c r="D420" s="5" t="s">
        <v>44</v>
      </c>
      <c r="E420" s="10">
        <f>IFERROR(VLOOKUP(C420,Assets!$A:$G,7,FALSE),0)</f>
        <v>160</v>
      </c>
      <c r="F420" s="11" t="s">
        <v>45</v>
      </c>
      <c r="G420" s="6"/>
      <c r="H420" s="10">
        <f t="shared" si="13"/>
        <v>160</v>
      </c>
    </row>
    <row r="421" spans="1:8" x14ac:dyDescent="0.35">
      <c r="A421" s="8">
        <v>46535</v>
      </c>
      <c r="B421" s="8">
        <f t="shared" si="12"/>
        <v>46508</v>
      </c>
      <c r="C421" t="s">
        <v>20</v>
      </c>
      <c r="D421" s="5" t="s">
        <v>44</v>
      </c>
      <c r="E421" s="10">
        <f>IFERROR(VLOOKUP(C421,Assets!$A:$G,7,FALSE),0)</f>
        <v>160</v>
      </c>
      <c r="F421" s="11" t="s">
        <v>45</v>
      </c>
      <c r="G421" s="6"/>
      <c r="H421" s="10">
        <f t="shared" si="13"/>
        <v>160</v>
      </c>
    </row>
    <row r="422" spans="1:8" x14ac:dyDescent="0.35">
      <c r="A422" s="8">
        <v>46514</v>
      </c>
      <c r="B422" s="8">
        <f t="shared" si="12"/>
        <v>46508</v>
      </c>
      <c r="C422" t="s">
        <v>25</v>
      </c>
      <c r="D422" s="5" t="s">
        <v>44</v>
      </c>
      <c r="E422" s="10">
        <f>IFERROR(VLOOKUP(C422,Assets!$A:$G,7,FALSE),0)</f>
        <v>40</v>
      </c>
      <c r="F422" s="11" t="s">
        <v>45</v>
      </c>
      <c r="G422" s="6"/>
      <c r="H422" s="10">
        <f t="shared" si="13"/>
        <v>40</v>
      </c>
    </row>
    <row r="423" spans="1:8" x14ac:dyDescent="0.35">
      <c r="A423" s="8">
        <v>46521</v>
      </c>
      <c r="B423" s="8">
        <f t="shared" si="12"/>
        <v>46508</v>
      </c>
      <c r="C423" t="s">
        <v>25</v>
      </c>
      <c r="D423" s="5" t="s">
        <v>44</v>
      </c>
      <c r="E423" s="10">
        <f>IFERROR(VLOOKUP(C423,Assets!$A:$G,7,FALSE),0)</f>
        <v>40</v>
      </c>
      <c r="F423" s="11" t="s">
        <v>45</v>
      </c>
      <c r="G423" s="6"/>
      <c r="H423" s="10">
        <f t="shared" si="13"/>
        <v>40</v>
      </c>
    </row>
    <row r="424" spans="1:8" x14ac:dyDescent="0.35">
      <c r="A424" s="8">
        <v>46528</v>
      </c>
      <c r="B424" s="8">
        <f t="shared" si="12"/>
        <v>46508</v>
      </c>
      <c r="C424" t="s">
        <v>25</v>
      </c>
      <c r="D424" s="5" t="s">
        <v>44</v>
      </c>
      <c r="E424" s="10">
        <f>IFERROR(VLOOKUP(C424,Assets!$A:$G,7,FALSE),0)</f>
        <v>40</v>
      </c>
      <c r="F424" s="11" t="s">
        <v>45</v>
      </c>
      <c r="G424" s="6"/>
      <c r="H424" s="10">
        <f t="shared" si="13"/>
        <v>40</v>
      </c>
    </row>
    <row r="425" spans="1:8" x14ac:dyDescent="0.35">
      <c r="A425" s="8">
        <v>46535</v>
      </c>
      <c r="B425" s="8">
        <f t="shared" si="12"/>
        <v>46508</v>
      </c>
      <c r="C425" t="s">
        <v>25</v>
      </c>
      <c r="D425" s="5" t="s">
        <v>44</v>
      </c>
      <c r="E425" s="10">
        <f>IFERROR(VLOOKUP(C425,Assets!$A:$G,7,FALSE),0)</f>
        <v>40</v>
      </c>
      <c r="F425" s="11" t="s">
        <v>45</v>
      </c>
      <c r="G425" s="6"/>
      <c r="H425" s="10">
        <f t="shared" si="13"/>
        <v>40</v>
      </c>
    </row>
    <row r="426" spans="1:8" x14ac:dyDescent="0.35">
      <c r="A426" s="8">
        <v>46514</v>
      </c>
      <c r="B426" s="8">
        <f t="shared" si="12"/>
        <v>46508</v>
      </c>
      <c r="C426" t="s">
        <v>26</v>
      </c>
      <c r="D426" s="5" t="s">
        <v>44</v>
      </c>
      <c r="E426" s="10">
        <f>IFERROR(VLOOKUP(C426,Assets!$A:$G,7,FALSE),0)</f>
        <v>27</v>
      </c>
      <c r="F426" s="11" t="s">
        <v>45</v>
      </c>
      <c r="G426" s="6"/>
      <c r="H426" s="10">
        <f t="shared" si="13"/>
        <v>27</v>
      </c>
    </row>
    <row r="427" spans="1:8" x14ac:dyDescent="0.35">
      <c r="A427" s="8">
        <v>46521</v>
      </c>
      <c r="B427" s="8">
        <f t="shared" si="12"/>
        <v>46508</v>
      </c>
      <c r="C427" t="s">
        <v>26</v>
      </c>
      <c r="D427" s="5" t="s">
        <v>44</v>
      </c>
      <c r="E427" s="10">
        <f>IFERROR(VLOOKUP(C427,Assets!$A:$G,7,FALSE),0)</f>
        <v>27</v>
      </c>
      <c r="F427" s="11" t="s">
        <v>45</v>
      </c>
      <c r="G427" s="6"/>
      <c r="H427" s="10">
        <f t="shared" si="13"/>
        <v>27</v>
      </c>
    </row>
    <row r="428" spans="1:8" x14ac:dyDescent="0.35">
      <c r="A428" s="8">
        <v>46528</v>
      </c>
      <c r="B428" s="8">
        <f t="shared" si="12"/>
        <v>46508</v>
      </c>
      <c r="C428" t="s">
        <v>26</v>
      </c>
      <c r="D428" s="5" t="s">
        <v>44</v>
      </c>
      <c r="E428" s="10">
        <f>IFERROR(VLOOKUP(C428,Assets!$A:$G,7,FALSE),0)</f>
        <v>27</v>
      </c>
      <c r="F428" s="11" t="s">
        <v>45</v>
      </c>
      <c r="G428" s="6"/>
      <c r="H428" s="10">
        <f t="shared" si="13"/>
        <v>27</v>
      </c>
    </row>
    <row r="429" spans="1:8" x14ac:dyDescent="0.35">
      <c r="A429" s="8">
        <v>46535</v>
      </c>
      <c r="B429" s="8">
        <f t="shared" si="12"/>
        <v>46508</v>
      </c>
      <c r="C429" t="s">
        <v>26</v>
      </c>
      <c r="D429" s="5" t="s">
        <v>44</v>
      </c>
      <c r="E429" s="10">
        <f>IFERROR(VLOOKUP(C429,Assets!$A:$G,7,FALSE),0)</f>
        <v>27</v>
      </c>
      <c r="F429" s="11" t="s">
        <v>45</v>
      </c>
      <c r="G429" s="6"/>
      <c r="H429" s="10">
        <f t="shared" si="13"/>
        <v>27</v>
      </c>
    </row>
    <row r="430" spans="1:8" x14ac:dyDescent="0.35">
      <c r="A430" s="8">
        <v>46514</v>
      </c>
      <c r="B430" s="8">
        <f t="shared" si="12"/>
        <v>46508</v>
      </c>
      <c r="C430" t="s">
        <v>29</v>
      </c>
      <c r="D430" s="5" t="s">
        <v>44</v>
      </c>
      <c r="E430" s="10">
        <f>IFERROR(VLOOKUP(C430,Assets!$A:$G,7,FALSE),0)</f>
        <v>20</v>
      </c>
      <c r="F430" s="11" t="s">
        <v>45</v>
      </c>
      <c r="G430" s="6"/>
      <c r="H430" s="10">
        <f t="shared" si="13"/>
        <v>20</v>
      </c>
    </row>
    <row r="431" spans="1:8" x14ac:dyDescent="0.35">
      <c r="A431" s="8">
        <v>46521</v>
      </c>
      <c r="B431" s="8">
        <f t="shared" si="12"/>
        <v>46508</v>
      </c>
      <c r="C431" t="s">
        <v>29</v>
      </c>
      <c r="D431" s="5" t="s">
        <v>44</v>
      </c>
      <c r="E431" s="10">
        <f>IFERROR(VLOOKUP(C431,Assets!$A:$G,7,FALSE),0)</f>
        <v>20</v>
      </c>
      <c r="F431" s="11" t="s">
        <v>45</v>
      </c>
      <c r="G431" s="6"/>
      <c r="H431" s="10">
        <f t="shared" si="13"/>
        <v>20</v>
      </c>
    </row>
    <row r="432" spans="1:8" x14ac:dyDescent="0.35">
      <c r="A432" s="8">
        <v>46528</v>
      </c>
      <c r="B432" s="8">
        <f t="shared" si="12"/>
        <v>46508</v>
      </c>
      <c r="C432" t="s">
        <v>29</v>
      </c>
      <c r="D432" s="5" t="s">
        <v>44</v>
      </c>
      <c r="E432" s="10">
        <f>IFERROR(VLOOKUP(C432,Assets!$A:$G,7,FALSE),0)</f>
        <v>20</v>
      </c>
      <c r="F432" s="11" t="s">
        <v>45</v>
      </c>
      <c r="G432" s="6"/>
      <c r="H432" s="10">
        <f t="shared" si="13"/>
        <v>20</v>
      </c>
    </row>
    <row r="433" spans="1:8" x14ac:dyDescent="0.35">
      <c r="A433" s="8">
        <v>46535</v>
      </c>
      <c r="B433" s="8">
        <f t="shared" si="12"/>
        <v>46508</v>
      </c>
      <c r="C433" t="s">
        <v>29</v>
      </c>
      <c r="D433" s="5" t="s">
        <v>44</v>
      </c>
      <c r="E433" s="10">
        <f>IFERROR(VLOOKUP(C433,Assets!$A:$G,7,FALSE),0)</f>
        <v>20</v>
      </c>
      <c r="F433" s="11" t="s">
        <v>45</v>
      </c>
      <c r="G433" s="6"/>
      <c r="H433" s="10">
        <f t="shared" si="13"/>
        <v>20</v>
      </c>
    </row>
    <row r="434" spans="1:8" x14ac:dyDescent="0.35">
      <c r="A434" s="8">
        <v>46514</v>
      </c>
      <c r="B434" s="8">
        <f t="shared" si="12"/>
        <v>46508</v>
      </c>
      <c r="C434" t="s">
        <v>31</v>
      </c>
      <c r="D434" s="5" t="s">
        <v>44</v>
      </c>
      <c r="E434" s="10">
        <f>IFERROR(VLOOKUP(C434,Assets!$A:$G,7,FALSE),0)</f>
        <v>27</v>
      </c>
      <c r="F434" s="11" t="s">
        <v>45</v>
      </c>
      <c r="G434" s="6"/>
      <c r="H434" s="10">
        <f t="shared" si="13"/>
        <v>27</v>
      </c>
    </row>
    <row r="435" spans="1:8" x14ac:dyDescent="0.35">
      <c r="A435" s="8">
        <v>46521</v>
      </c>
      <c r="B435" s="8">
        <f t="shared" si="12"/>
        <v>46508</v>
      </c>
      <c r="C435" t="s">
        <v>31</v>
      </c>
      <c r="D435" s="5" t="s">
        <v>44</v>
      </c>
      <c r="E435" s="10">
        <f>IFERROR(VLOOKUP(C435,Assets!$A:$G,7,FALSE),0)</f>
        <v>27</v>
      </c>
      <c r="F435" s="11" t="s">
        <v>45</v>
      </c>
      <c r="G435" s="6"/>
      <c r="H435" s="10">
        <f t="shared" si="13"/>
        <v>27</v>
      </c>
    </row>
    <row r="436" spans="1:8" x14ac:dyDescent="0.35">
      <c r="A436" s="8">
        <v>46528</v>
      </c>
      <c r="B436" s="8">
        <f t="shared" si="12"/>
        <v>46508</v>
      </c>
      <c r="C436" t="s">
        <v>31</v>
      </c>
      <c r="D436" s="5" t="s">
        <v>44</v>
      </c>
      <c r="E436" s="10">
        <f>IFERROR(VLOOKUP(C436,Assets!$A:$G,7,FALSE),0)</f>
        <v>27</v>
      </c>
      <c r="F436" s="11" t="s">
        <v>45</v>
      </c>
      <c r="G436" s="6"/>
      <c r="H436" s="10">
        <f t="shared" si="13"/>
        <v>27</v>
      </c>
    </row>
    <row r="437" spans="1:8" x14ac:dyDescent="0.35">
      <c r="A437" s="8">
        <v>46535</v>
      </c>
      <c r="B437" s="8">
        <f t="shared" si="12"/>
        <v>46508</v>
      </c>
      <c r="C437" t="s">
        <v>31</v>
      </c>
      <c r="D437" s="5" t="s">
        <v>44</v>
      </c>
      <c r="E437" s="10">
        <f>IFERROR(VLOOKUP(C437,Assets!$A:$G,7,FALSE),0)</f>
        <v>27</v>
      </c>
      <c r="F437" s="11" t="s">
        <v>45</v>
      </c>
      <c r="G437" s="6"/>
      <c r="H437" s="10">
        <f t="shared" si="13"/>
        <v>27</v>
      </c>
    </row>
    <row r="438" spans="1:8" x14ac:dyDescent="0.35">
      <c r="A438" s="8">
        <v>46514</v>
      </c>
      <c r="B438" s="8">
        <f t="shared" si="12"/>
        <v>46508</v>
      </c>
      <c r="C438" t="s">
        <v>32</v>
      </c>
      <c r="D438" s="5" t="s">
        <v>44</v>
      </c>
      <c r="E438" s="10">
        <f>IFERROR(VLOOKUP(C438,Assets!$A:$G,7,FALSE),0)</f>
        <v>45</v>
      </c>
      <c r="F438" s="11" t="s">
        <v>45</v>
      </c>
      <c r="G438" s="6"/>
      <c r="H438" s="10">
        <f t="shared" si="13"/>
        <v>45</v>
      </c>
    </row>
    <row r="439" spans="1:8" x14ac:dyDescent="0.35">
      <c r="A439" s="8">
        <v>46521</v>
      </c>
      <c r="B439" s="8">
        <f t="shared" si="12"/>
        <v>46508</v>
      </c>
      <c r="C439" t="s">
        <v>32</v>
      </c>
      <c r="D439" s="5" t="s">
        <v>44</v>
      </c>
      <c r="E439" s="10">
        <f>IFERROR(VLOOKUP(C439,Assets!$A:$G,7,FALSE),0)</f>
        <v>45</v>
      </c>
      <c r="F439" s="11" t="s">
        <v>45</v>
      </c>
      <c r="G439" s="6"/>
      <c r="H439" s="10">
        <f t="shared" si="13"/>
        <v>45</v>
      </c>
    </row>
    <row r="440" spans="1:8" x14ac:dyDescent="0.35">
      <c r="A440" s="8">
        <v>46528</v>
      </c>
      <c r="B440" s="8">
        <f t="shared" si="12"/>
        <v>46508</v>
      </c>
      <c r="C440" t="s">
        <v>32</v>
      </c>
      <c r="D440" s="5" t="s">
        <v>44</v>
      </c>
      <c r="E440" s="10">
        <f>IFERROR(VLOOKUP(C440,Assets!$A:$G,7,FALSE),0)</f>
        <v>45</v>
      </c>
      <c r="F440" s="11" t="s">
        <v>45</v>
      </c>
      <c r="G440" s="6"/>
      <c r="H440" s="10">
        <f t="shared" si="13"/>
        <v>45</v>
      </c>
    </row>
    <row r="441" spans="1:8" x14ac:dyDescent="0.35">
      <c r="A441" s="8">
        <v>46535</v>
      </c>
      <c r="B441" s="8">
        <f t="shared" si="12"/>
        <v>46508</v>
      </c>
      <c r="C441" t="s">
        <v>32</v>
      </c>
      <c r="D441" s="5" t="s">
        <v>44</v>
      </c>
      <c r="E441" s="10">
        <f>IFERROR(VLOOKUP(C441,Assets!$A:$G,7,FALSE),0)</f>
        <v>45</v>
      </c>
      <c r="F441" s="11" t="s">
        <v>45</v>
      </c>
      <c r="G441" s="6"/>
      <c r="H441" s="10">
        <f t="shared" si="13"/>
        <v>45</v>
      </c>
    </row>
    <row r="442" spans="1:8" x14ac:dyDescent="0.35">
      <c r="A442" s="8">
        <v>46514</v>
      </c>
      <c r="B442" s="8">
        <f t="shared" si="12"/>
        <v>46508</v>
      </c>
      <c r="C442" t="s">
        <v>33</v>
      </c>
      <c r="D442" s="5" t="s">
        <v>44</v>
      </c>
      <c r="E442" s="10">
        <f>IFERROR(VLOOKUP(C442,Assets!$A:$G,7,FALSE),0)</f>
        <v>41</v>
      </c>
      <c r="F442" s="11" t="s">
        <v>45</v>
      </c>
      <c r="G442" s="6"/>
      <c r="H442" s="10">
        <f t="shared" si="13"/>
        <v>41</v>
      </c>
    </row>
    <row r="443" spans="1:8" x14ac:dyDescent="0.35">
      <c r="A443" s="8">
        <v>46521</v>
      </c>
      <c r="B443" s="8">
        <f t="shared" si="12"/>
        <v>46508</v>
      </c>
      <c r="C443" t="s">
        <v>33</v>
      </c>
      <c r="D443" s="5" t="s">
        <v>44</v>
      </c>
      <c r="E443" s="10">
        <f>IFERROR(VLOOKUP(C443,Assets!$A:$G,7,FALSE),0)</f>
        <v>41</v>
      </c>
      <c r="F443" s="11" t="s">
        <v>45</v>
      </c>
      <c r="G443" s="6"/>
      <c r="H443" s="10">
        <f t="shared" si="13"/>
        <v>41</v>
      </c>
    </row>
    <row r="444" spans="1:8" x14ac:dyDescent="0.35">
      <c r="A444" s="8">
        <v>46528</v>
      </c>
      <c r="B444" s="8">
        <f t="shared" si="12"/>
        <v>46508</v>
      </c>
      <c r="C444" t="s">
        <v>33</v>
      </c>
      <c r="D444" s="5" t="s">
        <v>44</v>
      </c>
      <c r="E444" s="10">
        <f>IFERROR(VLOOKUP(C444,Assets!$A:$G,7,FALSE),0)</f>
        <v>41</v>
      </c>
      <c r="F444" s="11" t="s">
        <v>45</v>
      </c>
      <c r="G444" s="6"/>
      <c r="H444" s="10">
        <f t="shared" si="13"/>
        <v>41</v>
      </c>
    </row>
    <row r="445" spans="1:8" x14ac:dyDescent="0.35">
      <c r="A445" s="8">
        <v>46535</v>
      </c>
      <c r="B445" s="8">
        <f t="shared" si="12"/>
        <v>46508</v>
      </c>
      <c r="C445" t="s">
        <v>33</v>
      </c>
      <c r="D445" s="5" t="s">
        <v>44</v>
      </c>
      <c r="E445" s="10">
        <f>IFERROR(VLOOKUP(C445,Assets!$A:$G,7,FALSE),0)</f>
        <v>41</v>
      </c>
      <c r="F445" s="11" t="s">
        <v>45</v>
      </c>
      <c r="G445" s="6"/>
      <c r="H445" s="10">
        <f t="shared" si="13"/>
        <v>41</v>
      </c>
    </row>
    <row r="446" spans="1:8" x14ac:dyDescent="0.35">
      <c r="A446" s="8">
        <v>46514</v>
      </c>
      <c r="B446" s="8">
        <f t="shared" si="12"/>
        <v>46508</v>
      </c>
      <c r="C446" t="s">
        <v>34</v>
      </c>
      <c r="D446" s="5" t="s">
        <v>44</v>
      </c>
      <c r="E446" s="10">
        <f>IFERROR(VLOOKUP(C446,Assets!$A:$G,7,FALSE),0)</f>
        <v>15</v>
      </c>
      <c r="F446" s="11" t="s">
        <v>45</v>
      </c>
      <c r="G446" s="6"/>
      <c r="H446" s="10">
        <f t="shared" si="13"/>
        <v>15</v>
      </c>
    </row>
    <row r="447" spans="1:8" x14ac:dyDescent="0.35">
      <c r="A447" s="8">
        <v>46521</v>
      </c>
      <c r="B447" s="8">
        <f t="shared" si="12"/>
        <v>46508</v>
      </c>
      <c r="C447" t="s">
        <v>34</v>
      </c>
      <c r="D447" s="5" t="s">
        <v>44</v>
      </c>
      <c r="E447" s="10">
        <f>IFERROR(VLOOKUP(C447,Assets!$A:$G,7,FALSE),0)</f>
        <v>15</v>
      </c>
      <c r="F447" s="11" t="s">
        <v>45</v>
      </c>
      <c r="G447" s="6"/>
      <c r="H447" s="10">
        <f t="shared" si="13"/>
        <v>15</v>
      </c>
    </row>
    <row r="448" spans="1:8" x14ac:dyDescent="0.35">
      <c r="A448" s="8">
        <v>46528</v>
      </c>
      <c r="B448" s="8">
        <f t="shared" si="12"/>
        <v>46508</v>
      </c>
      <c r="C448" t="s">
        <v>34</v>
      </c>
      <c r="D448" s="5" t="s">
        <v>44</v>
      </c>
      <c r="E448" s="10">
        <f>IFERROR(VLOOKUP(C448,Assets!$A:$G,7,FALSE),0)</f>
        <v>15</v>
      </c>
      <c r="F448" s="11" t="s">
        <v>45</v>
      </c>
      <c r="G448" s="6"/>
      <c r="H448" s="10">
        <f t="shared" si="13"/>
        <v>15</v>
      </c>
    </row>
    <row r="449" spans="1:8" x14ac:dyDescent="0.35">
      <c r="A449" s="8">
        <v>46535</v>
      </c>
      <c r="B449" s="8">
        <f t="shared" si="12"/>
        <v>46508</v>
      </c>
      <c r="C449" t="s">
        <v>34</v>
      </c>
      <c r="D449" s="5" t="s">
        <v>44</v>
      </c>
      <c r="E449" s="10">
        <f>IFERROR(VLOOKUP(C449,Assets!$A:$G,7,FALSE),0)</f>
        <v>15</v>
      </c>
      <c r="F449" s="11" t="s">
        <v>45</v>
      </c>
      <c r="G449" s="6"/>
      <c r="H449" s="10">
        <f t="shared" si="13"/>
        <v>15</v>
      </c>
    </row>
    <row r="450" spans="1:8" x14ac:dyDescent="0.35">
      <c r="A450" s="8">
        <v>46545</v>
      </c>
      <c r="B450" s="8">
        <f t="shared" ref="B450:B513" si="14">DATE(YEAR(A450),MONTH(A450),1)</f>
        <v>46539</v>
      </c>
      <c r="C450" t="s">
        <v>20</v>
      </c>
      <c r="D450" s="5" t="s">
        <v>44</v>
      </c>
      <c r="E450" s="10">
        <f>IFERROR(VLOOKUP(C450,Assets!$A:$G,7,FALSE),0)</f>
        <v>160</v>
      </c>
      <c r="F450" s="11" t="s">
        <v>45</v>
      </c>
      <c r="G450" s="6"/>
      <c r="H450" s="10">
        <f t="shared" ref="H450:H513" si="15">IF(F450="No",0,IF(F450="Edited",IF(G450="",E450,G450),E450))</f>
        <v>160</v>
      </c>
    </row>
    <row r="451" spans="1:8" x14ac:dyDescent="0.35">
      <c r="A451" s="8">
        <v>46552</v>
      </c>
      <c r="B451" s="8">
        <f t="shared" si="14"/>
        <v>46539</v>
      </c>
      <c r="C451" t="s">
        <v>20</v>
      </c>
      <c r="D451" s="5" t="s">
        <v>44</v>
      </c>
      <c r="E451" s="10">
        <f>IFERROR(VLOOKUP(C451,Assets!$A:$G,7,FALSE),0)</f>
        <v>160</v>
      </c>
      <c r="F451" s="11" t="s">
        <v>45</v>
      </c>
      <c r="G451" s="6"/>
      <c r="H451" s="10">
        <f t="shared" si="15"/>
        <v>160</v>
      </c>
    </row>
    <row r="452" spans="1:8" x14ac:dyDescent="0.35">
      <c r="A452" s="8">
        <v>46559</v>
      </c>
      <c r="B452" s="8">
        <f t="shared" si="14"/>
        <v>46539</v>
      </c>
      <c r="C452" t="s">
        <v>20</v>
      </c>
      <c r="D452" s="5" t="s">
        <v>44</v>
      </c>
      <c r="E452" s="10">
        <f>IFERROR(VLOOKUP(C452,Assets!$A:$G,7,FALSE),0)</f>
        <v>160</v>
      </c>
      <c r="F452" s="11" t="s">
        <v>45</v>
      </c>
      <c r="G452" s="6"/>
      <c r="H452" s="10">
        <f t="shared" si="15"/>
        <v>160</v>
      </c>
    </row>
    <row r="453" spans="1:8" x14ac:dyDescent="0.35">
      <c r="A453" s="8">
        <v>46566</v>
      </c>
      <c r="B453" s="8">
        <f t="shared" si="14"/>
        <v>46539</v>
      </c>
      <c r="C453" t="s">
        <v>20</v>
      </c>
      <c r="D453" s="5" t="s">
        <v>44</v>
      </c>
      <c r="E453" s="10">
        <f>IFERROR(VLOOKUP(C453,Assets!$A:$G,7,FALSE),0)</f>
        <v>160</v>
      </c>
      <c r="F453" s="11" t="s">
        <v>45</v>
      </c>
      <c r="G453" s="6"/>
      <c r="H453" s="10">
        <f t="shared" si="15"/>
        <v>160</v>
      </c>
    </row>
    <row r="454" spans="1:8" x14ac:dyDescent="0.35">
      <c r="A454" s="8">
        <v>46545</v>
      </c>
      <c r="B454" s="8">
        <f t="shared" si="14"/>
        <v>46539</v>
      </c>
      <c r="C454" t="s">
        <v>25</v>
      </c>
      <c r="D454" s="5" t="s">
        <v>44</v>
      </c>
      <c r="E454" s="10">
        <f>IFERROR(VLOOKUP(C454,Assets!$A:$G,7,FALSE),0)</f>
        <v>40</v>
      </c>
      <c r="F454" s="11" t="s">
        <v>45</v>
      </c>
      <c r="G454" s="6"/>
      <c r="H454" s="10">
        <f t="shared" si="15"/>
        <v>40</v>
      </c>
    </row>
    <row r="455" spans="1:8" x14ac:dyDescent="0.35">
      <c r="A455" s="8">
        <v>46552</v>
      </c>
      <c r="B455" s="8">
        <f t="shared" si="14"/>
        <v>46539</v>
      </c>
      <c r="C455" t="s">
        <v>25</v>
      </c>
      <c r="D455" s="5" t="s">
        <v>44</v>
      </c>
      <c r="E455" s="10">
        <f>IFERROR(VLOOKUP(C455,Assets!$A:$G,7,FALSE),0)</f>
        <v>40</v>
      </c>
      <c r="F455" s="11" t="s">
        <v>45</v>
      </c>
      <c r="G455" s="6"/>
      <c r="H455" s="10">
        <f t="shared" si="15"/>
        <v>40</v>
      </c>
    </row>
    <row r="456" spans="1:8" x14ac:dyDescent="0.35">
      <c r="A456" s="8">
        <v>46559</v>
      </c>
      <c r="B456" s="8">
        <f t="shared" si="14"/>
        <v>46539</v>
      </c>
      <c r="C456" t="s">
        <v>25</v>
      </c>
      <c r="D456" s="5" t="s">
        <v>44</v>
      </c>
      <c r="E456" s="10">
        <f>IFERROR(VLOOKUP(C456,Assets!$A:$G,7,FALSE),0)</f>
        <v>40</v>
      </c>
      <c r="F456" s="11" t="s">
        <v>45</v>
      </c>
      <c r="G456" s="6"/>
      <c r="H456" s="10">
        <f t="shared" si="15"/>
        <v>40</v>
      </c>
    </row>
    <row r="457" spans="1:8" x14ac:dyDescent="0.35">
      <c r="A457" s="8">
        <v>46566</v>
      </c>
      <c r="B457" s="8">
        <f t="shared" si="14"/>
        <v>46539</v>
      </c>
      <c r="C457" t="s">
        <v>25</v>
      </c>
      <c r="D457" s="5" t="s">
        <v>44</v>
      </c>
      <c r="E457" s="10">
        <f>IFERROR(VLOOKUP(C457,Assets!$A:$G,7,FALSE),0)</f>
        <v>40</v>
      </c>
      <c r="F457" s="11" t="s">
        <v>45</v>
      </c>
      <c r="G457" s="6"/>
      <c r="H457" s="10">
        <f t="shared" si="15"/>
        <v>40</v>
      </c>
    </row>
    <row r="458" spans="1:8" x14ac:dyDescent="0.35">
      <c r="A458" s="8">
        <v>46545</v>
      </c>
      <c r="B458" s="8">
        <f t="shared" si="14"/>
        <v>46539</v>
      </c>
      <c r="C458" t="s">
        <v>26</v>
      </c>
      <c r="D458" s="5" t="s">
        <v>44</v>
      </c>
      <c r="E458" s="10">
        <f>IFERROR(VLOOKUP(C458,Assets!$A:$G,7,FALSE),0)</f>
        <v>27</v>
      </c>
      <c r="F458" s="11" t="s">
        <v>45</v>
      </c>
      <c r="G458" s="6"/>
      <c r="H458" s="10">
        <f t="shared" si="15"/>
        <v>27</v>
      </c>
    </row>
    <row r="459" spans="1:8" x14ac:dyDescent="0.35">
      <c r="A459" s="8">
        <v>46552</v>
      </c>
      <c r="B459" s="8">
        <f t="shared" si="14"/>
        <v>46539</v>
      </c>
      <c r="C459" t="s">
        <v>26</v>
      </c>
      <c r="D459" s="5" t="s">
        <v>44</v>
      </c>
      <c r="E459" s="10">
        <f>IFERROR(VLOOKUP(C459,Assets!$A:$G,7,FALSE),0)</f>
        <v>27</v>
      </c>
      <c r="F459" s="11" t="s">
        <v>45</v>
      </c>
      <c r="G459" s="6"/>
      <c r="H459" s="10">
        <f t="shared" si="15"/>
        <v>27</v>
      </c>
    </row>
    <row r="460" spans="1:8" x14ac:dyDescent="0.35">
      <c r="A460" s="8">
        <v>46559</v>
      </c>
      <c r="B460" s="8">
        <f t="shared" si="14"/>
        <v>46539</v>
      </c>
      <c r="C460" t="s">
        <v>26</v>
      </c>
      <c r="D460" s="5" t="s">
        <v>44</v>
      </c>
      <c r="E460" s="10">
        <f>IFERROR(VLOOKUP(C460,Assets!$A:$G,7,FALSE),0)</f>
        <v>27</v>
      </c>
      <c r="F460" s="11" t="s">
        <v>45</v>
      </c>
      <c r="G460" s="6"/>
      <c r="H460" s="10">
        <f t="shared" si="15"/>
        <v>27</v>
      </c>
    </row>
    <row r="461" spans="1:8" x14ac:dyDescent="0.35">
      <c r="A461" s="8">
        <v>46566</v>
      </c>
      <c r="B461" s="8">
        <f t="shared" si="14"/>
        <v>46539</v>
      </c>
      <c r="C461" t="s">
        <v>26</v>
      </c>
      <c r="D461" s="5" t="s">
        <v>44</v>
      </c>
      <c r="E461" s="10">
        <f>IFERROR(VLOOKUP(C461,Assets!$A:$G,7,FALSE),0)</f>
        <v>27</v>
      </c>
      <c r="F461" s="11" t="s">
        <v>45</v>
      </c>
      <c r="G461" s="6"/>
      <c r="H461" s="10">
        <f t="shared" si="15"/>
        <v>27</v>
      </c>
    </row>
    <row r="462" spans="1:8" x14ac:dyDescent="0.35">
      <c r="A462" s="8">
        <v>46545</v>
      </c>
      <c r="B462" s="8">
        <f t="shared" si="14"/>
        <v>46539</v>
      </c>
      <c r="C462" t="s">
        <v>29</v>
      </c>
      <c r="D462" s="5" t="s">
        <v>44</v>
      </c>
      <c r="E462" s="10">
        <f>IFERROR(VLOOKUP(C462,Assets!$A:$G,7,FALSE),0)</f>
        <v>20</v>
      </c>
      <c r="F462" s="11" t="s">
        <v>45</v>
      </c>
      <c r="G462" s="6"/>
      <c r="H462" s="10">
        <f t="shared" si="15"/>
        <v>20</v>
      </c>
    </row>
    <row r="463" spans="1:8" x14ac:dyDescent="0.35">
      <c r="A463" s="8">
        <v>46552</v>
      </c>
      <c r="B463" s="8">
        <f t="shared" si="14"/>
        <v>46539</v>
      </c>
      <c r="C463" t="s">
        <v>29</v>
      </c>
      <c r="D463" s="5" t="s">
        <v>44</v>
      </c>
      <c r="E463" s="10">
        <f>IFERROR(VLOOKUP(C463,Assets!$A:$G,7,FALSE),0)</f>
        <v>20</v>
      </c>
      <c r="F463" s="11" t="s">
        <v>45</v>
      </c>
      <c r="G463" s="6"/>
      <c r="H463" s="10">
        <f t="shared" si="15"/>
        <v>20</v>
      </c>
    </row>
    <row r="464" spans="1:8" x14ac:dyDescent="0.35">
      <c r="A464" s="8">
        <v>46559</v>
      </c>
      <c r="B464" s="8">
        <f t="shared" si="14"/>
        <v>46539</v>
      </c>
      <c r="C464" t="s">
        <v>29</v>
      </c>
      <c r="D464" s="5" t="s">
        <v>44</v>
      </c>
      <c r="E464" s="10">
        <f>IFERROR(VLOOKUP(C464,Assets!$A:$G,7,FALSE),0)</f>
        <v>20</v>
      </c>
      <c r="F464" s="11" t="s">
        <v>45</v>
      </c>
      <c r="G464" s="6"/>
      <c r="H464" s="10">
        <f t="shared" si="15"/>
        <v>20</v>
      </c>
    </row>
    <row r="465" spans="1:8" x14ac:dyDescent="0.35">
      <c r="A465" s="8">
        <v>46566</v>
      </c>
      <c r="B465" s="8">
        <f t="shared" si="14"/>
        <v>46539</v>
      </c>
      <c r="C465" t="s">
        <v>29</v>
      </c>
      <c r="D465" s="5" t="s">
        <v>44</v>
      </c>
      <c r="E465" s="10">
        <f>IFERROR(VLOOKUP(C465,Assets!$A:$G,7,FALSE),0)</f>
        <v>20</v>
      </c>
      <c r="F465" s="11" t="s">
        <v>45</v>
      </c>
      <c r="G465" s="6"/>
      <c r="H465" s="10">
        <f t="shared" si="15"/>
        <v>20</v>
      </c>
    </row>
    <row r="466" spans="1:8" x14ac:dyDescent="0.35">
      <c r="A466" s="8">
        <v>46545</v>
      </c>
      <c r="B466" s="8">
        <f t="shared" si="14"/>
        <v>46539</v>
      </c>
      <c r="C466" t="s">
        <v>31</v>
      </c>
      <c r="D466" s="5" t="s">
        <v>44</v>
      </c>
      <c r="E466" s="10">
        <f>IFERROR(VLOOKUP(C466,Assets!$A:$G,7,FALSE),0)</f>
        <v>27</v>
      </c>
      <c r="F466" s="11" t="s">
        <v>45</v>
      </c>
      <c r="G466" s="6"/>
      <c r="H466" s="10">
        <f t="shared" si="15"/>
        <v>27</v>
      </c>
    </row>
    <row r="467" spans="1:8" x14ac:dyDescent="0.35">
      <c r="A467" s="8">
        <v>46552</v>
      </c>
      <c r="B467" s="8">
        <f t="shared" si="14"/>
        <v>46539</v>
      </c>
      <c r="C467" t="s">
        <v>31</v>
      </c>
      <c r="D467" s="5" t="s">
        <v>44</v>
      </c>
      <c r="E467" s="10">
        <f>IFERROR(VLOOKUP(C467,Assets!$A:$G,7,FALSE),0)</f>
        <v>27</v>
      </c>
      <c r="F467" s="11" t="s">
        <v>45</v>
      </c>
      <c r="G467" s="6"/>
      <c r="H467" s="10">
        <f t="shared" si="15"/>
        <v>27</v>
      </c>
    </row>
    <row r="468" spans="1:8" x14ac:dyDescent="0.35">
      <c r="A468" s="8">
        <v>46559</v>
      </c>
      <c r="B468" s="8">
        <f t="shared" si="14"/>
        <v>46539</v>
      </c>
      <c r="C468" t="s">
        <v>31</v>
      </c>
      <c r="D468" s="5" t="s">
        <v>44</v>
      </c>
      <c r="E468" s="10">
        <f>IFERROR(VLOOKUP(C468,Assets!$A:$G,7,FALSE),0)</f>
        <v>27</v>
      </c>
      <c r="F468" s="11" t="s">
        <v>45</v>
      </c>
      <c r="G468" s="6"/>
      <c r="H468" s="10">
        <f t="shared" si="15"/>
        <v>27</v>
      </c>
    </row>
    <row r="469" spans="1:8" x14ac:dyDescent="0.35">
      <c r="A469" s="8">
        <v>46566</v>
      </c>
      <c r="B469" s="8">
        <f t="shared" si="14"/>
        <v>46539</v>
      </c>
      <c r="C469" t="s">
        <v>31</v>
      </c>
      <c r="D469" s="5" t="s">
        <v>44</v>
      </c>
      <c r="E469" s="10">
        <f>IFERROR(VLOOKUP(C469,Assets!$A:$G,7,FALSE),0)</f>
        <v>27</v>
      </c>
      <c r="F469" s="11" t="s">
        <v>45</v>
      </c>
      <c r="G469" s="6"/>
      <c r="H469" s="10">
        <f t="shared" si="15"/>
        <v>27</v>
      </c>
    </row>
    <row r="470" spans="1:8" x14ac:dyDescent="0.35">
      <c r="A470" s="8">
        <v>46545</v>
      </c>
      <c r="B470" s="8">
        <f t="shared" si="14"/>
        <v>46539</v>
      </c>
      <c r="C470" t="s">
        <v>32</v>
      </c>
      <c r="D470" s="5" t="s">
        <v>44</v>
      </c>
      <c r="E470" s="10">
        <f>IFERROR(VLOOKUP(C470,Assets!$A:$G,7,FALSE),0)</f>
        <v>45</v>
      </c>
      <c r="F470" s="11" t="s">
        <v>45</v>
      </c>
      <c r="G470" s="6"/>
      <c r="H470" s="10">
        <f t="shared" si="15"/>
        <v>45</v>
      </c>
    </row>
    <row r="471" spans="1:8" x14ac:dyDescent="0.35">
      <c r="A471" s="8">
        <v>46552</v>
      </c>
      <c r="B471" s="8">
        <f t="shared" si="14"/>
        <v>46539</v>
      </c>
      <c r="C471" t="s">
        <v>32</v>
      </c>
      <c r="D471" s="5" t="s">
        <v>44</v>
      </c>
      <c r="E471" s="10">
        <f>IFERROR(VLOOKUP(C471,Assets!$A:$G,7,FALSE),0)</f>
        <v>45</v>
      </c>
      <c r="F471" s="11" t="s">
        <v>45</v>
      </c>
      <c r="G471" s="6"/>
      <c r="H471" s="10">
        <f t="shared" si="15"/>
        <v>45</v>
      </c>
    </row>
    <row r="472" spans="1:8" x14ac:dyDescent="0.35">
      <c r="A472" s="8">
        <v>46559</v>
      </c>
      <c r="B472" s="8">
        <f t="shared" si="14"/>
        <v>46539</v>
      </c>
      <c r="C472" t="s">
        <v>32</v>
      </c>
      <c r="D472" s="5" t="s">
        <v>44</v>
      </c>
      <c r="E472" s="10">
        <f>IFERROR(VLOOKUP(C472,Assets!$A:$G,7,FALSE),0)</f>
        <v>45</v>
      </c>
      <c r="F472" s="11" t="s">
        <v>45</v>
      </c>
      <c r="G472" s="6"/>
      <c r="H472" s="10">
        <f t="shared" si="15"/>
        <v>45</v>
      </c>
    </row>
    <row r="473" spans="1:8" x14ac:dyDescent="0.35">
      <c r="A473" s="8">
        <v>46566</v>
      </c>
      <c r="B473" s="8">
        <f t="shared" si="14"/>
        <v>46539</v>
      </c>
      <c r="C473" t="s">
        <v>32</v>
      </c>
      <c r="D473" s="5" t="s">
        <v>44</v>
      </c>
      <c r="E473" s="10">
        <f>IFERROR(VLOOKUP(C473,Assets!$A:$G,7,FALSE),0)</f>
        <v>45</v>
      </c>
      <c r="F473" s="11" t="s">
        <v>45</v>
      </c>
      <c r="G473" s="6"/>
      <c r="H473" s="10">
        <f t="shared" si="15"/>
        <v>45</v>
      </c>
    </row>
    <row r="474" spans="1:8" x14ac:dyDescent="0.35">
      <c r="A474" s="8">
        <v>46545</v>
      </c>
      <c r="B474" s="8">
        <f t="shared" si="14"/>
        <v>46539</v>
      </c>
      <c r="C474" t="s">
        <v>33</v>
      </c>
      <c r="D474" s="5" t="s">
        <v>44</v>
      </c>
      <c r="E474" s="10">
        <f>IFERROR(VLOOKUP(C474,Assets!$A:$G,7,FALSE),0)</f>
        <v>41</v>
      </c>
      <c r="F474" s="11" t="s">
        <v>45</v>
      </c>
      <c r="G474" s="6"/>
      <c r="H474" s="10">
        <f t="shared" si="15"/>
        <v>41</v>
      </c>
    </row>
    <row r="475" spans="1:8" x14ac:dyDescent="0.35">
      <c r="A475" s="8">
        <v>46552</v>
      </c>
      <c r="B475" s="8">
        <f t="shared" si="14"/>
        <v>46539</v>
      </c>
      <c r="C475" t="s">
        <v>33</v>
      </c>
      <c r="D475" s="5" t="s">
        <v>44</v>
      </c>
      <c r="E475" s="10">
        <f>IFERROR(VLOOKUP(C475,Assets!$A:$G,7,FALSE),0)</f>
        <v>41</v>
      </c>
      <c r="F475" s="11" t="s">
        <v>45</v>
      </c>
      <c r="G475" s="6"/>
      <c r="H475" s="10">
        <f t="shared" si="15"/>
        <v>41</v>
      </c>
    </row>
    <row r="476" spans="1:8" x14ac:dyDescent="0.35">
      <c r="A476" s="8">
        <v>46559</v>
      </c>
      <c r="B476" s="8">
        <f t="shared" si="14"/>
        <v>46539</v>
      </c>
      <c r="C476" t="s">
        <v>33</v>
      </c>
      <c r="D476" s="5" t="s">
        <v>44</v>
      </c>
      <c r="E476" s="10">
        <f>IFERROR(VLOOKUP(C476,Assets!$A:$G,7,FALSE),0)</f>
        <v>41</v>
      </c>
      <c r="F476" s="11" t="s">
        <v>45</v>
      </c>
      <c r="G476" s="6"/>
      <c r="H476" s="10">
        <f t="shared" si="15"/>
        <v>41</v>
      </c>
    </row>
    <row r="477" spans="1:8" x14ac:dyDescent="0.35">
      <c r="A477" s="8">
        <v>46566</v>
      </c>
      <c r="B477" s="8">
        <f t="shared" si="14"/>
        <v>46539</v>
      </c>
      <c r="C477" t="s">
        <v>33</v>
      </c>
      <c r="D477" s="5" t="s">
        <v>44</v>
      </c>
      <c r="E477" s="10">
        <f>IFERROR(VLOOKUP(C477,Assets!$A:$G,7,FALSE),0)</f>
        <v>41</v>
      </c>
      <c r="F477" s="11" t="s">
        <v>45</v>
      </c>
      <c r="G477" s="6"/>
      <c r="H477" s="10">
        <f t="shared" si="15"/>
        <v>41</v>
      </c>
    </row>
    <row r="478" spans="1:8" x14ac:dyDescent="0.35">
      <c r="A478" s="8">
        <v>46545</v>
      </c>
      <c r="B478" s="8">
        <f t="shared" si="14"/>
        <v>46539</v>
      </c>
      <c r="C478" t="s">
        <v>34</v>
      </c>
      <c r="D478" s="5" t="s">
        <v>44</v>
      </c>
      <c r="E478" s="10">
        <f>IFERROR(VLOOKUP(C478,Assets!$A:$G,7,FALSE),0)</f>
        <v>15</v>
      </c>
      <c r="F478" s="11" t="s">
        <v>45</v>
      </c>
      <c r="G478" s="6"/>
      <c r="H478" s="10">
        <f t="shared" si="15"/>
        <v>15</v>
      </c>
    </row>
    <row r="479" spans="1:8" x14ac:dyDescent="0.35">
      <c r="A479" s="8">
        <v>46552</v>
      </c>
      <c r="B479" s="8">
        <f t="shared" si="14"/>
        <v>46539</v>
      </c>
      <c r="C479" t="s">
        <v>34</v>
      </c>
      <c r="D479" s="5" t="s">
        <v>44</v>
      </c>
      <c r="E479" s="10">
        <f>IFERROR(VLOOKUP(C479,Assets!$A:$G,7,FALSE),0)</f>
        <v>15</v>
      </c>
      <c r="F479" s="11" t="s">
        <v>45</v>
      </c>
      <c r="G479" s="6"/>
      <c r="H479" s="10">
        <f t="shared" si="15"/>
        <v>15</v>
      </c>
    </row>
    <row r="480" spans="1:8" x14ac:dyDescent="0.35">
      <c r="A480" s="8">
        <v>46559</v>
      </c>
      <c r="B480" s="8">
        <f t="shared" si="14"/>
        <v>46539</v>
      </c>
      <c r="C480" t="s">
        <v>34</v>
      </c>
      <c r="D480" s="5" t="s">
        <v>44</v>
      </c>
      <c r="E480" s="10">
        <f>IFERROR(VLOOKUP(C480,Assets!$A:$G,7,FALSE),0)</f>
        <v>15</v>
      </c>
      <c r="F480" s="11" t="s">
        <v>45</v>
      </c>
      <c r="G480" s="6"/>
      <c r="H480" s="10">
        <f t="shared" si="15"/>
        <v>15</v>
      </c>
    </row>
    <row r="481" spans="1:8" x14ac:dyDescent="0.35">
      <c r="A481" s="8">
        <v>46566</v>
      </c>
      <c r="B481" s="8">
        <f t="shared" si="14"/>
        <v>46539</v>
      </c>
      <c r="C481" t="s">
        <v>34</v>
      </c>
      <c r="D481" s="5" t="s">
        <v>44</v>
      </c>
      <c r="E481" s="10">
        <f>IFERROR(VLOOKUP(C481,Assets!$A:$G,7,FALSE),0)</f>
        <v>15</v>
      </c>
      <c r="F481" s="11" t="s">
        <v>45</v>
      </c>
      <c r="G481" s="6"/>
      <c r="H481" s="10">
        <f t="shared" si="15"/>
        <v>15</v>
      </c>
    </row>
    <row r="482" spans="1:8" x14ac:dyDescent="0.35">
      <c r="A482" s="8">
        <v>46575</v>
      </c>
      <c r="B482" s="8">
        <f t="shared" si="14"/>
        <v>46569</v>
      </c>
      <c r="C482" t="s">
        <v>20</v>
      </c>
      <c r="D482" s="5" t="s">
        <v>44</v>
      </c>
      <c r="E482" s="10">
        <f>IFERROR(VLOOKUP(C482,Assets!$A:$G,7,FALSE),0)</f>
        <v>160</v>
      </c>
      <c r="F482" s="11" t="s">
        <v>45</v>
      </c>
      <c r="G482" s="6"/>
      <c r="H482" s="10">
        <f t="shared" si="15"/>
        <v>160</v>
      </c>
    </row>
    <row r="483" spans="1:8" x14ac:dyDescent="0.35">
      <c r="A483" s="8">
        <v>46582</v>
      </c>
      <c r="B483" s="8">
        <f t="shared" si="14"/>
        <v>46569</v>
      </c>
      <c r="C483" t="s">
        <v>20</v>
      </c>
      <c r="D483" s="5" t="s">
        <v>44</v>
      </c>
      <c r="E483" s="10">
        <f>IFERROR(VLOOKUP(C483,Assets!$A:$G,7,FALSE),0)</f>
        <v>160</v>
      </c>
      <c r="F483" s="11" t="s">
        <v>45</v>
      </c>
      <c r="G483" s="6"/>
      <c r="H483" s="10">
        <f t="shared" si="15"/>
        <v>160</v>
      </c>
    </row>
    <row r="484" spans="1:8" x14ac:dyDescent="0.35">
      <c r="A484" s="8">
        <v>46589</v>
      </c>
      <c r="B484" s="8">
        <f t="shared" si="14"/>
        <v>46569</v>
      </c>
      <c r="C484" t="s">
        <v>20</v>
      </c>
      <c r="D484" s="5" t="s">
        <v>44</v>
      </c>
      <c r="E484" s="10">
        <f>IFERROR(VLOOKUP(C484,Assets!$A:$G,7,FALSE),0)</f>
        <v>160</v>
      </c>
      <c r="F484" s="11" t="s">
        <v>45</v>
      </c>
      <c r="G484" s="6"/>
      <c r="H484" s="10">
        <f t="shared" si="15"/>
        <v>160</v>
      </c>
    </row>
    <row r="485" spans="1:8" x14ac:dyDescent="0.35">
      <c r="A485" s="8">
        <v>46596</v>
      </c>
      <c r="B485" s="8">
        <f t="shared" si="14"/>
        <v>46569</v>
      </c>
      <c r="C485" t="s">
        <v>20</v>
      </c>
      <c r="D485" s="5" t="s">
        <v>44</v>
      </c>
      <c r="E485" s="10">
        <f>IFERROR(VLOOKUP(C485,Assets!$A:$G,7,FALSE),0)</f>
        <v>160</v>
      </c>
      <c r="F485" s="11" t="s">
        <v>45</v>
      </c>
      <c r="G485" s="6"/>
      <c r="H485" s="10">
        <f t="shared" si="15"/>
        <v>160</v>
      </c>
    </row>
    <row r="486" spans="1:8" x14ac:dyDescent="0.35">
      <c r="A486" s="8">
        <v>46575</v>
      </c>
      <c r="B486" s="8">
        <f t="shared" si="14"/>
        <v>46569</v>
      </c>
      <c r="C486" t="s">
        <v>25</v>
      </c>
      <c r="D486" s="5" t="s">
        <v>44</v>
      </c>
      <c r="E486" s="10">
        <f>IFERROR(VLOOKUP(C486,Assets!$A:$G,7,FALSE),0)</f>
        <v>40</v>
      </c>
      <c r="F486" s="11" t="s">
        <v>45</v>
      </c>
      <c r="G486" s="6"/>
      <c r="H486" s="10">
        <f t="shared" si="15"/>
        <v>40</v>
      </c>
    </row>
    <row r="487" spans="1:8" x14ac:dyDescent="0.35">
      <c r="A487" s="8">
        <v>46582</v>
      </c>
      <c r="B487" s="8">
        <f t="shared" si="14"/>
        <v>46569</v>
      </c>
      <c r="C487" t="s">
        <v>25</v>
      </c>
      <c r="D487" s="5" t="s">
        <v>44</v>
      </c>
      <c r="E487" s="10">
        <f>IFERROR(VLOOKUP(C487,Assets!$A:$G,7,FALSE),0)</f>
        <v>40</v>
      </c>
      <c r="F487" s="11" t="s">
        <v>45</v>
      </c>
      <c r="G487" s="6"/>
      <c r="H487" s="10">
        <f t="shared" si="15"/>
        <v>40</v>
      </c>
    </row>
    <row r="488" spans="1:8" x14ac:dyDescent="0.35">
      <c r="A488" s="8">
        <v>46589</v>
      </c>
      <c r="B488" s="8">
        <f t="shared" si="14"/>
        <v>46569</v>
      </c>
      <c r="C488" t="s">
        <v>25</v>
      </c>
      <c r="D488" s="5" t="s">
        <v>44</v>
      </c>
      <c r="E488" s="10">
        <f>IFERROR(VLOOKUP(C488,Assets!$A:$G,7,FALSE),0)</f>
        <v>40</v>
      </c>
      <c r="F488" s="11" t="s">
        <v>45</v>
      </c>
      <c r="G488" s="6"/>
      <c r="H488" s="10">
        <f t="shared" si="15"/>
        <v>40</v>
      </c>
    </row>
    <row r="489" spans="1:8" x14ac:dyDescent="0.35">
      <c r="A489" s="8">
        <v>46596</v>
      </c>
      <c r="B489" s="8">
        <f t="shared" si="14"/>
        <v>46569</v>
      </c>
      <c r="C489" t="s">
        <v>25</v>
      </c>
      <c r="D489" s="5" t="s">
        <v>44</v>
      </c>
      <c r="E489" s="10">
        <f>IFERROR(VLOOKUP(C489,Assets!$A:$G,7,FALSE),0)</f>
        <v>40</v>
      </c>
      <c r="F489" s="11" t="s">
        <v>45</v>
      </c>
      <c r="G489" s="6"/>
      <c r="H489" s="10">
        <f t="shared" si="15"/>
        <v>40</v>
      </c>
    </row>
    <row r="490" spans="1:8" x14ac:dyDescent="0.35">
      <c r="A490" s="8">
        <v>46575</v>
      </c>
      <c r="B490" s="8">
        <f t="shared" si="14"/>
        <v>46569</v>
      </c>
      <c r="C490" t="s">
        <v>26</v>
      </c>
      <c r="D490" s="5" t="s">
        <v>44</v>
      </c>
      <c r="E490" s="10">
        <f>IFERROR(VLOOKUP(C490,Assets!$A:$G,7,FALSE),0)</f>
        <v>27</v>
      </c>
      <c r="F490" s="11" t="s">
        <v>45</v>
      </c>
      <c r="G490" s="6"/>
      <c r="H490" s="10">
        <f t="shared" si="15"/>
        <v>27</v>
      </c>
    </row>
    <row r="491" spans="1:8" x14ac:dyDescent="0.35">
      <c r="A491" s="8">
        <v>46582</v>
      </c>
      <c r="B491" s="8">
        <f t="shared" si="14"/>
        <v>46569</v>
      </c>
      <c r="C491" t="s">
        <v>26</v>
      </c>
      <c r="D491" s="5" t="s">
        <v>44</v>
      </c>
      <c r="E491" s="10">
        <f>IFERROR(VLOOKUP(C491,Assets!$A:$G,7,FALSE),0)</f>
        <v>27</v>
      </c>
      <c r="F491" s="11" t="s">
        <v>45</v>
      </c>
      <c r="G491" s="6"/>
      <c r="H491" s="10">
        <f t="shared" si="15"/>
        <v>27</v>
      </c>
    </row>
    <row r="492" spans="1:8" x14ac:dyDescent="0.35">
      <c r="A492" s="8">
        <v>46589</v>
      </c>
      <c r="B492" s="8">
        <f t="shared" si="14"/>
        <v>46569</v>
      </c>
      <c r="C492" t="s">
        <v>26</v>
      </c>
      <c r="D492" s="5" t="s">
        <v>44</v>
      </c>
      <c r="E492" s="10">
        <f>IFERROR(VLOOKUP(C492,Assets!$A:$G,7,FALSE),0)</f>
        <v>27</v>
      </c>
      <c r="F492" s="11" t="s">
        <v>45</v>
      </c>
      <c r="G492" s="6"/>
      <c r="H492" s="10">
        <f t="shared" si="15"/>
        <v>27</v>
      </c>
    </row>
    <row r="493" spans="1:8" x14ac:dyDescent="0.35">
      <c r="A493" s="8">
        <v>46596</v>
      </c>
      <c r="B493" s="8">
        <f t="shared" si="14"/>
        <v>46569</v>
      </c>
      <c r="C493" t="s">
        <v>26</v>
      </c>
      <c r="D493" s="5" t="s">
        <v>44</v>
      </c>
      <c r="E493" s="10">
        <f>IFERROR(VLOOKUP(C493,Assets!$A:$G,7,FALSE),0)</f>
        <v>27</v>
      </c>
      <c r="F493" s="11" t="s">
        <v>45</v>
      </c>
      <c r="G493" s="6"/>
      <c r="H493" s="10">
        <f t="shared" si="15"/>
        <v>27</v>
      </c>
    </row>
    <row r="494" spans="1:8" x14ac:dyDescent="0.35">
      <c r="A494" s="8">
        <v>46575</v>
      </c>
      <c r="B494" s="8">
        <f t="shared" si="14"/>
        <v>46569</v>
      </c>
      <c r="C494" t="s">
        <v>29</v>
      </c>
      <c r="D494" s="5" t="s">
        <v>44</v>
      </c>
      <c r="E494" s="10">
        <f>IFERROR(VLOOKUP(C494,Assets!$A:$G,7,FALSE),0)</f>
        <v>20</v>
      </c>
      <c r="F494" s="11" t="s">
        <v>45</v>
      </c>
      <c r="G494" s="6"/>
      <c r="H494" s="10">
        <f t="shared" si="15"/>
        <v>20</v>
      </c>
    </row>
    <row r="495" spans="1:8" x14ac:dyDescent="0.35">
      <c r="A495" s="8">
        <v>46582</v>
      </c>
      <c r="B495" s="8">
        <f t="shared" si="14"/>
        <v>46569</v>
      </c>
      <c r="C495" t="s">
        <v>29</v>
      </c>
      <c r="D495" s="5" t="s">
        <v>44</v>
      </c>
      <c r="E495" s="10">
        <f>IFERROR(VLOOKUP(C495,Assets!$A:$G,7,FALSE),0)</f>
        <v>20</v>
      </c>
      <c r="F495" s="11" t="s">
        <v>45</v>
      </c>
      <c r="G495" s="6"/>
      <c r="H495" s="10">
        <f t="shared" si="15"/>
        <v>20</v>
      </c>
    </row>
    <row r="496" spans="1:8" x14ac:dyDescent="0.35">
      <c r="A496" s="8">
        <v>46589</v>
      </c>
      <c r="B496" s="8">
        <f t="shared" si="14"/>
        <v>46569</v>
      </c>
      <c r="C496" t="s">
        <v>29</v>
      </c>
      <c r="D496" s="5" t="s">
        <v>44</v>
      </c>
      <c r="E496" s="10">
        <f>IFERROR(VLOOKUP(C496,Assets!$A:$G,7,FALSE),0)</f>
        <v>20</v>
      </c>
      <c r="F496" s="11" t="s">
        <v>45</v>
      </c>
      <c r="G496" s="6"/>
      <c r="H496" s="10">
        <f t="shared" si="15"/>
        <v>20</v>
      </c>
    </row>
    <row r="497" spans="1:8" x14ac:dyDescent="0.35">
      <c r="A497" s="8">
        <v>46596</v>
      </c>
      <c r="B497" s="8">
        <f t="shared" si="14"/>
        <v>46569</v>
      </c>
      <c r="C497" t="s">
        <v>29</v>
      </c>
      <c r="D497" s="5" t="s">
        <v>44</v>
      </c>
      <c r="E497" s="10">
        <f>IFERROR(VLOOKUP(C497,Assets!$A:$G,7,FALSE),0)</f>
        <v>20</v>
      </c>
      <c r="F497" s="11" t="s">
        <v>45</v>
      </c>
      <c r="G497" s="6"/>
      <c r="H497" s="10">
        <f t="shared" si="15"/>
        <v>20</v>
      </c>
    </row>
    <row r="498" spans="1:8" x14ac:dyDescent="0.35">
      <c r="A498" s="8">
        <v>46575</v>
      </c>
      <c r="B498" s="8">
        <f t="shared" si="14"/>
        <v>46569</v>
      </c>
      <c r="C498" t="s">
        <v>31</v>
      </c>
      <c r="D498" s="5" t="s">
        <v>44</v>
      </c>
      <c r="E498" s="10">
        <f>IFERROR(VLOOKUP(C498,Assets!$A:$G,7,FALSE),0)</f>
        <v>27</v>
      </c>
      <c r="F498" s="11" t="s">
        <v>45</v>
      </c>
      <c r="G498" s="6"/>
      <c r="H498" s="10">
        <f t="shared" si="15"/>
        <v>27</v>
      </c>
    </row>
    <row r="499" spans="1:8" x14ac:dyDescent="0.35">
      <c r="A499" s="8">
        <v>46582</v>
      </c>
      <c r="B499" s="8">
        <f t="shared" si="14"/>
        <v>46569</v>
      </c>
      <c r="C499" t="s">
        <v>31</v>
      </c>
      <c r="D499" s="5" t="s">
        <v>44</v>
      </c>
      <c r="E499" s="10">
        <f>IFERROR(VLOOKUP(C499,Assets!$A:$G,7,FALSE),0)</f>
        <v>27</v>
      </c>
      <c r="F499" s="11" t="s">
        <v>45</v>
      </c>
      <c r="G499" s="6"/>
      <c r="H499" s="10">
        <f t="shared" si="15"/>
        <v>27</v>
      </c>
    </row>
    <row r="500" spans="1:8" x14ac:dyDescent="0.35">
      <c r="A500" s="8">
        <v>46589</v>
      </c>
      <c r="B500" s="8">
        <f t="shared" si="14"/>
        <v>46569</v>
      </c>
      <c r="C500" t="s">
        <v>31</v>
      </c>
      <c r="D500" s="5" t="s">
        <v>44</v>
      </c>
      <c r="E500" s="10">
        <f>IFERROR(VLOOKUP(C500,Assets!$A:$G,7,FALSE),0)</f>
        <v>27</v>
      </c>
      <c r="F500" s="11" t="s">
        <v>45</v>
      </c>
      <c r="G500" s="6"/>
      <c r="H500" s="10">
        <f t="shared" si="15"/>
        <v>27</v>
      </c>
    </row>
    <row r="501" spans="1:8" x14ac:dyDescent="0.35">
      <c r="A501" s="8">
        <v>46596</v>
      </c>
      <c r="B501" s="8">
        <f t="shared" si="14"/>
        <v>46569</v>
      </c>
      <c r="C501" t="s">
        <v>31</v>
      </c>
      <c r="D501" s="5" t="s">
        <v>44</v>
      </c>
      <c r="E501" s="10">
        <f>IFERROR(VLOOKUP(C501,Assets!$A:$G,7,FALSE),0)</f>
        <v>27</v>
      </c>
      <c r="F501" s="11" t="s">
        <v>45</v>
      </c>
      <c r="G501" s="6"/>
      <c r="H501" s="10">
        <f t="shared" si="15"/>
        <v>27</v>
      </c>
    </row>
    <row r="502" spans="1:8" x14ac:dyDescent="0.35">
      <c r="A502" s="8">
        <v>46575</v>
      </c>
      <c r="B502" s="8">
        <f t="shared" si="14"/>
        <v>46569</v>
      </c>
      <c r="C502" t="s">
        <v>32</v>
      </c>
      <c r="D502" s="5" t="s">
        <v>44</v>
      </c>
      <c r="E502" s="10">
        <f>IFERROR(VLOOKUP(C502,Assets!$A:$G,7,FALSE),0)</f>
        <v>45</v>
      </c>
      <c r="F502" s="11" t="s">
        <v>45</v>
      </c>
      <c r="G502" s="6"/>
      <c r="H502" s="10">
        <f t="shared" si="15"/>
        <v>45</v>
      </c>
    </row>
    <row r="503" spans="1:8" x14ac:dyDescent="0.35">
      <c r="A503" s="8">
        <v>46582</v>
      </c>
      <c r="B503" s="8">
        <f t="shared" si="14"/>
        <v>46569</v>
      </c>
      <c r="C503" t="s">
        <v>32</v>
      </c>
      <c r="D503" s="5" t="s">
        <v>44</v>
      </c>
      <c r="E503" s="10">
        <f>IFERROR(VLOOKUP(C503,Assets!$A:$G,7,FALSE),0)</f>
        <v>45</v>
      </c>
      <c r="F503" s="11" t="s">
        <v>45</v>
      </c>
      <c r="G503" s="6"/>
      <c r="H503" s="10">
        <f t="shared" si="15"/>
        <v>45</v>
      </c>
    </row>
    <row r="504" spans="1:8" x14ac:dyDescent="0.35">
      <c r="A504" s="8">
        <v>46589</v>
      </c>
      <c r="B504" s="8">
        <f t="shared" si="14"/>
        <v>46569</v>
      </c>
      <c r="C504" t="s">
        <v>32</v>
      </c>
      <c r="D504" s="5" t="s">
        <v>44</v>
      </c>
      <c r="E504" s="10">
        <f>IFERROR(VLOOKUP(C504,Assets!$A:$G,7,FALSE),0)</f>
        <v>45</v>
      </c>
      <c r="F504" s="11" t="s">
        <v>45</v>
      </c>
      <c r="G504" s="6"/>
      <c r="H504" s="10">
        <f t="shared" si="15"/>
        <v>45</v>
      </c>
    </row>
    <row r="505" spans="1:8" x14ac:dyDescent="0.35">
      <c r="A505" s="8">
        <v>46596</v>
      </c>
      <c r="B505" s="8">
        <f t="shared" si="14"/>
        <v>46569</v>
      </c>
      <c r="C505" t="s">
        <v>32</v>
      </c>
      <c r="D505" s="5" t="s">
        <v>44</v>
      </c>
      <c r="E505" s="10">
        <f>IFERROR(VLOOKUP(C505,Assets!$A:$G,7,FALSE),0)</f>
        <v>45</v>
      </c>
      <c r="F505" s="11" t="s">
        <v>45</v>
      </c>
      <c r="G505" s="6"/>
      <c r="H505" s="10">
        <f t="shared" si="15"/>
        <v>45</v>
      </c>
    </row>
    <row r="506" spans="1:8" x14ac:dyDescent="0.35">
      <c r="A506" s="8">
        <v>46575</v>
      </c>
      <c r="B506" s="8">
        <f t="shared" si="14"/>
        <v>46569</v>
      </c>
      <c r="C506" t="s">
        <v>33</v>
      </c>
      <c r="D506" s="5" t="s">
        <v>44</v>
      </c>
      <c r="E506" s="10">
        <f>IFERROR(VLOOKUP(C506,Assets!$A:$G,7,FALSE),0)</f>
        <v>41</v>
      </c>
      <c r="F506" s="11" t="s">
        <v>45</v>
      </c>
      <c r="G506" s="6"/>
      <c r="H506" s="10">
        <f t="shared" si="15"/>
        <v>41</v>
      </c>
    </row>
    <row r="507" spans="1:8" x14ac:dyDescent="0.35">
      <c r="A507" s="8">
        <v>46582</v>
      </c>
      <c r="B507" s="8">
        <f t="shared" si="14"/>
        <v>46569</v>
      </c>
      <c r="C507" t="s">
        <v>33</v>
      </c>
      <c r="D507" s="5" t="s">
        <v>44</v>
      </c>
      <c r="E507" s="10">
        <f>IFERROR(VLOOKUP(C507,Assets!$A:$G,7,FALSE),0)</f>
        <v>41</v>
      </c>
      <c r="F507" s="11" t="s">
        <v>45</v>
      </c>
      <c r="G507" s="6"/>
      <c r="H507" s="10">
        <f t="shared" si="15"/>
        <v>41</v>
      </c>
    </row>
    <row r="508" spans="1:8" x14ac:dyDescent="0.35">
      <c r="A508" s="8">
        <v>46589</v>
      </c>
      <c r="B508" s="8">
        <f t="shared" si="14"/>
        <v>46569</v>
      </c>
      <c r="C508" t="s">
        <v>33</v>
      </c>
      <c r="D508" s="5" t="s">
        <v>44</v>
      </c>
      <c r="E508" s="10">
        <f>IFERROR(VLOOKUP(C508,Assets!$A:$G,7,FALSE),0)</f>
        <v>41</v>
      </c>
      <c r="F508" s="11" t="s">
        <v>45</v>
      </c>
      <c r="G508" s="6"/>
      <c r="H508" s="10">
        <f t="shared" si="15"/>
        <v>41</v>
      </c>
    </row>
    <row r="509" spans="1:8" x14ac:dyDescent="0.35">
      <c r="A509" s="8">
        <v>46596</v>
      </c>
      <c r="B509" s="8">
        <f t="shared" si="14"/>
        <v>46569</v>
      </c>
      <c r="C509" t="s">
        <v>33</v>
      </c>
      <c r="D509" s="5" t="s">
        <v>44</v>
      </c>
      <c r="E509" s="10">
        <f>IFERROR(VLOOKUP(C509,Assets!$A:$G,7,FALSE),0)</f>
        <v>41</v>
      </c>
      <c r="F509" s="11" t="s">
        <v>45</v>
      </c>
      <c r="G509" s="6"/>
      <c r="H509" s="10">
        <f t="shared" si="15"/>
        <v>41</v>
      </c>
    </row>
    <row r="510" spans="1:8" x14ac:dyDescent="0.35">
      <c r="A510" s="8">
        <v>46575</v>
      </c>
      <c r="B510" s="8">
        <f t="shared" si="14"/>
        <v>46569</v>
      </c>
      <c r="C510" t="s">
        <v>34</v>
      </c>
      <c r="D510" s="5" t="s">
        <v>44</v>
      </c>
      <c r="E510" s="10">
        <f>IFERROR(VLOOKUP(C510,Assets!$A:$G,7,FALSE),0)</f>
        <v>15</v>
      </c>
      <c r="F510" s="11" t="s">
        <v>45</v>
      </c>
      <c r="G510" s="6"/>
      <c r="H510" s="10">
        <f t="shared" si="15"/>
        <v>15</v>
      </c>
    </row>
    <row r="511" spans="1:8" x14ac:dyDescent="0.35">
      <c r="A511" s="8">
        <v>46582</v>
      </c>
      <c r="B511" s="8">
        <f t="shared" si="14"/>
        <v>46569</v>
      </c>
      <c r="C511" t="s">
        <v>34</v>
      </c>
      <c r="D511" s="5" t="s">
        <v>44</v>
      </c>
      <c r="E511" s="10">
        <f>IFERROR(VLOOKUP(C511,Assets!$A:$G,7,FALSE),0)</f>
        <v>15</v>
      </c>
      <c r="F511" s="11" t="s">
        <v>45</v>
      </c>
      <c r="G511" s="6"/>
      <c r="H511" s="10">
        <f t="shared" si="15"/>
        <v>15</v>
      </c>
    </row>
    <row r="512" spans="1:8" x14ac:dyDescent="0.35">
      <c r="A512" s="8">
        <v>46589</v>
      </c>
      <c r="B512" s="8">
        <f t="shared" si="14"/>
        <v>46569</v>
      </c>
      <c r="C512" t="s">
        <v>34</v>
      </c>
      <c r="D512" s="5" t="s">
        <v>44</v>
      </c>
      <c r="E512" s="10">
        <f>IFERROR(VLOOKUP(C512,Assets!$A:$G,7,FALSE),0)</f>
        <v>15</v>
      </c>
      <c r="F512" s="11" t="s">
        <v>45</v>
      </c>
      <c r="G512" s="6"/>
      <c r="H512" s="10">
        <f t="shared" si="15"/>
        <v>15</v>
      </c>
    </row>
    <row r="513" spans="1:8" x14ac:dyDescent="0.35">
      <c r="A513" s="8">
        <v>46596</v>
      </c>
      <c r="B513" s="8">
        <f t="shared" si="14"/>
        <v>46569</v>
      </c>
      <c r="C513" t="s">
        <v>34</v>
      </c>
      <c r="D513" s="5" t="s">
        <v>44</v>
      </c>
      <c r="E513" s="10">
        <f>IFERROR(VLOOKUP(C513,Assets!$A:$G,7,FALSE),0)</f>
        <v>15</v>
      </c>
      <c r="F513" s="11" t="s">
        <v>45</v>
      </c>
      <c r="G513" s="6"/>
      <c r="H513" s="10">
        <f t="shared" si="15"/>
        <v>15</v>
      </c>
    </row>
    <row r="514" spans="1:8" x14ac:dyDescent="0.35">
      <c r="A514" s="8">
        <v>46606</v>
      </c>
      <c r="B514" s="8">
        <f t="shared" ref="B514:B577" si="16">DATE(YEAR(A514),MONTH(A514),1)</f>
        <v>46600</v>
      </c>
      <c r="C514" t="s">
        <v>20</v>
      </c>
      <c r="D514" s="5" t="s">
        <v>44</v>
      </c>
      <c r="E514" s="10">
        <f>IFERROR(VLOOKUP(C514,Assets!$A:$G,7,FALSE),0)</f>
        <v>160</v>
      </c>
      <c r="F514" s="11" t="s">
        <v>45</v>
      </c>
      <c r="G514" s="6"/>
      <c r="H514" s="10">
        <f t="shared" ref="H514:H577" si="17">IF(F514="No",0,IF(F514="Edited",IF(G514="",E514,G514),E514))</f>
        <v>160</v>
      </c>
    </row>
    <row r="515" spans="1:8" x14ac:dyDescent="0.35">
      <c r="A515" s="8">
        <v>46613</v>
      </c>
      <c r="B515" s="8">
        <f t="shared" si="16"/>
        <v>46600</v>
      </c>
      <c r="C515" t="s">
        <v>20</v>
      </c>
      <c r="D515" s="5" t="s">
        <v>44</v>
      </c>
      <c r="E515" s="10">
        <f>IFERROR(VLOOKUP(C515,Assets!$A:$G,7,FALSE),0)</f>
        <v>160</v>
      </c>
      <c r="F515" s="11" t="s">
        <v>45</v>
      </c>
      <c r="G515" s="6"/>
      <c r="H515" s="10">
        <f t="shared" si="17"/>
        <v>160</v>
      </c>
    </row>
    <row r="516" spans="1:8" x14ac:dyDescent="0.35">
      <c r="A516" s="8">
        <v>46620</v>
      </c>
      <c r="B516" s="8">
        <f t="shared" si="16"/>
        <v>46600</v>
      </c>
      <c r="C516" t="s">
        <v>20</v>
      </c>
      <c r="D516" s="5" t="s">
        <v>44</v>
      </c>
      <c r="E516" s="10">
        <f>IFERROR(VLOOKUP(C516,Assets!$A:$G,7,FALSE),0)</f>
        <v>160</v>
      </c>
      <c r="F516" s="11" t="s">
        <v>45</v>
      </c>
      <c r="G516" s="6"/>
      <c r="H516" s="10">
        <f t="shared" si="17"/>
        <v>160</v>
      </c>
    </row>
    <row r="517" spans="1:8" x14ac:dyDescent="0.35">
      <c r="A517" s="8">
        <v>46627</v>
      </c>
      <c r="B517" s="8">
        <f t="shared" si="16"/>
        <v>46600</v>
      </c>
      <c r="C517" t="s">
        <v>20</v>
      </c>
      <c r="D517" s="5" t="s">
        <v>44</v>
      </c>
      <c r="E517" s="10">
        <f>IFERROR(VLOOKUP(C517,Assets!$A:$G,7,FALSE),0)</f>
        <v>160</v>
      </c>
      <c r="F517" s="11" t="s">
        <v>45</v>
      </c>
      <c r="G517" s="6"/>
      <c r="H517" s="10">
        <f t="shared" si="17"/>
        <v>160</v>
      </c>
    </row>
    <row r="518" spans="1:8" x14ac:dyDescent="0.35">
      <c r="A518" s="8">
        <v>46606</v>
      </c>
      <c r="B518" s="8">
        <f t="shared" si="16"/>
        <v>46600</v>
      </c>
      <c r="C518" t="s">
        <v>25</v>
      </c>
      <c r="D518" s="5" t="s">
        <v>44</v>
      </c>
      <c r="E518" s="10">
        <f>IFERROR(VLOOKUP(C518,Assets!$A:$G,7,FALSE),0)</f>
        <v>40</v>
      </c>
      <c r="F518" s="11" t="s">
        <v>45</v>
      </c>
      <c r="G518" s="6"/>
      <c r="H518" s="10">
        <f t="shared" si="17"/>
        <v>40</v>
      </c>
    </row>
    <row r="519" spans="1:8" x14ac:dyDescent="0.35">
      <c r="A519" s="8">
        <v>46613</v>
      </c>
      <c r="B519" s="8">
        <f t="shared" si="16"/>
        <v>46600</v>
      </c>
      <c r="C519" t="s">
        <v>25</v>
      </c>
      <c r="D519" s="5" t="s">
        <v>44</v>
      </c>
      <c r="E519" s="10">
        <f>IFERROR(VLOOKUP(C519,Assets!$A:$G,7,FALSE),0)</f>
        <v>40</v>
      </c>
      <c r="F519" s="11" t="s">
        <v>45</v>
      </c>
      <c r="G519" s="6"/>
      <c r="H519" s="10">
        <f t="shared" si="17"/>
        <v>40</v>
      </c>
    </row>
    <row r="520" spans="1:8" x14ac:dyDescent="0.35">
      <c r="A520" s="8">
        <v>46620</v>
      </c>
      <c r="B520" s="8">
        <f t="shared" si="16"/>
        <v>46600</v>
      </c>
      <c r="C520" t="s">
        <v>25</v>
      </c>
      <c r="D520" s="5" t="s">
        <v>44</v>
      </c>
      <c r="E520" s="10">
        <f>IFERROR(VLOOKUP(C520,Assets!$A:$G,7,FALSE),0)</f>
        <v>40</v>
      </c>
      <c r="F520" s="11" t="s">
        <v>45</v>
      </c>
      <c r="G520" s="6"/>
      <c r="H520" s="10">
        <f t="shared" si="17"/>
        <v>40</v>
      </c>
    </row>
    <row r="521" spans="1:8" x14ac:dyDescent="0.35">
      <c r="A521" s="8">
        <v>46627</v>
      </c>
      <c r="B521" s="8">
        <f t="shared" si="16"/>
        <v>46600</v>
      </c>
      <c r="C521" t="s">
        <v>25</v>
      </c>
      <c r="D521" s="5" t="s">
        <v>44</v>
      </c>
      <c r="E521" s="10">
        <f>IFERROR(VLOOKUP(C521,Assets!$A:$G,7,FALSE),0)</f>
        <v>40</v>
      </c>
      <c r="F521" s="11" t="s">
        <v>45</v>
      </c>
      <c r="G521" s="6"/>
      <c r="H521" s="10">
        <f t="shared" si="17"/>
        <v>40</v>
      </c>
    </row>
    <row r="522" spans="1:8" x14ac:dyDescent="0.35">
      <c r="A522" s="8">
        <v>46606</v>
      </c>
      <c r="B522" s="8">
        <f t="shared" si="16"/>
        <v>46600</v>
      </c>
      <c r="C522" t="s">
        <v>26</v>
      </c>
      <c r="D522" s="5" t="s">
        <v>44</v>
      </c>
      <c r="E522" s="10">
        <f>IFERROR(VLOOKUP(C522,Assets!$A:$G,7,FALSE),0)</f>
        <v>27</v>
      </c>
      <c r="F522" s="11" t="s">
        <v>45</v>
      </c>
      <c r="G522" s="6"/>
      <c r="H522" s="10">
        <f t="shared" si="17"/>
        <v>27</v>
      </c>
    </row>
    <row r="523" spans="1:8" x14ac:dyDescent="0.35">
      <c r="A523" s="8">
        <v>46613</v>
      </c>
      <c r="B523" s="8">
        <f t="shared" si="16"/>
        <v>46600</v>
      </c>
      <c r="C523" t="s">
        <v>26</v>
      </c>
      <c r="D523" s="5" t="s">
        <v>44</v>
      </c>
      <c r="E523" s="10">
        <f>IFERROR(VLOOKUP(C523,Assets!$A:$G,7,FALSE),0)</f>
        <v>27</v>
      </c>
      <c r="F523" s="11" t="s">
        <v>45</v>
      </c>
      <c r="G523" s="6"/>
      <c r="H523" s="10">
        <f t="shared" si="17"/>
        <v>27</v>
      </c>
    </row>
    <row r="524" spans="1:8" x14ac:dyDescent="0.35">
      <c r="A524" s="8">
        <v>46620</v>
      </c>
      <c r="B524" s="8">
        <f t="shared" si="16"/>
        <v>46600</v>
      </c>
      <c r="C524" t="s">
        <v>26</v>
      </c>
      <c r="D524" s="5" t="s">
        <v>44</v>
      </c>
      <c r="E524" s="10">
        <f>IFERROR(VLOOKUP(C524,Assets!$A:$G,7,FALSE),0)</f>
        <v>27</v>
      </c>
      <c r="F524" s="11" t="s">
        <v>45</v>
      </c>
      <c r="G524" s="6"/>
      <c r="H524" s="10">
        <f t="shared" si="17"/>
        <v>27</v>
      </c>
    </row>
    <row r="525" spans="1:8" x14ac:dyDescent="0.35">
      <c r="A525" s="8">
        <v>46627</v>
      </c>
      <c r="B525" s="8">
        <f t="shared" si="16"/>
        <v>46600</v>
      </c>
      <c r="C525" t="s">
        <v>26</v>
      </c>
      <c r="D525" s="5" t="s">
        <v>44</v>
      </c>
      <c r="E525" s="10">
        <f>IFERROR(VLOOKUP(C525,Assets!$A:$G,7,FALSE),0)</f>
        <v>27</v>
      </c>
      <c r="F525" s="11" t="s">
        <v>45</v>
      </c>
      <c r="G525" s="6"/>
      <c r="H525" s="10">
        <f t="shared" si="17"/>
        <v>27</v>
      </c>
    </row>
    <row r="526" spans="1:8" x14ac:dyDescent="0.35">
      <c r="A526" s="8">
        <v>46606</v>
      </c>
      <c r="B526" s="8">
        <f t="shared" si="16"/>
        <v>46600</v>
      </c>
      <c r="C526" t="s">
        <v>29</v>
      </c>
      <c r="D526" s="5" t="s">
        <v>44</v>
      </c>
      <c r="E526" s="10">
        <f>IFERROR(VLOOKUP(C526,Assets!$A:$G,7,FALSE),0)</f>
        <v>20</v>
      </c>
      <c r="F526" s="11" t="s">
        <v>45</v>
      </c>
      <c r="G526" s="6"/>
      <c r="H526" s="10">
        <f t="shared" si="17"/>
        <v>20</v>
      </c>
    </row>
    <row r="527" spans="1:8" x14ac:dyDescent="0.35">
      <c r="A527" s="8">
        <v>46613</v>
      </c>
      <c r="B527" s="8">
        <f t="shared" si="16"/>
        <v>46600</v>
      </c>
      <c r="C527" t="s">
        <v>29</v>
      </c>
      <c r="D527" s="5" t="s">
        <v>44</v>
      </c>
      <c r="E527" s="10">
        <f>IFERROR(VLOOKUP(C527,Assets!$A:$G,7,FALSE),0)</f>
        <v>20</v>
      </c>
      <c r="F527" s="11" t="s">
        <v>45</v>
      </c>
      <c r="G527" s="6"/>
      <c r="H527" s="10">
        <f t="shared" si="17"/>
        <v>20</v>
      </c>
    </row>
    <row r="528" spans="1:8" x14ac:dyDescent="0.35">
      <c r="A528" s="8">
        <v>46620</v>
      </c>
      <c r="B528" s="8">
        <f t="shared" si="16"/>
        <v>46600</v>
      </c>
      <c r="C528" t="s">
        <v>29</v>
      </c>
      <c r="D528" s="5" t="s">
        <v>44</v>
      </c>
      <c r="E528" s="10">
        <f>IFERROR(VLOOKUP(C528,Assets!$A:$G,7,FALSE),0)</f>
        <v>20</v>
      </c>
      <c r="F528" s="11" t="s">
        <v>45</v>
      </c>
      <c r="G528" s="6"/>
      <c r="H528" s="10">
        <f t="shared" si="17"/>
        <v>20</v>
      </c>
    </row>
    <row r="529" spans="1:8" x14ac:dyDescent="0.35">
      <c r="A529" s="8">
        <v>46627</v>
      </c>
      <c r="B529" s="8">
        <f t="shared" si="16"/>
        <v>46600</v>
      </c>
      <c r="C529" t="s">
        <v>29</v>
      </c>
      <c r="D529" s="5" t="s">
        <v>44</v>
      </c>
      <c r="E529" s="10">
        <f>IFERROR(VLOOKUP(C529,Assets!$A:$G,7,FALSE),0)</f>
        <v>20</v>
      </c>
      <c r="F529" s="11" t="s">
        <v>45</v>
      </c>
      <c r="G529" s="6"/>
      <c r="H529" s="10">
        <f t="shared" si="17"/>
        <v>20</v>
      </c>
    </row>
    <row r="530" spans="1:8" x14ac:dyDescent="0.35">
      <c r="A530" s="8">
        <v>46606</v>
      </c>
      <c r="B530" s="8">
        <f t="shared" si="16"/>
        <v>46600</v>
      </c>
      <c r="C530" t="s">
        <v>31</v>
      </c>
      <c r="D530" s="5" t="s">
        <v>44</v>
      </c>
      <c r="E530" s="10">
        <f>IFERROR(VLOOKUP(C530,Assets!$A:$G,7,FALSE),0)</f>
        <v>27</v>
      </c>
      <c r="F530" s="11" t="s">
        <v>45</v>
      </c>
      <c r="G530" s="6"/>
      <c r="H530" s="10">
        <f t="shared" si="17"/>
        <v>27</v>
      </c>
    </row>
    <row r="531" spans="1:8" x14ac:dyDescent="0.35">
      <c r="A531" s="8">
        <v>46613</v>
      </c>
      <c r="B531" s="8">
        <f t="shared" si="16"/>
        <v>46600</v>
      </c>
      <c r="C531" t="s">
        <v>31</v>
      </c>
      <c r="D531" s="5" t="s">
        <v>44</v>
      </c>
      <c r="E531" s="10">
        <f>IFERROR(VLOOKUP(C531,Assets!$A:$G,7,FALSE),0)</f>
        <v>27</v>
      </c>
      <c r="F531" s="11" t="s">
        <v>45</v>
      </c>
      <c r="G531" s="6"/>
      <c r="H531" s="10">
        <f t="shared" si="17"/>
        <v>27</v>
      </c>
    </row>
    <row r="532" spans="1:8" x14ac:dyDescent="0.35">
      <c r="A532" s="8">
        <v>46620</v>
      </c>
      <c r="B532" s="8">
        <f t="shared" si="16"/>
        <v>46600</v>
      </c>
      <c r="C532" t="s">
        <v>31</v>
      </c>
      <c r="D532" s="5" t="s">
        <v>44</v>
      </c>
      <c r="E532" s="10">
        <f>IFERROR(VLOOKUP(C532,Assets!$A:$G,7,FALSE),0)</f>
        <v>27</v>
      </c>
      <c r="F532" s="11" t="s">
        <v>45</v>
      </c>
      <c r="G532" s="6"/>
      <c r="H532" s="10">
        <f t="shared" si="17"/>
        <v>27</v>
      </c>
    </row>
    <row r="533" spans="1:8" x14ac:dyDescent="0.35">
      <c r="A533" s="8">
        <v>46627</v>
      </c>
      <c r="B533" s="8">
        <f t="shared" si="16"/>
        <v>46600</v>
      </c>
      <c r="C533" t="s">
        <v>31</v>
      </c>
      <c r="D533" s="5" t="s">
        <v>44</v>
      </c>
      <c r="E533" s="10">
        <f>IFERROR(VLOOKUP(C533,Assets!$A:$G,7,FALSE),0)</f>
        <v>27</v>
      </c>
      <c r="F533" s="11" t="s">
        <v>45</v>
      </c>
      <c r="G533" s="6"/>
      <c r="H533" s="10">
        <f t="shared" si="17"/>
        <v>27</v>
      </c>
    </row>
    <row r="534" spans="1:8" x14ac:dyDescent="0.35">
      <c r="A534" s="8">
        <v>46606</v>
      </c>
      <c r="B534" s="8">
        <f t="shared" si="16"/>
        <v>46600</v>
      </c>
      <c r="C534" t="s">
        <v>32</v>
      </c>
      <c r="D534" s="5" t="s">
        <v>44</v>
      </c>
      <c r="E534" s="10">
        <f>IFERROR(VLOOKUP(C534,Assets!$A:$G,7,FALSE),0)</f>
        <v>45</v>
      </c>
      <c r="F534" s="11" t="s">
        <v>45</v>
      </c>
      <c r="G534" s="6"/>
      <c r="H534" s="10">
        <f t="shared" si="17"/>
        <v>45</v>
      </c>
    </row>
    <row r="535" spans="1:8" x14ac:dyDescent="0.35">
      <c r="A535" s="8">
        <v>46613</v>
      </c>
      <c r="B535" s="8">
        <f t="shared" si="16"/>
        <v>46600</v>
      </c>
      <c r="C535" t="s">
        <v>32</v>
      </c>
      <c r="D535" s="5" t="s">
        <v>44</v>
      </c>
      <c r="E535" s="10">
        <f>IFERROR(VLOOKUP(C535,Assets!$A:$G,7,FALSE),0)</f>
        <v>45</v>
      </c>
      <c r="F535" s="11" t="s">
        <v>45</v>
      </c>
      <c r="G535" s="6"/>
      <c r="H535" s="10">
        <f t="shared" si="17"/>
        <v>45</v>
      </c>
    </row>
    <row r="536" spans="1:8" x14ac:dyDescent="0.35">
      <c r="A536" s="8">
        <v>46620</v>
      </c>
      <c r="B536" s="8">
        <f t="shared" si="16"/>
        <v>46600</v>
      </c>
      <c r="C536" t="s">
        <v>32</v>
      </c>
      <c r="D536" s="5" t="s">
        <v>44</v>
      </c>
      <c r="E536" s="10">
        <f>IFERROR(VLOOKUP(C536,Assets!$A:$G,7,FALSE),0)</f>
        <v>45</v>
      </c>
      <c r="F536" s="11" t="s">
        <v>45</v>
      </c>
      <c r="G536" s="6"/>
      <c r="H536" s="10">
        <f t="shared" si="17"/>
        <v>45</v>
      </c>
    </row>
    <row r="537" spans="1:8" x14ac:dyDescent="0.35">
      <c r="A537" s="8">
        <v>46627</v>
      </c>
      <c r="B537" s="8">
        <f t="shared" si="16"/>
        <v>46600</v>
      </c>
      <c r="C537" t="s">
        <v>32</v>
      </c>
      <c r="D537" s="5" t="s">
        <v>44</v>
      </c>
      <c r="E537" s="10">
        <f>IFERROR(VLOOKUP(C537,Assets!$A:$G,7,FALSE),0)</f>
        <v>45</v>
      </c>
      <c r="F537" s="11" t="s">
        <v>45</v>
      </c>
      <c r="G537" s="6"/>
      <c r="H537" s="10">
        <f t="shared" si="17"/>
        <v>45</v>
      </c>
    </row>
    <row r="538" spans="1:8" x14ac:dyDescent="0.35">
      <c r="A538" s="8">
        <v>46606</v>
      </c>
      <c r="B538" s="8">
        <f t="shared" si="16"/>
        <v>46600</v>
      </c>
      <c r="C538" t="s">
        <v>33</v>
      </c>
      <c r="D538" s="5" t="s">
        <v>44</v>
      </c>
      <c r="E538" s="10">
        <f>IFERROR(VLOOKUP(C538,Assets!$A:$G,7,FALSE),0)</f>
        <v>41</v>
      </c>
      <c r="F538" s="11" t="s">
        <v>45</v>
      </c>
      <c r="G538" s="6"/>
      <c r="H538" s="10">
        <f t="shared" si="17"/>
        <v>41</v>
      </c>
    </row>
    <row r="539" spans="1:8" x14ac:dyDescent="0.35">
      <c r="A539" s="8">
        <v>46613</v>
      </c>
      <c r="B539" s="8">
        <f t="shared" si="16"/>
        <v>46600</v>
      </c>
      <c r="C539" t="s">
        <v>33</v>
      </c>
      <c r="D539" s="5" t="s">
        <v>44</v>
      </c>
      <c r="E539" s="10">
        <f>IFERROR(VLOOKUP(C539,Assets!$A:$G,7,FALSE),0)</f>
        <v>41</v>
      </c>
      <c r="F539" s="11" t="s">
        <v>45</v>
      </c>
      <c r="G539" s="6"/>
      <c r="H539" s="10">
        <f t="shared" si="17"/>
        <v>41</v>
      </c>
    </row>
    <row r="540" spans="1:8" x14ac:dyDescent="0.35">
      <c r="A540" s="8">
        <v>46620</v>
      </c>
      <c r="B540" s="8">
        <f t="shared" si="16"/>
        <v>46600</v>
      </c>
      <c r="C540" t="s">
        <v>33</v>
      </c>
      <c r="D540" s="5" t="s">
        <v>44</v>
      </c>
      <c r="E540" s="10">
        <f>IFERROR(VLOOKUP(C540,Assets!$A:$G,7,FALSE),0)</f>
        <v>41</v>
      </c>
      <c r="F540" s="11" t="s">
        <v>45</v>
      </c>
      <c r="G540" s="6"/>
      <c r="H540" s="10">
        <f t="shared" si="17"/>
        <v>41</v>
      </c>
    </row>
    <row r="541" spans="1:8" x14ac:dyDescent="0.35">
      <c r="A541" s="8">
        <v>46627</v>
      </c>
      <c r="B541" s="8">
        <f t="shared" si="16"/>
        <v>46600</v>
      </c>
      <c r="C541" t="s">
        <v>33</v>
      </c>
      <c r="D541" s="5" t="s">
        <v>44</v>
      </c>
      <c r="E541" s="10">
        <f>IFERROR(VLOOKUP(C541,Assets!$A:$G,7,FALSE),0)</f>
        <v>41</v>
      </c>
      <c r="F541" s="11" t="s">
        <v>45</v>
      </c>
      <c r="G541" s="6"/>
      <c r="H541" s="10">
        <f t="shared" si="17"/>
        <v>41</v>
      </c>
    </row>
    <row r="542" spans="1:8" x14ac:dyDescent="0.35">
      <c r="A542" s="8">
        <v>46606</v>
      </c>
      <c r="B542" s="8">
        <f t="shared" si="16"/>
        <v>46600</v>
      </c>
      <c r="C542" t="s">
        <v>34</v>
      </c>
      <c r="D542" s="5" t="s">
        <v>44</v>
      </c>
      <c r="E542" s="10">
        <f>IFERROR(VLOOKUP(C542,Assets!$A:$G,7,FALSE),0)</f>
        <v>15</v>
      </c>
      <c r="F542" s="11" t="s">
        <v>45</v>
      </c>
      <c r="G542" s="6"/>
      <c r="H542" s="10">
        <f t="shared" si="17"/>
        <v>15</v>
      </c>
    </row>
    <row r="543" spans="1:8" x14ac:dyDescent="0.35">
      <c r="A543" s="8">
        <v>46613</v>
      </c>
      <c r="B543" s="8">
        <f t="shared" si="16"/>
        <v>46600</v>
      </c>
      <c r="C543" t="s">
        <v>34</v>
      </c>
      <c r="D543" s="5" t="s">
        <v>44</v>
      </c>
      <c r="E543" s="10">
        <f>IFERROR(VLOOKUP(C543,Assets!$A:$G,7,FALSE),0)</f>
        <v>15</v>
      </c>
      <c r="F543" s="11" t="s">
        <v>45</v>
      </c>
      <c r="G543" s="6"/>
      <c r="H543" s="10">
        <f t="shared" si="17"/>
        <v>15</v>
      </c>
    </row>
    <row r="544" spans="1:8" x14ac:dyDescent="0.35">
      <c r="A544" s="8">
        <v>46620</v>
      </c>
      <c r="B544" s="8">
        <f t="shared" si="16"/>
        <v>46600</v>
      </c>
      <c r="C544" t="s">
        <v>34</v>
      </c>
      <c r="D544" s="5" t="s">
        <v>44</v>
      </c>
      <c r="E544" s="10">
        <f>IFERROR(VLOOKUP(C544,Assets!$A:$G,7,FALSE),0)</f>
        <v>15</v>
      </c>
      <c r="F544" s="11" t="s">
        <v>45</v>
      </c>
      <c r="G544" s="6"/>
      <c r="H544" s="10">
        <f t="shared" si="17"/>
        <v>15</v>
      </c>
    </row>
    <row r="545" spans="1:8" x14ac:dyDescent="0.35">
      <c r="A545" s="8">
        <v>46627</v>
      </c>
      <c r="B545" s="8">
        <f t="shared" si="16"/>
        <v>46600</v>
      </c>
      <c r="C545" t="s">
        <v>34</v>
      </c>
      <c r="D545" s="5" t="s">
        <v>44</v>
      </c>
      <c r="E545" s="10">
        <f>IFERROR(VLOOKUP(C545,Assets!$A:$G,7,FALSE),0)</f>
        <v>15</v>
      </c>
      <c r="F545" s="11" t="s">
        <v>45</v>
      </c>
      <c r="G545" s="6"/>
      <c r="H545" s="10">
        <f t="shared" si="17"/>
        <v>15</v>
      </c>
    </row>
    <row r="546" spans="1:8" x14ac:dyDescent="0.35">
      <c r="A546" s="8">
        <v>46637</v>
      </c>
      <c r="B546" s="8">
        <f t="shared" si="16"/>
        <v>46631</v>
      </c>
      <c r="C546" t="s">
        <v>20</v>
      </c>
      <c r="D546" s="5" t="s">
        <v>44</v>
      </c>
      <c r="E546" s="10">
        <f>IFERROR(VLOOKUP(C546,Assets!$A:$G,7,FALSE),0)</f>
        <v>160</v>
      </c>
      <c r="F546" s="11" t="s">
        <v>45</v>
      </c>
      <c r="G546" s="6"/>
      <c r="H546" s="10">
        <f t="shared" si="17"/>
        <v>160</v>
      </c>
    </row>
    <row r="547" spans="1:8" x14ac:dyDescent="0.35">
      <c r="A547" s="8">
        <v>46644</v>
      </c>
      <c r="B547" s="8">
        <f t="shared" si="16"/>
        <v>46631</v>
      </c>
      <c r="C547" t="s">
        <v>20</v>
      </c>
      <c r="D547" s="5" t="s">
        <v>44</v>
      </c>
      <c r="E547" s="10">
        <f>IFERROR(VLOOKUP(C547,Assets!$A:$G,7,FALSE),0)</f>
        <v>160</v>
      </c>
      <c r="F547" s="11" t="s">
        <v>45</v>
      </c>
      <c r="G547" s="6"/>
      <c r="H547" s="10">
        <f t="shared" si="17"/>
        <v>160</v>
      </c>
    </row>
    <row r="548" spans="1:8" x14ac:dyDescent="0.35">
      <c r="A548" s="8">
        <v>46651</v>
      </c>
      <c r="B548" s="8">
        <f t="shared" si="16"/>
        <v>46631</v>
      </c>
      <c r="C548" t="s">
        <v>20</v>
      </c>
      <c r="D548" s="5" t="s">
        <v>44</v>
      </c>
      <c r="E548" s="10">
        <f>IFERROR(VLOOKUP(C548,Assets!$A:$G,7,FALSE),0)</f>
        <v>160</v>
      </c>
      <c r="F548" s="11" t="s">
        <v>45</v>
      </c>
      <c r="G548" s="6"/>
      <c r="H548" s="10">
        <f t="shared" si="17"/>
        <v>160</v>
      </c>
    </row>
    <row r="549" spans="1:8" x14ac:dyDescent="0.35">
      <c r="A549" s="8">
        <v>46658</v>
      </c>
      <c r="B549" s="8">
        <f t="shared" si="16"/>
        <v>46631</v>
      </c>
      <c r="C549" t="s">
        <v>20</v>
      </c>
      <c r="D549" s="5" t="s">
        <v>44</v>
      </c>
      <c r="E549" s="10">
        <f>IFERROR(VLOOKUP(C549,Assets!$A:$G,7,FALSE),0)</f>
        <v>160</v>
      </c>
      <c r="F549" s="11" t="s">
        <v>45</v>
      </c>
      <c r="G549" s="6"/>
      <c r="H549" s="10">
        <f t="shared" si="17"/>
        <v>160</v>
      </c>
    </row>
    <row r="550" spans="1:8" x14ac:dyDescent="0.35">
      <c r="A550" s="8">
        <v>46637</v>
      </c>
      <c r="B550" s="8">
        <f t="shared" si="16"/>
        <v>46631</v>
      </c>
      <c r="C550" t="s">
        <v>25</v>
      </c>
      <c r="D550" s="5" t="s">
        <v>44</v>
      </c>
      <c r="E550" s="10">
        <f>IFERROR(VLOOKUP(C550,Assets!$A:$G,7,FALSE),0)</f>
        <v>40</v>
      </c>
      <c r="F550" s="11" t="s">
        <v>45</v>
      </c>
      <c r="G550" s="6"/>
      <c r="H550" s="10">
        <f t="shared" si="17"/>
        <v>40</v>
      </c>
    </row>
    <row r="551" spans="1:8" x14ac:dyDescent="0.35">
      <c r="A551" s="8">
        <v>46644</v>
      </c>
      <c r="B551" s="8">
        <f t="shared" si="16"/>
        <v>46631</v>
      </c>
      <c r="C551" t="s">
        <v>25</v>
      </c>
      <c r="D551" s="5" t="s">
        <v>44</v>
      </c>
      <c r="E551" s="10">
        <f>IFERROR(VLOOKUP(C551,Assets!$A:$G,7,FALSE),0)</f>
        <v>40</v>
      </c>
      <c r="F551" s="11" t="s">
        <v>45</v>
      </c>
      <c r="G551" s="6"/>
      <c r="H551" s="10">
        <f t="shared" si="17"/>
        <v>40</v>
      </c>
    </row>
    <row r="552" spans="1:8" x14ac:dyDescent="0.35">
      <c r="A552" s="8">
        <v>46651</v>
      </c>
      <c r="B552" s="8">
        <f t="shared" si="16"/>
        <v>46631</v>
      </c>
      <c r="C552" t="s">
        <v>25</v>
      </c>
      <c r="D552" s="5" t="s">
        <v>44</v>
      </c>
      <c r="E552" s="10">
        <f>IFERROR(VLOOKUP(C552,Assets!$A:$G,7,FALSE),0)</f>
        <v>40</v>
      </c>
      <c r="F552" s="11" t="s">
        <v>45</v>
      </c>
      <c r="G552" s="6"/>
      <c r="H552" s="10">
        <f t="shared" si="17"/>
        <v>40</v>
      </c>
    </row>
    <row r="553" spans="1:8" x14ac:dyDescent="0.35">
      <c r="A553" s="8">
        <v>46658</v>
      </c>
      <c r="B553" s="8">
        <f t="shared" si="16"/>
        <v>46631</v>
      </c>
      <c r="C553" t="s">
        <v>25</v>
      </c>
      <c r="D553" s="5" t="s">
        <v>44</v>
      </c>
      <c r="E553" s="10">
        <f>IFERROR(VLOOKUP(C553,Assets!$A:$G,7,FALSE),0)</f>
        <v>40</v>
      </c>
      <c r="F553" s="11" t="s">
        <v>45</v>
      </c>
      <c r="G553" s="6"/>
      <c r="H553" s="10">
        <f t="shared" si="17"/>
        <v>40</v>
      </c>
    </row>
    <row r="554" spans="1:8" x14ac:dyDescent="0.35">
      <c r="A554" s="8">
        <v>46637</v>
      </c>
      <c r="B554" s="8">
        <f t="shared" si="16"/>
        <v>46631</v>
      </c>
      <c r="C554" t="s">
        <v>26</v>
      </c>
      <c r="D554" s="5" t="s">
        <v>44</v>
      </c>
      <c r="E554" s="10">
        <f>IFERROR(VLOOKUP(C554,Assets!$A:$G,7,FALSE),0)</f>
        <v>27</v>
      </c>
      <c r="F554" s="11" t="s">
        <v>45</v>
      </c>
      <c r="G554" s="6"/>
      <c r="H554" s="10">
        <f t="shared" si="17"/>
        <v>27</v>
      </c>
    </row>
    <row r="555" spans="1:8" x14ac:dyDescent="0.35">
      <c r="A555" s="8">
        <v>46644</v>
      </c>
      <c r="B555" s="8">
        <f t="shared" si="16"/>
        <v>46631</v>
      </c>
      <c r="C555" t="s">
        <v>26</v>
      </c>
      <c r="D555" s="5" t="s">
        <v>44</v>
      </c>
      <c r="E555" s="10">
        <f>IFERROR(VLOOKUP(C555,Assets!$A:$G,7,FALSE),0)</f>
        <v>27</v>
      </c>
      <c r="F555" s="11" t="s">
        <v>45</v>
      </c>
      <c r="G555" s="6"/>
      <c r="H555" s="10">
        <f t="shared" si="17"/>
        <v>27</v>
      </c>
    </row>
    <row r="556" spans="1:8" x14ac:dyDescent="0.35">
      <c r="A556" s="8">
        <v>46651</v>
      </c>
      <c r="B556" s="8">
        <f t="shared" si="16"/>
        <v>46631</v>
      </c>
      <c r="C556" t="s">
        <v>26</v>
      </c>
      <c r="D556" s="5" t="s">
        <v>44</v>
      </c>
      <c r="E556" s="10">
        <f>IFERROR(VLOOKUP(C556,Assets!$A:$G,7,FALSE),0)</f>
        <v>27</v>
      </c>
      <c r="F556" s="11" t="s">
        <v>45</v>
      </c>
      <c r="G556" s="6"/>
      <c r="H556" s="10">
        <f t="shared" si="17"/>
        <v>27</v>
      </c>
    </row>
    <row r="557" spans="1:8" x14ac:dyDescent="0.35">
      <c r="A557" s="8">
        <v>46658</v>
      </c>
      <c r="B557" s="8">
        <f t="shared" si="16"/>
        <v>46631</v>
      </c>
      <c r="C557" t="s">
        <v>26</v>
      </c>
      <c r="D557" s="5" t="s">
        <v>44</v>
      </c>
      <c r="E557" s="10">
        <f>IFERROR(VLOOKUP(C557,Assets!$A:$G,7,FALSE),0)</f>
        <v>27</v>
      </c>
      <c r="F557" s="11" t="s">
        <v>45</v>
      </c>
      <c r="G557" s="6"/>
      <c r="H557" s="10">
        <f t="shared" si="17"/>
        <v>27</v>
      </c>
    </row>
    <row r="558" spans="1:8" x14ac:dyDescent="0.35">
      <c r="A558" s="8">
        <v>46637</v>
      </c>
      <c r="B558" s="8">
        <f t="shared" si="16"/>
        <v>46631</v>
      </c>
      <c r="C558" t="s">
        <v>29</v>
      </c>
      <c r="D558" s="5" t="s">
        <v>44</v>
      </c>
      <c r="E558" s="10">
        <f>IFERROR(VLOOKUP(C558,Assets!$A:$G,7,FALSE),0)</f>
        <v>20</v>
      </c>
      <c r="F558" s="11" t="s">
        <v>45</v>
      </c>
      <c r="G558" s="6"/>
      <c r="H558" s="10">
        <f t="shared" si="17"/>
        <v>20</v>
      </c>
    </row>
    <row r="559" spans="1:8" x14ac:dyDescent="0.35">
      <c r="A559" s="8">
        <v>46644</v>
      </c>
      <c r="B559" s="8">
        <f t="shared" si="16"/>
        <v>46631</v>
      </c>
      <c r="C559" t="s">
        <v>29</v>
      </c>
      <c r="D559" s="5" t="s">
        <v>44</v>
      </c>
      <c r="E559" s="10">
        <f>IFERROR(VLOOKUP(C559,Assets!$A:$G,7,FALSE),0)</f>
        <v>20</v>
      </c>
      <c r="F559" s="11" t="s">
        <v>45</v>
      </c>
      <c r="G559" s="6"/>
      <c r="H559" s="10">
        <f t="shared" si="17"/>
        <v>20</v>
      </c>
    </row>
    <row r="560" spans="1:8" x14ac:dyDescent="0.35">
      <c r="A560" s="8">
        <v>46651</v>
      </c>
      <c r="B560" s="8">
        <f t="shared" si="16"/>
        <v>46631</v>
      </c>
      <c r="C560" t="s">
        <v>29</v>
      </c>
      <c r="D560" s="5" t="s">
        <v>44</v>
      </c>
      <c r="E560" s="10">
        <f>IFERROR(VLOOKUP(C560,Assets!$A:$G,7,FALSE),0)</f>
        <v>20</v>
      </c>
      <c r="F560" s="11" t="s">
        <v>45</v>
      </c>
      <c r="G560" s="6"/>
      <c r="H560" s="10">
        <f t="shared" si="17"/>
        <v>20</v>
      </c>
    </row>
    <row r="561" spans="1:8" x14ac:dyDescent="0.35">
      <c r="A561" s="8">
        <v>46658</v>
      </c>
      <c r="B561" s="8">
        <f t="shared" si="16"/>
        <v>46631</v>
      </c>
      <c r="C561" t="s">
        <v>29</v>
      </c>
      <c r="D561" s="5" t="s">
        <v>44</v>
      </c>
      <c r="E561" s="10">
        <f>IFERROR(VLOOKUP(C561,Assets!$A:$G,7,FALSE),0)</f>
        <v>20</v>
      </c>
      <c r="F561" s="11" t="s">
        <v>45</v>
      </c>
      <c r="G561" s="6"/>
      <c r="H561" s="10">
        <f t="shared" si="17"/>
        <v>20</v>
      </c>
    </row>
    <row r="562" spans="1:8" x14ac:dyDescent="0.35">
      <c r="A562" s="8">
        <v>46637</v>
      </c>
      <c r="B562" s="8">
        <f t="shared" si="16"/>
        <v>46631</v>
      </c>
      <c r="C562" t="s">
        <v>31</v>
      </c>
      <c r="D562" s="5" t="s">
        <v>44</v>
      </c>
      <c r="E562" s="10">
        <f>IFERROR(VLOOKUP(C562,Assets!$A:$G,7,FALSE),0)</f>
        <v>27</v>
      </c>
      <c r="F562" s="11" t="s">
        <v>45</v>
      </c>
      <c r="G562" s="6"/>
      <c r="H562" s="10">
        <f t="shared" si="17"/>
        <v>27</v>
      </c>
    </row>
    <row r="563" spans="1:8" x14ac:dyDescent="0.35">
      <c r="A563" s="8">
        <v>46644</v>
      </c>
      <c r="B563" s="8">
        <f t="shared" si="16"/>
        <v>46631</v>
      </c>
      <c r="C563" t="s">
        <v>31</v>
      </c>
      <c r="D563" s="5" t="s">
        <v>44</v>
      </c>
      <c r="E563" s="10">
        <f>IFERROR(VLOOKUP(C563,Assets!$A:$G,7,FALSE),0)</f>
        <v>27</v>
      </c>
      <c r="F563" s="11" t="s">
        <v>45</v>
      </c>
      <c r="G563" s="6"/>
      <c r="H563" s="10">
        <f t="shared" si="17"/>
        <v>27</v>
      </c>
    </row>
    <row r="564" spans="1:8" x14ac:dyDescent="0.35">
      <c r="A564" s="8">
        <v>46651</v>
      </c>
      <c r="B564" s="8">
        <f t="shared" si="16"/>
        <v>46631</v>
      </c>
      <c r="C564" t="s">
        <v>31</v>
      </c>
      <c r="D564" s="5" t="s">
        <v>44</v>
      </c>
      <c r="E564" s="10">
        <f>IFERROR(VLOOKUP(C564,Assets!$A:$G,7,FALSE),0)</f>
        <v>27</v>
      </c>
      <c r="F564" s="11" t="s">
        <v>45</v>
      </c>
      <c r="G564" s="6"/>
      <c r="H564" s="10">
        <f t="shared" si="17"/>
        <v>27</v>
      </c>
    </row>
    <row r="565" spans="1:8" x14ac:dyDescent="0.35">
      <c r="A565" s="8">
        <v>46658</v>
      </c>
      <c r="B565" s="8">
        <f t="shared" si="16"/>
        <v>46631</v>
      </c>
      <c r="C565" t="s">
        <v>31</v>
      </c>
      <c r="D565" s="5" t="s">
        <v>44</v>
      </c>
      <c r="E565" s="10">
        <f>IFERROR(VLOOKUP(C565,Assets!$A:$G,7,FALSE),0)</f>
        <v>27</v>
      </c>
      <c r="F565" s="11" t="s">
        <v>45</v>
      </c>
      <c r="G565" s="6"/>
      <c r="H565" s="10">
        <f t="shared" si="17"/>
        <v>27</v>
      </c>
    </row>
    <row r="566" spans="1:8" x14ac:dyDescent="0.35">
      <c r="A566" s="8">
        <v>46637</v>
      </c>
      <c r="B566" s="8">
        <f t="shared" si="16"/>
        <v>46631</v>
      </c>
      <c r="C566" t="s">
        <v>32</v>
      </c>
      <c r="D566" s="5" t="s">
        <v>44</v>
      </c>
      <c r="E566" s="10">
        <f>IFERROR(VLOOKUP(C566,Assets!$A:$G,7,FALSE),0)</f>
        <v>45</v>
      </c>
      <c r="F566" s="11" t="s">
        <v>45</v>
      </c>
      <c r="G566" s="6"/>
      <c r="H566" s="10">
        <f t="shared" si="17"/>
        <v>45</v>
      </c>
    </row>
    <row r="567" spans="1:8" x14ac:dyDescent="0.35">
      <c r="A567" s="8">
        <v>46644</v>
      </c>
      <c r="B567" s="8">
        <f t="shared" si="16"/>
        <v>46631</v>
      </c>
      <c r="C567" t="s">
        <v>32</v>
      </c>
      <c r="D567" s="5" t="s">
        <v>44</v>
      </c>
      <c r="E567" s="10">
        <f>IFERROR(VLOOKUP(C567,Assets!$A:$G,7,FALSE),0)</f>
        <v>45</v>
      </c>
      <c r="F567" s="11" t="s">
        <v>45</v>
      </c>
      <c r="G567" s="6"/>
      <c r="H567" s="10">
        <f t="shared" si="17"/>
        <v>45</v>
      </c>
    </row>
    <row r="568" spans="1:8" x14ac:dyDescent="0.35">
      <c r="A568" s="8">
        <v>46651</v>
      </c>
      <c r="B568" s="8">
        <f t="shared" si="16"/>
        <v>46631</v>
      </c>
      <c r="C568" t="s">
        <v>32</v>
      </c>
      <c r="D568" s="5" t="s">
        <v>44</v>
      </c>
      <c r="E568" s="10">
        <f>IFERROR(VLOOKUP(C568,Assets!$A:$G,7,FALSE),0)</f>
        <v>45</v>
      </c>
      <c r="F568" s="11" t="s">
        <v>45</v>
      </c>
      <c r="G568" s="6"/>
      <c r="H568" s="10">
        <f t="shared" si="17"/>
        <v>45</v>
      </c>
    </row>
    <row r="569" spans="1:8" x14ac:dyDescent="0.35">
      <c r="A569" s="8">
        <v>46658</v>
      </c>
      <c r="B569" s="8">
        <f t="shared" si="16"/>
        <v>46631</v>
      </c>
      <c r="C569" t="s">
        <v>32</v>
      </c>
      <c r="D569" s="5" t="s">
        <v>44</v>
      </c>
      <c r="E569" s="10">
        <f>IFERROR(VLOOKUP(C569,Assets!$A:$G,7,FALSE),0)</f>
        <v>45</v>
      </c>
      <c r="F569" s="11" t="s">
        <v>45</v>
      </c>
      <c r="G569" s="6"/>
      <c r="H569" s="10">
        <f t="shared" si="17"/>
        <v>45</v>
      </c>
    </row>
    <row r="570" spans="1:8" x14ac:dyDescent="0.35">
      <c r="A570" s="8">
        <v>46637</v>
      </c>
      <c r="B570" s="8">
        <f t="shared" si="16"/>
        <v>46631</v>
      </c>
      <c r="C570" t="s">
        <v>33</v>
      </c>
      <c r="D570" s="5" t="s">
        <v>44</v>
      </c>
      <c r="E570" s="10">
        <f>IFERROR(VLOOKUP(C570,Assets!$A:$G,7,FALSE),0)</f>
        <v>41</v>
      </c>
      <c r="F570" s="11" t="s">
        <v>45</v>
      </c>
      <c r="G570" s="6"/>
      <c r="H570" s="10">
        <f t="shared" si="17"/>
        <v>41</v>
      </c>
    </row>
    <row r="571" spans="1:8" x14ac:dyDescent="0.35">
      <c r="A571" s="8">
        <v>46644</v>
      </c>
      <c r="B571" s="8">
        <f t="shared" si="16"/>
        <v>46631</v>
      </c>
      <c r="C571" t="s">
        <v>33</v>
      </c>
      <c r="D571" s="5" t="s">
        <v>44</v>
      </c>
      <c r="E571" s="10">
        <f>IFERROR(VLOOKUP(C571,Assets!$A:$G,7,FALSE),0)</f>
        <v>41</v>
      </c>
      <c r="F571" s="11" t="s">
        <v>45</v>
      </c>
      <c r="G571" s="6"/>
      <c r="H571" s="10">
        <f t="shared" si="17"/>
        <v>41</v>
      </c>
    </row>
    <row r="572" spans="1:8" x14ac:dyDescent="0.35">
      <c r="A572" s="8">
        <v>46651</v>
      </c>
      <c r="B572" s="8">
        <f t="shared" si="16"/>
        <v>46631</v>
      </c>
      <c r="C572" t="s">
        <v>33</v>
      </c>
      <c r="D572" s="5" t="s">
        <v>44</v>
      </c>
      <c r="E572" s="10">
        <f>IFERROR(VLOOKUP(C572,Assets!$A:$G,7,FALSE),0)</f>
        <v>41</v>
      </c>
      <c r="F572" s="11" t="s">
        <v>45</v>
      </c>
      <c r="G572" s="6"/>
      <c r="H572" s="10">
        <f t="shared" si="17"/>
        <v>41</v>
      </c>
    </row>
    <row r="573" spans="1:8" x14ac:dyDescent="0.35">
      <c r="A573" s="8">
        <v>46658</v>
      </c>
      <c r="B573" s="8">
        <f t="shared" si="16"/>
        <v>46631</v>
      </c>
      <c r="C573" t="s">
        <v>33</v>
      </c>
      <c r="D573" s="5" t="s">
        <v>44</v>
      </c>
      <c r="E573" s="10">
        <f>IFERROR(VLOOKUP(C573,Assets!$A:$G,7,FALSE),0)</f>
        <v>41</v>
      </c>
      <c r="F573" s="11" t="s">
        <v>45</v>
      </c>
      <c r="G573" s="6"/>
      <c r="H573" s="10">
        <f t="shared" si="17"/>
        <v>41</v>
      </c>
    </row>
    <row r="574" spans="1:8" x14ac:dyDescent="0.35">
      <c r="A574" s="8">
        <v>46637</v>
      </c>
      <c r="B574" s="8">
        <f t="shared" si="16"/>
        <v>46631</v>
      </c>
      <c r="C574" t="s">
        <v>34</v>
      </c>
      <c r="D574" s="5" t="s">
        <v>44</v>
      </c>
      <c r="E574" s="10">
        <f>IFERROR(VLOOKUP(C574,Assets!$A:$G,7,FALSE),0)</f>
        <v>15</v>
      </c>
      <c r="F574" s="11" t="s">
        <v>45</v>
      </c>
      <c r="G574" s="6"/>
      <c r="H574" s="10">
        <f t="shared" si="17"/>
        <v>15</v>
      </c>
    </row>
    <row r="575" spans="1:8" x14ac:dyDescent="0.35">
      <c r="A575" s="8">
        <v>46644</v>
      </c>
      <c r="B575" s="8">
        <f t="shared" si="16"/>
        <v>46631</v>
      </c>
      <c r="C575" t="s">
        <v>34</v>
      </c>
      <c r="D575" s="5" t="s">
        <v>44</v>
      </c>
      <c r="E575" s="10">
        <f>IFERROR(VLOOKUP(C575,Assets!$A:$G,7,FALSE),0)</f>
        <v>15</v>
      </c>
      <c r="F575" s="11" t="s">
        <v>45</v>
      </c>
      <c r="G575" s="6"/>
      <c r="H575" s="10">
        <f t="shared" si="17"/>
        <v>15</v>
      </c>
    </row>
    <row r="576" spans="1:8" x14ac:dyDescent="0.35">
      <c r="A576" s="8">
        <v>46651</v>
      </c>
      <c r="B576" s="8">
        <f t="shared" si="16"/>
        <v>46631</v>
      </c>
      <c r="C576" t="s">
        <v>34</v>
      </c>
      <c r="D576" s="5" t="s">
        <v>44</v>
      </c>
      <c r="E576" s="10">
        <f>IFERROR(VLOOKUP(C576,Assets!$A:$G,7,FALSE),0)</f>
        <v>15</v>
      </c>
      <c r="F576" s="11" t="s">
        <v>45</v>
      </c>
      <c r="G576" s="6"/>
      <c r="H576" s="10">
        <f t="shared" si="17"/>
        <v>15</v>
      </c>
    </row>
    <row r="577" spans="1:8" x14ac:dyDescent="0.35">
      <c r="A577" s="8">
        <v>46658</v>
      </c>
      <c r="B577" s="8">
        <f t="shared" si="16"/>
        <v>46631</v>
      </c>
      <c r="C577" t="s">
        <v>34</v>
      </c>
      <c r="D577" s="5" t="s">
        <v>44</v>
      </c>
      <c r="E577" s="10">
        <f>IFERROR(VLOOKUP(C577,Assets!$A:$G,7,FALSE),0)</f>
        <v>15</v>
      </c>
      <c r="F577" s="11" t="s">
        <v>45</v>
      </c>
      <c r="G577" s="6"/>
      <c r="H577" s="10">
        <f t="shared" si="17"/>
        <v>15</v>
      </c>
    </row>
    <row r="578" spans="1:8" x14ac:dyDescent="0.35">
      <c r="A578" s="8">
        <v>46667</v>
      </c>
      <c r="B578" s="8">
        <f t="shared" ref="B578:B641" si="18">DATE(YEAR(A578),MONTH(A578),1)</f>
        <v>46661</v>
      </c>
      <c r="C578" t="s">
        <v>20</v>
      </c>
      <c r="D578" s="5" t="s">
        <v>44</v>
      </c>
      <c r="E578" s="10">
        <f>IFERROR(VLOOKUP(C578,Assets!$A:$G,7,FALSE),0)</f>
        <v>160</v>
      </c>
      <c r="F578" s="11" t="s">
        <v>45</v>
      </c>
      <c r="G578" s="6"/>
      <c r="H578" s="10">
        <f t="shared" ref="H578:H641" si="19">IF(F578="No",0,IF(F578="Edited",IF(G578="",E578,G578),E578))</f>
        <v>160</v>
      </c>
    </row>
    <row r="579" spans="1:8" x14ac:dyDescent="0.35">
      <c r="A579" s="8">
        <v>46674</v>
      </c>
      <c r="B579" s="8">
        <f t="shared" si="18"/>
        <v>46661</v>
      </c>
      <c r="C579" t="s">
        <v>20</v>
      </c>
      <c r="D579" s="5" t="s">
        <v>44</v>
      </c>
      <c r="E579" s="10">
        <f>IFERROR(VLOOKUP(C579,Assets!$A:$G,7,FALSE),0)</f>
        <v>160</v>
      </c>
      <c r="F579" s="11" t="s">
        <v>45</v>
      </c>
      <c r="G579" s="6"/>
      <c r="H579" s="10">
        <f t="shared" si="19"/>
        <v>160</v>
      </c>
    </row>
    <row r="580" spans="1:8" x14ac:dyDescent="0.35">
      <c r="A580" s="8">
        <v>46681</v>
      </c>
      <c r="B580" s="8">
        <f t="shared" si="18"/>
        <v>46661</v>
      </c>
      <c r="C580" t="s">
        <v>20</v>
      </c>
      <c r="D580" s="5" t="s">
        <v>44</v>
      </c>
      <c r="E580" s="10">
        <f>IFERROR(VLOOKUP(C580,Assets!$A:$G,7,FALSE),0)</f>
        <v>160</v>
      </c>
      <c r="F580" s="11" t="s">
        <v>45</v>
      </c>
      <c r="G580" s="6"/>
      <c r="H580" s="10">
        <f t="shared" si="19"/>
        <v>160</v>
      </c>
    </row>
    <row r="581" spans="1:8" x14ac:dyDescent="0.35">
      <c r="A581" s="8">
        <v>46688</v>
      </c>
      <c r="B581" s="8">
        <f t="shared" si="18"/>
        <v>46661</v>
      </c>
      <c r="C581" t="s">
        <v>20</v>
      </c>
      <c r="D581" s="5" t="s">
        <v>44</v>
      </c>
      <c r="E581" s="10">
        <f>IFERROR(VLOOKUP(C581,Assets!$A:$G,7,FALSE),0)</f>
        <v>160</v>
      </c>
      <c r="F581" s="11" t="s">
        <v>45</v>
      </c>
      <c r="G581" s="6"/>
      <c r="H581" s="10">
        <f t="shared" si="19"/>
        <v>160</v>
      </c>
    </row>
    <row r="582" spans="1:8" x14ac:dyDescent="0.35">
      <c r="A582" s="8">
        <v>46667</v>
      </c>
      <c r="B582" s="8">
        <f t="shared" si="18"/>
        <v>46661</v>
      </c>
      <c r="C582" t="s">
        <v>25</v>
      </c>
      <c r="D582" s="5" t="s">
        <v>44</v>
      </c>
      <c r="E582" s="10">
        <f>IFERROR(VLOOKUP(C582,Assets!$A:$G,7,FALSE),0)</f>
        <v>40</v>
      </c>
      <c r="F582" s="11" t="s">
        <v>45</v>
      </c>
      <c r="G582" s="6"/>
      <c r="H582" s="10">
        <f t="shared" si="19"/>
        <v>40</v>
      </c>
    </row>
    <row r="583" spans="1:8" x14ac:dyDescent="0.35">
      <c r="A583" s="8">
        <v>46674</v>
      </c>
      <c r="B583" s="8">
        <f t="shared" si="18"/>
        <v>46661</v>
      </c>
      <c r="C583" t="s">
        <v>25</v>
      </c>
      <c r="D583" s="5" t="s">
        <v>44</v>
      </c>
      <c r="E583" s="10">
        <f>IFERROR(VLOOKUP(C583,Assets!$A:$G,7,FALSE),0)</f>
        <v>40</v>
      </c>
      <c r="F583" s="11" t="s">
        <v>45</v>
      </c>
      <c r="G583" s="6"/>
      <c r="H583" s="10">
        <f t="shared" si="19"/>
        <v>40</v>
      </c>
    </row>
    <row r="584" spans="1:8" x14ac:dyDescent="0.35">
      <c r="A584" s="8">
        <v>46681</v>
      </c>
      <c r="B584" s="8">
        <f t="shared" si="18"/>
        <v>46661</v>
      </c>
      <c r="C584" t="s">
        <v>25</v>
      </c>
      <c r="D584" s="5" t="s">
        <v>44</v>
      </c>
      <c r="E584" s="10">
        <f>IFERROR(VLOOKUP(C584,Assets!$A:$G,7,FALSE),0)</f>
        <v>40</v>
      </c>
      <c r="F584" s="11" t="s">
        <v>45</v>
      </c>
      <c r="G584" s="6"/>
      <c r="H584" s="10">
        <f t="shared" si="19"/>
        <v>40</v>
      </c>
    </row>
    <row r="585" spans="1:8" x14ac:dyDescent="0.35">
      <c r="A585" s="8">
        <v>46688</v>
      </c>
      <c r="B585" s="8">
        <f t="shared" si="18"/>
        <v>46661</v>
      </c>
      <c r="C585" t="s">
        <v>25</v>
      </c>
      <c r="D585" s="5" t="s">
        <v>44</v>
      </c>
      <c r="E585" s="10">
        <f>IFERROR(VLOOKUP(C585,Assets!$A:$G,7,FALSE),0)</f>
        <v>40</v>
      </c>
      <c r="F585" s="11" t="s">
        <v>45</v>
      </c>
      <c r="G585" s="6"/>
      <c r="H585" s="10">
        <f t="shared" si="19"/>
        <v>40</v>
      </c>
    </row>
    <row r="586" spans="1:8" x14ac:dyDescent="0.35">
      <c r="A586" s="8">
        <v>46667</v>
      </c>
      <c r="B586" s="8">
        <f t="shared" si="18"/>
        <v>46661</v>
      </c>
      <c r="C586" t="s">
        <v>26</v>
      </c>
      <c r="D586" s="5" t="s">
        <v>44</v>
      </c>
      <c r="E586" s="10">
        <f>IFERROR(VLOOKUP(C586,Assets!$A:$G,7,FALSE),0)</f>
        <v>27</v>
      </c>
      <c r="F586" s="11" t="s">
        <v>45</v>
      </c>
      <c r="G586" s="6"/>
      <c r="H586" s="10">
        <f t="shared" si="19"/>
        <v>27</v>
      </c>
    </row>
    <row r="587" spans="1:8" x14ac:dyDescent="0.35">
      <c r="A587" s="8">
        <v>46674</v>
      </c>
      <c r="B587" s="8">
        <f t="shared" si="18"/>
        <v>46661</v>
      </c>
      <c r="C587" t="s">
        <v>26</v>
      </c>
      <c r="D587" s="5" t="s">
        <v>44</v>
      </c>
      <c r="E587" s="10">
        <f>IFERROR(VLOOKUP(C587,Assets!$A:$G,7,FALSE),0)</f>
        <v>27</v>
      </c>
      <c r="F587" s="11" t="s">
        <v>45</v>
      </c>
      <c r="G587" s="6"/>
      <c r="H587" s="10">
        <f t="shared" si="19"/>
        <v>27</v>
      </c>
    </row>
    <row r="588" spans="1:8" x14ac:dyDescent="0.35">
      <c r="A588" s="8">
        <v>46681</v>
      </c>
      <c r="B588" s="8">
        <f t="shared" si="18"/>
        <v>46661</v>
      </c>
      <c r="C588" t="s">
        <v>26</v>
      </c>
      <c r="D588" s="5" t="s">
        <v>44</v>
      </c>
      <c r="E588" s="10">
        <f>IFERROR(VLOOKUP(C588,Assets!$A:$G,7,FALSE),0)</f>
        <v>27</v>
      </c>
      <c r="F588" s="11" t="s">
        <v>45</v>
      </c>
      <c r="G588" s="6"/>
      <c r="H588" s="10">
        <f t="shared" si="19"/>
        <v>27</v>
      </c>
    </row>
    <row r="589" spans="1:8" x14ac:dyDescent="0.35">
      <c r="A589" s="8">
        <v>46688</v>
      </c>
      <c r="B589" s="8">
        <f t="shared" si="18"/>
        <v>46661</v>
      </c>
      <c r="C589" t="s">
        <v>26</v>
      </c>
      <c r="D589" s="5" t="s">
        <v>44</v>
      </c>
      <c r="E589" s="10">
        <f>IFERROR(VLOOKUP(C589,Assets!$A:$G,7,FALSE),0)</f>
        <v>27</v>
      </c>
      <c r="F589" s="11" t="s">
        <v>45</v>
      </c>
      <c r="G589" s="6"/>
      <c r="H589" s="10">
        <f t="shared" si="19"/>
        <v>27</v>
      </c>
    </row>
    <row r="590" spans="1:8" x14ac:dyDescent="0.35">
      <c r="A590" s="8">
        <v>46667</v>
      </c>
      <c r="B590" s="8">
        <f t="shared" si="18"/>
        <v>46661</v>
      </c>
      <c r="C590" t="s">
        <v>29</v>
      </c>
      <c r="D590" s="5" t="s">
        <v>44</v>
      </c>
      <c r="E590" s="10">
        <f>IFERROR(VLOOKUP(C590,Assets!$A:$G,7,FALSE),0)</f>
        <v>20</v>
      </c>
      <c r="F590" s="11" t="s">
        <v>45</v>
      </c>
      <c r="G590" s="6"/>
      <c r="H590" s="10">
        <f t="shared" si="19"/>
        <v>20</v>
      </c>
    </row>
    <row r="591" spans="1:8" x14ac:dyDescent="0.35">
      <c r="A591" s="8">
        <v>46674</v>
      </c>
      <c r="B591" s="8">
        <f t="shared" si="18"/>
        <v>46661</v>
      </c>
      <c r="C591" t="s">
        <v>29</v>
      </c>
      <c r="D591" s="5" t="s">
        <v>44</v>
      </c>
      <c r="E591" s="10">
        <f>IFERROR(VLOOKUP(C591,Assets!$A:$G,7,FALSE),0)</f>
        <v>20</v>
      </c>
      <c r="F591" s="11" t="s">
        <v>45</v>
      </c>
      <c r="G591" s="6"/>
      <c r="H591" s="10">
        <f t="shared" si="19"/>
        <v>20</v>
      </c>
    </row>
    <row r="592" spans="1:8" x14ac:dyDescent="0.35">
      <c r="A592" s="8">
        <v>46681</v>
      </c>
      <c r="B592" s="8">
        <f t="shared" si="18"/>
        <v>46661</v>
      </c>
      <c r="C592" t="s">
        <v>29</v>
      </c>
      <c r="D592" s="5" t="s">
        <v>44</v>
      </c>
      <c r="E592" s="10">
        <f>IFERROR(VLOOKUP(C592,Assets!$A:$G,7,FALSE),0)</f>
        <v>20</v>
      </c>
      <c r="F592" s="11" t="s">
        <v>45</v>
      </c>
      <c r="G592" s="6"/>
      <c r="H592" s="10">
        <f t="shared" si="19"/>
        <v>20</v>
      </c>
    </row>
    <row r="593" spans="1:8" x14ac:dyDescent="0.35">
      <c r="A593" s="8">
        <v>46688</v>
      </c>
      <c r="B593" s="8">
        <f t="shared" si="18"/>
        <v>46661</v>
      </c>
      <c r="C593" t="s">
        <v>29</v>
      </c>
      <c r="D593" s="5" t="s">
        <v>44</v>
      </c>
      <c r="E593" s="10">
        <f>IFERROR(VLOOKUP(C593,Assets!$A:$G,7,FALSE),0)</f>
        <v>20</v>
      </c>
      <c r="F593" s="11" t="s">
        <v>45</v>
      </c>
      <c r="G593" s="6"/>
      <c r="H593" s="10">
        <f t="shared" si="19"/>
        <v>20</v>
      </c>
    </row>
    <row r="594" spans="1:8" x14ac:dyDescent="0.35">
      <c r="A594" s="8">
        <v>46667</v>
      </c>
      <c r="B594" s="8">
        <f t="shared" si="18"/>
        <v>46661</v>
      </c>
      <c r="C594" t="s">
        <v>31</v>
      </c>
      <c r="D594" s="5" t="s">
        <v>44</v>
      </c>
      <c r="E594" s="10">
        <f>IFERROR(VLOOKUP(C594,Assets!$A:$G,7,FALSE),0)</f>
        <v>27</v>
      </c>
      <c r="F594" s="11" t="s">
        <v>45</v>
      </c>
      <c r="G594" s="6"/>
      <c r="H594" s="10">
        <f t="shared" si="19"/>
        <v>27</v>
      </c>
    </row>
    <row r="595" spans="1:8" x14ac:dyDescent="0.35">
      <c r="A595" s="8">
        <v>46674</v>
      </c>
      <c r="B595" s="8">
        <f t="shared" si="18"/>
        <v>46661</v>
      </c>
      <c r="C595" t="s">
        <v>31</v>
      </c>
      <c r="D595" s="5" t="s">
        <v>44</v>
      </c>
      <c r="E595" s="10">
        <f>IFERROR(VLOOKUP(C595,Assets!$A:$G,7,FALSE),0)</f>
        <v>27</v>
      </c>
      <c r="F595" s="11" t="s">
        <v>45</v>
      </c>
      <c r="G595" s="6"/>
      <c r="H595" s="10">
        <f t="shared" si="19"/>
        <v>27</v>
      </c>
    </row>
    <row r="596" spans="1:8" x14ac:dyDescent="0.35">
      <c r="A596" s="8">
        <v>46681</v>
      </c>
      <c r="B596" s="8">
        <f t="shared" si="18"/>
        <v>46661</v>
      </c>
      <c r="C596" t="s">
        <v>31</v>
      </c>
      <c r="D596" s="5" t="s">
        <v>44</v>
      </c>
      <c r="E596" s="10">
        <f>IFERROR(VLOOKUP(C596,Assets!$A:$G,7,FALSE),0)</f>
        <v>27</v>
      </c>
      <c r="F596" s="11" t="s">
        <v>45</v>
      </c>
      <c r="G596" s="6"/>
      <c r="H596" s="10">
        <f t="shared" si="19"/>
        <v>27</v>
      </c>
    </row>
    <row r="597" spans="1:8" x14ac:dyDescent="0.35">
      <c r="A597" s="8">
        <v>46688</v>
      </c>
      <c r="B597" s="8">
        <f t="shared" si="18"/>
        <v>46661</v>
      </c>
      <c r="C597" t="s">
        <v>31</v>
      </c>
      <c r="D597" s="5" t="s">
        <v>44</v>
      </c>
      <c r="E597" s="10">
        <f>IFERROR(VLOOKUP(C597,Assets!$A:$G,7,FALSE),0)</f>
        <v>27</v>
      </c>
      <c r="F597" s="11" t="s">
        <v>45</v>
      </c>
      <c r="G597" s="6"/>
      <c r="H597" s="10">
        <f t="shared" si="19"/>
        <v>27</v>
      </c>
    </row>
    <row r="598" spans="1:8" x14ac:dyDescent="0.35">
      <c r="A598" s="8">
        <v>46667</v>
      </c>
      <c r="B598" s="8">
        <f t="shared" si="18"/>
        <v>46661</v>
      </c>
      <c r="C598" t="s">
        <v>32</v>
      </c>
      <c r="D598" s="5" t="s">
        <v>44</v>
      </c>
      <c r="E598" s="10">
        <f>IFERROR(VLOOKUP(C598,Assets!$A:$G,7,FALSE),0)</f>
        <v>45</v>
      </c>
      <c r="F598" s="11" t="s">
        <v>45</v>
      </c>
      <c r="G598" s="6"/>
      <c r="H598" s="10">
        <f t="shared" si="19"/>
        <v>45</v>
      </c>
    </row>
    <row r="599" spans="1:8" x14ac:dyDescent="0.35">
      <c r="A599" s="8">
        <v>46674</v>
      </c>
      <c r="B599" s="8">
        <f t="shared" si="18"/>
        <v>46661</v>
      </c>
      <c r="C599" t="s">
        <v>32</v>
      </c>
      <c r="D599" s="5" t="s">
        <v>44</v>
      </c>
      <c r="E599" s="10">
        <f>IFERROR(VLOOKUP(C599,Assets!$A:$G,7,FALSE),0)</f>
        <v>45</v>
      </c>
      <c r="F599" s="11" t="s">
        <v>45</v>
      </c>
      <c r="G599" s="6"/>
      <c r="H599" s="10">
        <f t="shared" si="19"/>
        <v>45</v>
      </c>
    </row>
    <row r="600" spans="1:8" x14ac:dyDescent="0.35">
      <c r="A600" s="8">
        <v>46681</v>
      </c>
      <c r="B600" s="8">
        <f t="shared" si="18"/>
        <v>46661</v>
      </c>
      <c r="C600" t="s">
        <v>32</v>
      </c>
      <c r="D600" s="5" t="s">
        <v>44</v>
      </c>
      <c r="E600" s="10">
        <f>IFERROR(VLOOKUP(C600,Assets!$A:$G,7,FALSE),0)</f>
        <v>45</v>
      </c>
      <c r="F600" s="11" t="s">
        <v>45</v>
      </c>
      <c r="G600" s="6"/>
      <c r="H600" s="10">
        <f t="shared" si="19"/>
        <v>45</v>
      </c>
    </row>
    <row r="601" spans="1:8" x14ac:dyDescent="0.35">
      <c r="A601" s="8">
        <v>46688</v>
      </c>
      <c r="B601" s="8">
        <f t="shared" si="18"/>
        <v>46661</v>
      </c>
      <c r="C601" t="s">
        <v>32</v>
      </c>
      <c r="D601" s="5" t="s">
        <v>44</v>
      </c>
      <c r="E601" s="10">
        <f>IFERROR(VLOOKUP(C601,Assets!$A:$G,7,FALSE),0)</f>
        <v>45</v>
      </c>
      <c r="F601" s="11" t="s">
        <v>45</v>
      </c>
      <c r="G601" s="6"/>
      <c r="H601" s="10">
        <f t="shared" si="19"/>
        <v>45</v>
      </c>
    </row>
    <row r="602" spans="1:8" x14ac:dyDescent="0.35">
      <c r="A602" s="8">
        <v>46667</v>
      </c>
      <c r="B602" s="8">
        <f t="shared" si="18"/>
        <v>46661</v>
      </c>
      <c r="C602" t="s">
        <v>33</v>
      </c>
      <c r="D602" s="5" t="s">
        <v>44</v>
      </c>
      <c r="E602" s="10">
        <f>IFERROR(VLOOKUP(C602,Assets!$A:$G,7,FALSE),0)</f>
        <v>41</v>
      </c>
      <c r="F602" s="11" t="s">
        <v>45</v>
      </c>
      <c r="G602" s="6"/>
      <c r="H602" s="10">
        <f t="shared" si="19"/>
        <v>41</v>
      </c>
    </row>
    <row r="603" spans="1:8" x14ac:dyDescent="0.35">
      <c r="A603" s="8">
        <v>46674</v>
      </c>
      <c r="B603" s="8">
        <f t="shared" si="18"/>
        <v>46661</v>
      </c>
      <c r="C603" t="s">
        <v>33</v>
      </c>
      <c r="D603" s="5" t="s">
        <v>44</v>
      </c>
      <c r="E603" s="10">
        <f>IFERROR(VLOOKUP(C603,Assets!$A:$G,7,FALSE),0)</f>
        <v>41</v>
      </c>
      <c r="F603" s="11" t="s">
        <v>45</v>
      </c>
      <c r="G603" s="6"/>
      <c r="H603" s="10">
        <f t="shared" si="19"/>
        <v>41</v>
      </c>
    </row>
    <row r="604" spans="1:8" x14ac:dyDescent="0.35">
      <c r="A604" s="8">
        <v>46681</v>
      </c>
      <c r="B604" s="8">
        <f t="shared" si="18"/>
        <v>46661</v>
      </c>
      <c r="C604" t="s">
        <v>33</v>
      </c>
      <c r="D604" s="5" t="s">
        <v>44</v>
      </c>
      <c r="E604" s="10">
        <f>IFERROR(VLOOKUP(C604,Assets!$A:$G,7,FALSE),0)</f>
        <v>41</v>
      </c>
      <c r="F604" s="11" t="s">
        <v>45</v>
      </c>
      <c r="G604" s="6"/>
      <c r="H604" s="10">
        <f t="shared" si="19"/>
        <v>41</v>
      </c>
    </row>
    <row r="605" spans="1:8" x14ac:dyDescent="0.35">
      <c r="A605" s="8">
        <v>46688</v>
      </c>
      <c r="B605" s="8">
        <f t="shared" si="18"/>
        <v>46661</v>
      </c>
      <c r="C605" t="s">
        <v>33</v>
      </c>
      <c r="D605" s="5" t="s">
        <v>44</v>
      </c>
      <c r="E605" s="10">
        <f>IFERROR(VLOOKUP(C605,Assets!$A:$G,7,FALSE),0)</f>
        <v>41</v>
      </c>
      <c r="F605" s="11" t="s">
        <v>45</v>
      </c>
      <c r="G605" s="6"/>
      <c r="H605" s="10">
        <f t="shared" si="19"/>
        <v>41</v>
      </c>
    </row>
    <row r="606" spans="1:8" x14ac:dyDescent="0.35">
      <c r="A606" s="8">
        <v>46667</v>
      </c>
      <c r="B606" s="8">
        <f t="shared" si="18"/>
        <v>46661</v>
      </c>
      <c r="C606" t="s">
        <v>34</v>
      </c>
      <c r="D606" s="5" t="s">
        <v>44</v>
      </c>
      <c r="E606" s="10">
        <f>IFERROR(VLOOKUP(C606,Assets!$A:$G,7,FALSE),0)</f>
        <v>15</v>
      </c>
      <c r="F606" s="11" t="s">
        <v>45</v>
      </c>
      <c r="G606" s="6"/>
      <c r="H606" s="10">
        <f t="shared" si="19"/>
        <v>15</v>
      </c>
    </row>
    <row r="607" spans="1:8" x14ac:dyDescent="0.35">
      <c r="A607" s="8">
        <v>46674</v>
      </c>
      <c r="B607" s="8">
        <f t="shared" si="18"/>
        <v>46661</v>
      </c>
      <c r="C607" t="s">
        <v>34</v>
      </c>
      <c r="D607" s="5" t="s">
        <v>44</v>
      </c>
      <c r="E607" s="10">
        <f>IFERROR(VLOOKUP(C607,Assets!$A:$G,7,FALSE),0)</f>
        <v>15</v>
      </c>
      <c r="F607" s="11" t="s">
        <v>45</v>
      </c>
      <c r="G607" s="6"/>
      <c r="H607" s="10">
        <f t="shared" si="19"/>
        <v>15</v>
      </c>
    </row>
    <row r="608" spans="1:8" x14ac:dyDescent="0.35">
      <c r="A608" s="8">
        <v>46681</v>
      </c>
      <c r="B608" s="8">
        <f t="shared" si="18"/>
        <v>46661</v>
      </c>
      <c r="C608" t="s">
        <v>34</v>
      </c>
      <c r="D608" s="5" t="s">
        <v>44</v>
      </c>
      <c r="E608" s="10">
        <f>IFERROR(VLOOKUP(C608,Assets!$A:$G,7,FALSE),0)</f>
        <v>15</v>
      </c>
      <c r="F608" s="11" t="s">
        <v>45</v>
      </c>
      <c r="G608" s="6"/>
      <c r="H608" s="10">
        <f t="shared" si="19"/>
        <v>15</v>
      </c>
    </row>
    <row r="609" spans="1:8" x14ac:dyDescent="0.35">
      <c r="A609" s="8">
        <v>46688</v>
      </c>
      <c r="B609" s="8">
        <f t="shared" si="18"/>
        <v>46661</v>
      </c>
      <c r="C609" t="s">
        <v>34</v>
      </c>
      <c r="D609" s="5" t="s">
        <v>44</v>
      </c>
      <c r="E609" s="10">
        <f>IFERROR(VLOOKUP(C609,Assets!$A:$G,7,FALSE),0)</f>
        <v>15</v>
      </c>
      <c r="F609" s="11" t="s">
        <v>45</v>
      </c>
      <c r="G609" s="6"/>
      <c r="H609" s="10">
        <f t="shared" si="19"/>
        <v>15</v>
      </c>
    </row>
    <row r="610" spans="1:8" x14ac:dyDescent="0.35">
      <c r="A610" s="8">
        <v>46698</v>
      </c>
      <c r="B610" s="8">
        <f t="shared" si="18"/>
        <v>46692</v>
      </c>
      <c r="C610" t="s">
        <v>20</v>
      </c>
      <c r="D610" s="5" t="s">
        <v>44</v>
      </c>
      <c r="E610" s="10">
        <f>IFERROR(VLOOKUP(C610,Assets!$A:$G,7,FALSE),0)</f>
        <v>160</v>
      </c>
      <c r="F610" s="11" t="s">
        <v>45</v>
      </c>
      <c r="G610" s="6"/>
      <c r="H610" s="10">
        <f t="shared" si="19"/>
        <v>160</v>
      </c>
    </row>
    <row r="611" spans="1:8" x14ac:dyDescent="0.35">
      <c r="A611" s="8">
        <v>46705</v>
      </c>
      <c r="B611" s="8">
        <f t="shared" si="18"/>
        <v>46692</v>
      </c>
      <c r="C611" t="s">
        <v>20</v>
      </c>
      <c r="D611" s="5" t="s">
        <v>44</v>
      </c>
      <c r="E611" s="10">
        <f>IFERROR(VLOOKUP(C611,Assets!$A:$G,7,FALSE),0)</f>
        <v>160</v>
      </c>
      <c r="F611" s="11" t="s">
        <v>45</v>
      </c>
      <c r="G611" s="6"/>
      <c r="H611" s="10">
        <f t="shared" si="19"/>
        <v>160</v>
      </c>
    </row>
    <row r="612" spans="1:8" x14ac:dyDescent="0.35">
      <c r="A612" s="8">
        <v>46712</v>
      </c>
      <c r="B612" s="8">
        <f t="shared" si="18"/>
        <v>46692</v>
      </c>
      <c r="C612" t="s">
        <v>20</v>
      </c>
      <c r="D612" s="5" t="s">
        <v>44</v>
      </c>
      <c r="E612" s="10">
        <f>IFERROR(VLOOKUP(C612,Assets!$A:$G,7,FALSE),0)</f>
        <v>160</v>
      </c>
      <c r="F612" s="11" t="s">
        <v>45</v>
      </c>
      <c r="G612" s="6"/>
      <c r="H612" s="10">
        <f t="shared" si="19"/>
        <v>160</v>
      </c>
    </row>
    <row r="613" spans="1:8" x14ac:dyDescent="0.35">
      <c r="A613" s="8">
        <v>46719</v>
      </c>
      <c r="B613" s="8">
        <f t="shared" si="18"/>
        <v>46692</v>
      </c>
      <c r="C613" t="s">
        <v>20</v>
      </c>
      <c r="D613" s="5" t="s">
        <v>44</v>
      </c>
      <c r="E613" s="10">
        <f>IFERROR(VLOOKUP(C613,Assets!$A:$G,7,FALSE),0)</f>
        <v>160</v>
      </c>
      <c r="F613" s="11" t="s">
        <v>45</v>
      </c>
      <c r="G613" s="6"/>
      <c r="H613" s="10">
        <f t="shared" si="19"/>
        <v>160</v>
      </c>
    </row>
    <row r="614" spans="1:8" x14ac:dyDescent="0.35">
      <c r="A614" s="8">
        <v>46698</v>
      </c>
      <c r="B614" s="8">
        <f t="shared" si="18"/>
        <v>46692</v>
      </c>
      <c r="C614" t="s">
        <v>25</v>
      </c>
      <c r="D614" s="5" t="s">
        <v>44</v>
      </c>
      <c r="E614" s="10">
        <f>IFERROR(VLOOKUP(C614,Assets!$A:$G,7,FALSE),0)</f>
        <v>40</v>
      </c>
      <c r="F614" s="11" t="s">
        <v>45</v>
      </c>
      <c r="G614" s="6"/>
      <c r="H614" s="10">
        <f t="shared" si="19"/>
        <v>40</v>
      </c>
    </row>
    <row r="615" spans="1:8" x14ac:dyDescent="0.35">
      <c r="A615" s="8">
        <v>46705</v>
      </c>
      <c r="B615" s="8">
        <f t="shared" si="18"/>
        <v>46692</v>
      </c>
      <c r="C615" t="s">
        <v>25</v>
      </c>
      <c r="D615" s="5" t="s">
        <v>44</v>
      </c>
      <c r="E615" s="10">
        <f>IFERROR(VLOOKUP(C615,Assets!$A:$G,7,FALSE),0)</f>
        <v>40</v>
      </c>
      <c r="F615" s="11" t="s">
        <v>45</v>
      </c>
      <c r="G615" s="6"/>
      <c r="H615" s="10">
        <f t="shared" si="19"/>
        <v>40</v>
      </c>
    </row>
    <row r="616" spans="1:8" x14ac:dyDescent="0.35">
      <c r="A616" s="8">
        <v>46712</v>
      </c>
      <c r="B616" s="8">
        <f t="shared" si="18"/>
        <v>46692</v>
      </c>
      <c r="C616" t="s">
        <v>25</v>
      </c>
      <c r="D616" s="5" t="s">
        <v>44</v>
      </c>
      <c r="E616" s="10">
        <f>IFERROR(VLOOKUP(C616,Assets!$A:$G,7,FALSE),0)</f>
        <v>40</v>
      </c>
      <c r="F616" s="11" t="s">
        <v>45</v>
      </c>
      <c r="G616" s="6"/>
      <c r="H616" s="10">
        <f t="shared" si="19"/>
        <v>40</v>
      </c>
    </row>
    <row r="617" spans="1:8" x14ac:dyDescent="0.35">
      <c r="A617" s="8">
        <v>46719</v>
      </c>
      <c r="B617" s="8">
        <f t="shared" si="18"/>
        <v>46692</v>
      </c>
      <c r="C617" t="s">
        <v>25</v>
      </c>
      <c r="D617" s="5" t="s">
        <v>44</v>
      </c>
      <c r="E617" s="10">
        <f>IFERROR(VLOOKUP(C617,Assets!$A:$G,7,FALSE),0)</f>
        <v>40</v>
      </c>
      <c r="F617" s="11" t="s">
        <v>45</v>
      </c>
      <c r="G617" s="6"/>
      <c r="H617" s="10">
        <f t="shared" si="19"/>
        <v>40</v>
      </c>
    </row>
    <row r="618" spans="1:8" x14ac:dyDescent="0.35">
      <c r="A618" s="8">
        <v>46698</v>
      </c>
      <c r="B618" s="8">
        <f t="shared" si="18"/>
        <v>46692</v>
      </c>
      <c r="C618" t="s">
        <v>26</v>
      </c>
      <c r="D618" s="5" t="s">
        <v>44</v>
      </c>
      <c r="E618" s="10">
        <f>IFERROR(VLOOKUP(C618,Assets!$A:$G,7,FALSE),0)</f>
        <v>27</v>
      </c>
      <c r="F618" s="11" t="s">
        <v>45</v>
      </c>
      <c r="G618" s="6"/>
      <c r="H618" s="10">
        <f t="shared" si="19"/>
        <v>27</v>
      </c>
    </row>
    <row r="619" spans="1:8" x14ac:dyDescent="0.35">
      <c r="A619" s="8">
        <v>46705</v>
      </c>
      <c r="B619" s="8">
        <f t="shared" si="18"/>
        <v>46692</v>
      </c>
      <c r="C619" t="s">
        <v>26</v>
      </c>
      <c r="D619" s="5" t="s">
        <v>44</v>
      </c>
      <c r="E619" s="10">
        <f>IFERROR(VLOOKUP(C619,Assets!$A:$G,7,FALSE),0)</f>
        <v>27</v>
      </c>
      <c r="F619" s="11" t="s">
        <v>45</v>
      </c>
      <c r="G619" s="6"/>
      <c r="H619" s="10">
        <f t="shared" si="19"/>
        <v>27</v>
      </c>
    </row>
    <row r="620" spans="1:8" x14ac:dyDescent="0.35">
      <c r="A620" s="8">
        <v>46712</v>
      </c>
      <c r="B620" s="8">
        <f t="shared" si="18"/>
        <v>46692</v>
      </c>
      <c r="C620" t="s">
        <v>26</v>
      </c>
      <c r="D620" s="5" t="s">
        <v>44</v>
      </c>
      <c r="E620" s="10">
        <f>IFERROR(VLOOKUP(C620,Assets!$A:$G,7,FALSE),0)</f>
        <v>27</v>
      </c>
      <c r="F620" s="11" t="s">
        <v>45</v>
      </c>
      <c r="G620" s="6"/>
      <c r="H620" s="10">
        <f t="shared" si="19"/>
        <v>27</v>
      </c>
    </row>
    <row r="621" spans="1:8" x14ac:dyDescent="0.35">
      <c r="A621" s="8">
        <v>46719</v>
      </c>
      <c r="B621" s="8">
        <f t="shared" si="18"/>
        <v>46692</v>
      </c>
      <c r="C621" t="s">
        <v>26</v>
      </c>
      <c r="D621" s="5" t="s">
        <v>44</v>
      </c>
      <c r="E621" s="10">
        <f>IFERROR(VLOOKUP(C621,Assets!$A:$G,7,FALSE),0)</f>
        <v>27</v>
      </c>
      <c r="F621" s="11" t="s">
        <v>45</v>
      </c>
      <c r="G621" s="6"/>
      <c r="H621" s="10">
        <f t="shared" si="19"/>
        <v>27</v>
      </c>
    </row>
    <row r="622" spans="1:8" x14ac:dyDescent="0.35">
      <c r="A622" s="8">
        <v>46698</v>
      </c>
      <c r="B622" s="8">
        <f t="shared" si="18"/>
        <v>46692</v>
      </c>
      <c r="C622" t="s">
        <v>29</v>
      </c>
      <c r="D622" s="5" t="s">
        <v>44</v>
      </c>
      <c r="E622" s="10">
        <f>IFERROR(VLOOKUP(C622,Assets!$A:$G,7,FALSE),0)</f>
        <v>20</v>
      </c>
      <c r="F622" s="11" t="s">
        <v>45</v>
      </c>
      <c r="G622" s="6"/>
      <c r="H622" s="10">
        <f t="shared" si="19"/>
        <v>20</v>
      </c>
    </row>
    <row r="623" spans="1:8" x14ac:dyDescent="0.35">
      <c r="A623" s="8">
        <v>46705</v>
      </c>
      <c r="B623" s="8">
        <f t="shared" si="18"/>
        <v>46692</v>
      </c>
      <c r="C623" t="s">
        <v>29</v>
      </c>
      <c r="D623" s="5" t="s">
        <v>44</v>
      </c>
      <c r="E623" s="10">
        <f>IFERROR(VLOOKUP(C623,Assets!$A:$G,7,FALSE),0)</f>
        <v>20</v>
      </c>
      <c r="F623" s="11" t="s">
        <v>45</v>
      </c>
      <c r="G623" s="6"/>
      <c r="H623" s="10">
        <f t="shared" si="19"/>
        <v>20</v>
      </c>
    </row>
    <row r="624" spans="1:8" x14ac:dyDescent="0.35">
      <c r="A624" s="8">
        <v>46712</v>
      </c>
      <c r="B624" s="8">
        <f t="shared" si="18"/>
        <v>46692</v>
      </c>
      <c r="C624" t="s">
        <v>29</v>
      </c>
      <c r="D624" s="5" t="s">
        <v>44</v>
      </c>
      <c r="E624" s="10">
        <f>IFERROR(VLOOKUP(C624,Assets!$A:$G,7,FALSE),0)</f>
        <v>20</v>
      </c>
      <c r="F624" s="11" t="s">
        <v>45</v>
      </c>
      <c r="G624" s="6"/>
      <c r="H624" s="10">
        <f t="shared" si="19"/>
        <v>20</v>
      </c>
    </row>
    <row r="625" spans="1:8" x14ac:dyDescent="0.35">
      <c r="A625" s="8">
        <v>46719</v>
      </c>
      <c r="B625" s="8">
        <f t="shared" si="18"/>
        <v>46692</v>
      </c>
      <c r="C625" t="s">
        <v>29</v>
      </c>
      <c r="D625" s="5" t="s">
        <v>44</v>
      </c>
      <c r="E625" s="10">
        <f>IFERROR(VLOOKUP(C625,Assets!$A:$G,7,FALSE),0)</f>
        <v>20</v>
      </c>
      <c r="F625" s="11" t="s">
        <v>45</v>
      </c>
      <c r="G625" s="6"/>
      <c r="H625" s="10">
        <f t="shared" si="19"/>
        <v>20</v>
      </c>
    </row>
    <row r="626" spans="1:8" x14ac:dyDescent="0.35">
      <c r="A626" s="8">
        <v>46698</v>
      </c>
      <c r="B626" s="8">
        <f t="shared" si="18"/>
        <v>46692</v>
      </c>
      <c r="C626" t="s">
        <v>31</v>
      </c>
      <c r="D626" s="5" t="s">
        <v>44</v>
      </c>
      <c r="E626" s="10">
        <f>IFERROR(VLOOKUP(C626,Assets!$A:$G,7,FALSE),0)</f>
        <v>27</v>
      </c>
      <c r="F626" s="11" t="s">
        <v>45</v>
      </c>
      <c r="G626" s="6"/>
      <c r="H626" s="10">
        <f t="shared" si="19"/>
        <v>27</v>
      </c>
    </row>
    <row r="627" spans="1:8" x14ac:dyDescent="0.35">
      <c r="A627" s="8">
        <v>46705</v>
      </c>
      <c r="B627" s="8">
        <f t="shared" si="18"/>
        <v>46692</v>
      </c>
      <c r="C627" t="s">
        <v>31</v>
      </c>
      <c r="D627" s="5" t="s">
        <v>44</v>
      </c>
      <c r="E627" s="10">
        <f>IFERROR(VLOOKUP(C627,Assets!$A:$G,7,FALSE),0)</f>
        <v>27</v>
      </c>
      <c r="F627" s="11" t="s">
        <v>45</v>
      </c>
      <c r="G627" s="6"/>
      <c r="H627" s="10">
        <f t="shared" si="19"/>
        <v>27</v>
      </c>
    </row>
    <row r="628" spans="1:8" x14ac:dyDescent="0.35">
      <c r="A628" s="8">
        <v>46712</v>
      </c>
      <c r="B628" s="8">
        <f t="shared" si="18"/>
        <v>46692</v>
      </c>
      <c r="C628" t="s">
        <v>31</v>
      </c>
      <c r="D628" s="5" t="s">
        <v>44</v>
      </c>
      <c r="E628" s="10">
        <f>IFERROR(VLOOKUP(C628,Assets!$A:$G,7,FALSE),0)</f>
        <v>27</v>
      </c>
      <c r="F628" s="11" t="s">
        <v>45</v>
      </c>
      <c r="G628" s="6"/>
      <c r="H628" s="10">
        <f t="shared" si="19"/>
        <v>27</v>
      </c>
    </row>
    <row r="629" spans="1:8" x14ac:dyDescent="0.35">
      <c r="A629" s="8">
        <v>46719</v>
      </c>
      <c r="B629" s="8">
        <f t="shared" si="18"/>
        <v>46692</v>
      </c>
      <c r="C629" t="s">
        <v>31</v>
      </c>
      <c r="D629" s="5" t="s">
        <v>44</v>
      </c>
      <c r="E629" s="10">
        <f>IFERROR(VLOOKUP(C629,Assets!$A:$G,7,FALSE),0)</f>
        <v>27</v>
      </c>
      <c r="F629" s="11" t="s">
        <v>45</v>
      </c>
      <c r="G629" s="6"/>
      <c r="H629" s="10">
        <f t="shared" si="19"/>
        <v>27</v>
      </c>
    </row>
    <row r="630" spans="1:8" x14ac:dyDescent="0.35">
      <c r="A630" s="8">
        <v>46698</v>
      </c>
      <c r="B630" s="8">
        <f t="shared" si="18"/>
        <v>46692</v>
      </c>
      <c r="C630" t="s">
        <v>32</v>
      </c>
      <c r="D630" s="5" t="s">
        <v>44</v>
      </c>
      <c r="E630" s="10">
        <f>IFERROR(VLOOKUP(C630,Assets!$A:$G,7,FALSE),0)</f>
        <v>45</v>
      </c>
      <c r="F630" s="11" t="s">
        <v>45</v>
      </c>
      <c r="G630" s="6"/>
      <c r="H630" s="10">
        <f t="shared" si="19"/>
        <v>45</v>
      </c>
    </row>
    <row r="631" spans="1:8" x14ac:dyDescent="0.35">
      <c r="A631" s="8">
        <v>46705</v>
      </c>
      <c r="B631" s="8">
        <f t="shared" si="18"/>
        <v>46692</v>
      </c>
      <c r="C631" t="s">
        <v>32</v>
      </c>
      <c r="D631" s="5" t="s">
        <v>44</v>
      </c>
      <c r="E631" s="10">
        <f>IFERROR(VLOOKUP(C631,Assets!$A:$G,7,FALSE),0)</f>
        <v>45</v>
      </c>
      <c r="F631" s="11" t="s">
        <v>45</v>
      </c>
      <c r="G631" s="6"/>
      <c r="H631" s="10">
        <f t="shared" si="19"/>
        <v>45</v>
      </c>
    </row>
    <row r="632" spans="1:8" x14ac:dyDescent="0.35">
      <c r="A632" s="8">
        <v>46712</v>
      </c>
      <c r="B632" s="8">
        <f t="shared" si="18"/>
        <v>46692</v>
      </c>
      <c r="C632" t="s">
        <v>32</v>
      </c>
      <c r="D632" s="5" t="s">
        <v>44</v>
      </c>
      <c r="E632" s="10">
        <f>IFERROR(VLOOKUP(C632,Assets!$A:$G,7,FALSE),0)</f>
        <v>45</v>
      </c>
      <c r="F632" s="11" t="s">
        <v>45</v>
      </c>
      <c r="G632" s="6"/>
      <c r="H632" s="10">
        <f t="shared" si="19"/>
        <v>45</v>
      </c>
    </row>
    <row r="633" spans="1:8" x14ac:dyDescent="0.35">
      <c r="A633" s="8">
        <v>46719</v>
      </c>
      <c r="B633" s="8">
        <f t="shared" si="18"/>
        <v>46692</v>
      </c>
      <c r="C633" t="s">
        <v>32</v>
      </c>
      <c r="D633" s="5" t="s">
        <v>44</v>
      </c>
      <c r="E633" s="10">
        <f>IFERROR(VLOOKUP(C633,Assets!$A:$G,7,FALSE),0)</f>
        <v>45</v>
      </c>
      <c r="F633" s="11" t="s">
        <v>45</v>
      </c>
      <c r="G633" s="6"/>
      <c r="H633" s="10">
        <f t="shared" si="19"/>
        <v>45</v>
      </c>
    </row>
    <row r="634" spans="1:8" x14ac:dyDescent="0.35">
      <c r="A634" s="8">
        <v>46698</v>
      </c>
      <c r="B634" s="8">
        <f t="shared" si="18"/>
        <v>46692</v>
      </c>
      <c r="C634" t="s">
        <v>33</v>
      </c>
      <c r="D634" s="5" t="s">
        <v>44</v>
      </c>
      <c r="E634" s="10">
        <f>IFERROR(VLOOKUP(C634,Assets!$A:$G,7,FALSE),0)</f>
        <v>41</v>
      </c>
      <c r="F634" s="11" t="s">
        <v>45</v>
      </c>
      <c r="G634" s="6"/>
      <c r="H634" s="10">
        <f t="shared" si="19"/>
        <v>41</v>
      </c>
    </row>
    <row r="635" spans="1:8" x14ac:dyDescent="0.35">
      <c r="A635" s="8">
        <v>46705</v>
      </c>
      <c r="B635" s="8">
        <f t="shared" si="18"/>
        <v>46692</v>
      </c>
      <c r="C635" t="s">
        <v>33</v>
      </c>
      <c r="D635" s="5" t="s">
        <v>44</v>
      </c>
      <c r="E635" s="10">
        <f>IFERROR(VLOOKUP(C635,Assets!$A:$G,7,FALSE),0)</f>
        <v>41</v>
      </c>
      <c r="F635" s="11" t="s">
        <v>45</v>
      </c>
      <c r="G635" s="6"/>
      <c r="H635" s="10">
        <f t="shared" si="19"/>
        <v>41</v>
      </c>
    </row>
    <row r="636" spans="1:8" x14ac:dyDescent="0.35">
      <c r="A636" s="8">
        <v>46712</v>
      </c>
      <c r="B636" s="8">
        <f t="shared" si="18"/>
        <v>46692</v>
      </c>
      <c r="C636" t="s">
        <v>33</v>
      </c>
      <c r="D636" s="5" t="s">
        <v>44</v>
      </c>
      <c r="E636" s="10">
        <f>IFERROR(VLOOKUP(C636,Assets!$A:$G,7,FALSE),0)</f>
        <v>41</v>
      </c>
      <c r="F636" s="11" t="s">
        <v>45</v>
      </c>
      <c r="G636" s="6"/>
      <c r="H636" s="10">
        <f t="shared" si="19"/>
        <v>41</v>
      </c>
    </row>
    <row r="637" spans="1:8" x14ac:dyDescent="0.35">
      <c r="A637" s="8">
        <v>46719</v>
      </c>
      <c r="B637" s="8">
        <f t="shared" si="18"/>
        <v>46692</v>
      </c>
      <c r="C637" t="s">
        <v>33</v>
      </c>
      <c r="D637" s="5" t="s">
        <v>44</v>
      </c>
      <c r="E637" s="10">
        <f>IFERROR(VLOOKUP(C637,Assets!$A:$G,7,FALSE),0)</f>
        <v>41</v>
      </c>
      <c r="F637" s="11" t="s">
        <v>45</v>
      </c>
      <c r="G637" s="6"/>
      <c r="H637" s="10">
        <f t="shared" si="19"/>
        <v>41</v>
      </c>
    </row>
    <row r="638" spans="1:8" x14ac:dyDescent="0.35">
      <c r="A638" s="8">
        <v>46698</v>
      </c>
      <c r="B638" s="8">
        <f t="shared" si="18"/>
        <v>46692</v>
      </c>
      <c r="C638" t="s">
        <v>34</v>
      </c>
      <c r="D638" s="5" t="s">
        <v>44</v>
      </c>
      <c r="E638" s="10">
        <f>IFERROR(VLOOKUP(C638,Assets!$A:$G,7,FALSE),0)</f>
        <v>15</v>
      </c>
      <c r="F638" s="11" t="s">
        <v>45</v>
      </c>
      <c r="G638" s="6"/>
      <c r="H638" s="10">
        <f t="shared" si="19"/>
        <v>15</v>
      </c>
    </row>
    <row r="639" spans="1:8" x14ac:dyDescent="0.35">
      <c r="A639" s="8">
        <v>46705</v>
      </c>
      <c r="B639" s="8">
        <f t="shared" si="18"/>
        <v>46692</v>
      </c>
      <c r="C639" t="s">
        <v>34</v>
      </c>
      <c r="D639" s="5" t="s">
        <v>44</v>
      </c>
      <c r="E639" s="10">
        <f>IFERROR(VLOOKUP(C639,Assets!$A:$G,7,FALSE),0)</f>
        <v>15</v>
      </c>
      <c r="F639" s="11" t="s">
        <v>45</v>
      </c>
      <c r="G639" s="6"/>
      <c r="H639" s="10">
        <f t="shared" si="19"/>
        <v>15</v>
      </c>
    </row>
    <row r="640" spans="1:8" x14ac:dyDescent="0.35">
      <c r="A640" s="8">
        <v>46712</v>
      </c>
      <c r="B640" s="8">
        <f t="shared" si="18"/>
        <v>46692</v>
      </c>
      <c r="C640" t="s">
        <v>34</v>
      </c>
      <c r="D640" s="5" t="s">
        <v>44</v>
      </c>
      <c r="E640" s="10">
        <f>IFERROR(VLOOKUP(C640,Assets!$A:$G,7,FALSE),0)</f>
        <v>15</v>
      </c>
      <c r="F640" s="11" t="s">
        <v>45</v>
      </c>
      <c r="G640" s="6"/>
      <c r="H640" s="10">
        <f t="shared" si="19"/>
        <v>15</v>
      </c>
    </row>
    <row r="641" spans="1:8" x14ac:dyDescent="0.35">
      <c r="A641" s="8">
        <v>46719</v>
      </c>
      <c r="B641" s="8">
        <f t="shared" si="18"/>
        <v>46692</v>
      </c>
      <c r="C641" t="s">
        <v>34</v>
      </c>
      <c r="D641" s="5" t="s">
        <v>44</v>
      </c>
      <c r="E641" s="10">
        <f>IFERROR(VLOOKUP(C641,Assets!$A:$G,7,FALSE),0)</f>
        <v>15</v>
      </c>
      <c r="F641" s="11" t="s">
        <v>45</v>
      </c>
      <c r="G641" s="6"/>
      <c r="H641" s="10">
        <f t="shared" si="19"/>
        <v>15</v>
      </c>
    </row>
    <row r="642" spans="1:8" x14ac:dyDescent="0.35">
      <c r="A642" s="8">
        <v>46728</v>
      </c>
      <c r="B642" s="8">
        <f t="shared" ref="B642:B705" si="20">DATE(YEAR(A642),MONTH(A642),1)</f>
        <v>46722</v>
      </c>
      <c r="C642" t="s">
        <v>20</v>
      </c>
      <c r="D642" s="5" t="s">
        <v>44</v>
      </c>
      <c r="E642" s="10">
        <f>IFERROR(VLOOKUP(C642,Assets!$A:$G,7,FALSE),0)</f>
        <v>160</v>
      </c>
      <c r="F642" s="11" t="s">
        <v>45</v>
      </c>
      <c r="G642" s="6"/>
      <c r="H642" s="10">
        <f t="shared" ref="H642:H705" si="21">IF(F642="No",0,IF(F642="Edited",IF(G642="",E642,G642),E642))</f>
        <v>160</v>
      </c>
    </row>
    <row r="643" spans="1:8" x14ac:dyDescent="0.35">
      <c r="A643" s="8">
        <v>46735</v>
      </c>
      <c r="B643" s="8">
        <f t="shared" si="20"/>
        <v>46722</v>
      </c>
      <c r="C643" t="s">
        <v>20</v>
      </c>
      <c r="D643" s="5" t="s">
        <v>44</v>
      </c>
      <c r="E643" s="10">
        <f>IFERROR(VLOOKUP(C643,Assets!$A:$G,7,FALSE),0)</f>
        <v>160</v>
      </c>
      <c r="F643" s="11" t="s">
        <v>45</v>
      </c>
      <c r="G643" s="6"/>
      <c r="H643" s="10">
        <f t="shared" si="21"/>
        <v>160</v>
      </c>
    </row>
    <row r="644" spans="1:8" x14ac:dyDescent="0.35">
      <c r="A644" s="8">
        <v>46742</v>
      </c>
      <c r="B644" s="8">
        <f t="shared" si="20"/>
        <v>46722</v>
      </c>
      <c r="C644" t="s">
        <v>20</v>
      </c>
      <c r="D644" s="5" t="s">
        <v>44</v>
      </c>
      <c r="E644" s="10">
        <f>IFERROR(VLOOKUP(C644,Assets!$A:$G,7,FALSE),0)</f>
        <v>160</v>
      </c>
      <c r="F644" s="11" t="s">
        <v>45</v>
      </c>
      <c r="G644" s="6"/>
      <c r="H644" s="10">
        <f t="shared" si="21"/>
        <v>160</v>
      </c>
    </row>
    <row r="645" spans="1:8" x14ac:dyDescent="0.35">
      <c r="A645" s="8">
        <v>46749</v>
      </c>
      <c r="B645" s="8">
        <f t="shared" si="20"/>
        <v>46722</v>
      </c>
      <c r="C645" t="s">
        <v>20</v>
      </c>
      <c r="D645" s="5" t="s">
        <v>44</v>
      </c>
      <c r="E645" s="10">
        <f>IFERROR(VLOOKUP(C645,Assets!$A:$G,7,FALSE),0)</f>
        <v>160</v>
      </c>
      <c r="F645" s="11" t="s">
        <v>45</v>
      </c>
      <c r="G645" s="6"/>
      <c r="H645" s="10">
        <f t="shared" si="21"/>
        <v>160</v>
      </c>
    </row>
    <row r="646" spans="1:8" x14ac:dyDescent="0.35">
      <c r="A646" s="8">
        <v>46728</v>
      </c>
      <c r="B646" s="8">
        <f t="shared" si="20"/>
        <v>46722</v>
      </c>
      <c r="C646" t="s">
        <v>25</v>
      </c>
      <c r="D646" s="5" t="s">
        <v>44</v>
      </c>
      <c r="E646" s="10">
        <f>IFERROR(VLOOKUP(C646,Assets!$A:$G,7,FALSE),0)</f>
        <v>40</v>
      </c>
      <c r="F646" s="11" t="s">
        <v>45</v>
      </c>
      <c r="G646" s="6"/>
      <c r="H646" s="10">
        <f t="shared" si="21"/>
        <v>40</v>
      </c>
    </row>
    <row r="647" spans="1:8" x14ac:dyDescent="0.35">
      <c r="A647" s="8">
        <v>46735</v>
      </c>
      <c r="B647" s="8">
        <f t="shared" si="20"/>
        <v>46722</v>
      </c>
      <c r="C647" t="s">
        <v>25</v>
      </c>
      <c r="D647" s="5" t="s">
        <v>44</v>
      </c>
      <c r="E647" s="10">
        <f>IFERROR(VLOOKUP(C647,Assets!$A:$G,7,FALSE),0)</f>
        <v>40</v>
      </c>
      <c r="F647" s="11" t="s">
        <v>45</v>
      </c>
      <c r="G647" s="6"/>
      <c r="H647" s="10">
        <f t="shared" si="21"/>
        <v>40</v>
      </c>
    </row>
    <row r="648" spans="1:8" x14ac:dyDescent="0.35">
      <c r="A648" s="8">
        <v>46742</v>
      </c>
      <c r="B648" s="8">
        <f t="shared" si="20"/>
        <v>46722</v>
      </c>
      <c r="C648" t="s">
        <v>25</v>
      </c>
      <c r="D648" s="5" t="s">
        <v>44</v>
      </c>
      <c r="E648" s="10">
        <f>IFERROR(VLOOKUP(C648,Assets!$A:$G,7,FALSE),0)</f>
        <v>40</v>
      </c>
      <c r="F648" s="11" t="s">
        <v>45</v>
      </c>
      <c r="G648" s="6"/>
      <c r="H648" s="10">
        <f t="shared" si="21"/>
        <v>40</v>
      </c>
    </row>
    <row r="649" spans="1:8" x14ac:dyDescent="0.35">
      <c r="A649" s="8">
        <v>46749</v>
      </c>
      <c r="B649" s="8">
        <f t="shared" si="20"/>
        <v>46722</v>
      </c>
      <c r="C649" t="s">
        <v>25</v>
      </c>
      <c r="D649" s="5" t="s">
        <v>44</v>
      </c>
      <c r="E649" s="10">
        <f>IFERROR(VLOOKUP(C649,Assets!$A:$G,7,FALSE),0)</f>
        <v>40</v>
      </c>
      <c r="F649" s="11" t="s">
        <v>45</v>
      </c>
      <c r="G649" s="6"/>
      <c r="H649" s="10">
        <f t="shared" si="21"/>
        <v>40</v>
      </c>
    </row>
    <row r="650" spans="1:8" x14ac:dyDescent="0.35">
      <c r="A650" s="8">
        <v>46728</v>
      </c>
      <c r="B650" s="8">
        <f t="shared" si="20"/>
        <v>46722</v>
      </c>
      <c r="C650" t="s">
        <v>26</v>
      </c>
      <c r="D650" s="5" t="s">
        <v>44</v>
      </c>
      <c r="E650" s="10">
        <f>IFERROR(VLOOKUP(C650,Assets!$A:$G,7,FALSE),0)</f>
        <v>27</v>
      </c>
      <c r="F650" s="11" t="s">
        <v>45</v>
      </c>
      <c r="G650" s="6"/>
      <c r="H650" s="10">
        <f t="shared" si="21"/>
        <v>27</v>
      </c>
    </row>
    <row r="651" spans="1:8" x14ac:dyDescent="0.35">
      <c r="A651" s="8">
        <v>46735</v>
      </c>
      <c r="B651" s="8">
        <f t="shared" si="20"/>
        <v>46722</v>
      </c>
      <c r="C651" t="s">
        <v>26</v>
      </c>
      <c r="D651" s="5" t="s">
        <v>44</v>
      </c>
      <c r="E651" s="10">
        <f>IFERROR(VLOOKUP(C651,Assets!$A:$G,7,FALSE),0)</f>
        <v>27</v>
      </c>
      <c r="F651" s="11" t="s">
        <v>45</v>
      </c>
      <c r="G651" s="6"/>
      <c r="H651" s="10">
        <f t="shared" si="21"/>
        <v>27</v>
      </c>
    </row>
    <row r="652" spans="1:8" x14ac:dyDescent="0.35">
      <c r="A652" s="8">
        <v>46742</v>
      </c>
      <c r="B652" s="8">
        <f t="shared" si="20"/>
        <v>46722</v>
      </c>
      <c r="C652" t="s">
        <v>26</v>
      </c>
      <c r="D652" s="5" t="s">
        <v>44</v>
      </c>
      <c r="E652" s="10">
        <f>IFERROR(VLOOKUP(C652,Assets!$A:$G,7,FALSE),0)</f>
        <v>27</v>
      </c>
      <c r="F652" s="11" t="s">
        <v>45</v>
      </c>
      <c r="G652" s="6"/>
      <c r="H652" s="10">
        <f t="shared" si="21"/>
        <v>27</v>
      </c>
    </row>
    <row r="653" spans="1:8" x14ac:dyDescent="0.35">
      <c r="A653" s="8">
        <v>46749</v>
      </c>
      <c r="B653" s="8">
        <f t="shared" si="20"/>
        <v>46722</v>
      </c>
      <c r="C653" t="s">
        <v>26</v>
      </c>
      <c r="D653" s="5" t="s">
        <v>44</v>
      </c>
      <c r="E653" s="10">
        <f>IFERROR(VLOOKUP(C653,Assets!$A:$G,7,FALSE),0)</f>
        <v>27</v>
      </c>
      <c r="F653" s="11" t="s">
        <v>45</v>
      </c>
      <c r="G653" s="6"/>
      <c r="H653" s="10">
        <f t="shared" si="21"/>
        <v>27</v>
      </c>
    </row>
    <row r="654" spans="1:8" x14ac:dyDescent="0.35">
      <c r="A654" s="8">
        <v>46728</v>
      </c>
      <c r="B654" s="8">
        <f t="shared" si="20"/>
        <v>46722</v>
      </c>
      <c r="C654" t="s">
        <v>29</v>
      </c>
      <c r="D654" s="5" t="s">
        <v>44</v>
      </c>
      <c r="E654" s="10">
        <f>IFERROR(VLOOKUP(C654,Assets!$A:$G,7,FALSE),0)</f>
        <v>20</v>
      </c>
      <c r="F654" s="11" t="s">
        <v>45</v>
      </c>
      <c r="G654" s="6"/>
      <c r="H654" s="10">
        <f t="shared" si="21"/>
        <v>20</v>
      </c>
    </row>
    <row r="655" spans="1:8" x14ac:dyDescent="0.35">
      <c r="A655" s="8">
        <v>46735</v>
      </c>
      <c r="B655" s="8">
        <f t="shared" si="20"/>
        <v>46722</v>
      </c>
      <c r="C655" t="s">
        <v>29</v>
      </c>
      <c r="D655" s="5" t="s">
        <v>44</v>
      </c>
      <c r="E655" s="10">
        <f>IFERROR(VLOOKUP(C655,Assets!$A:$G,7,FALSE),0)</f>
        <v>20</v>
      </c>
      <c r="F655" s="11" t="s">
        <v>45</v>
      </c>
      <c r="G655" s="6"/>
      <c r="H655" s="10">
        <f t="shared" si="21"/>
        <v>20</v>
      </c>
    </row>
    <row r="656" spans="1:8" x14ac:dyDescent="0.35">
      <c r="A656" s="8">
        <v>46742</v>
      </c>
      <c r="B656" s="8">
        <f t="shared" si="20"/>
        <v>46722</v>
      </c>
      <c r="C656" t="s">
        <v>29</v>
      </c>
      <c r="D656" s="5" t="s">
        <v>44</v>
      </c>
      <c r="E656" s="10">
        <f>IFERROR(VLOOKUP(C656,Assets!$A:$G,7,FALSE),0)</f>
        <v>20</v>
      </c>
      <c r="F656" s="11" t="s">
        <v>45</v>
      </c>
      <c r="G656" s="6"/>
      <c r="H656" s="10">
        <f t="shared" si="21"/>
        <v>20</v>
      </c>
    </row>
    <row r="657" spans="1:8" x14ac:dyDescent="0.35">
      <c r="A657" s="8">
        <v>46749</v>
      </c>
      <c r="B657" s="8">
        <f t="shared" si="20"/>
        <v>46722</v>
      </c>
      <c r="C657" t="s">
        <v>29</v>
      </c>
      <c r="D657" s="5" t="s">
        <v>44</v>
      </c>
      <c r="E657" s="10">
        <f>IFERROR(VLOOKUP(C657,Assets!$A:$G,7,FALSE),0)</f>
        <v>20</v>
      </c>
      <c r="F657" s="11" t="s">
        <v>45</v>
      </c>
      <c r="G657" s="6"/>
      <c r="H657" s="10">
        <f t="shared" si="21"/>
        <v>20</v>
      </c>
    </row>
    <row r="658" spans="1:8" x14ac:dyDescent="0.35">
      <c r="A658" s="8">
        <v>46728</v>
      </c>
      <c r="B658" s="8">
        <f t="shared" si="20"/>
        <v>46722</v>
      </c>
      <c r="C658" t="s">
        <v>31</v>
      </c>
      <c r="D658" s="5" t="s">
        <v>44</v>
      </c>
      <c r="E658" s="10">
        <f>IFERROR(VLOOKUP(C658,Assets!$A:$G,7,FALSE),0)</f>
        <v>27</v>
      </c>
      <c r="F658" s="11" t="s">
        <v>45</v>
      </c>
      <c r="G658" s="6"/>
      <c r="H658" s="10">
        <f t="shared" si="21"/>
        <v>27</v>
      </c>
    </row>
    <row r="659" spans="1:8" x14ac:dyDescent="0.35">
      <c r="A659" s="8">
        <v>46735</v>
      </c>
      <c r="B659" s="8">
        <f t="shared" si="20"/>
        <v>46722</v>
      </c>
      <c r="C659" t="s">
        <v>31</v>
      </c>
      <c r="D659" s="5" t="s">
        <v>44</v>
      </c>
      <c r="E659" s="10">
        <f>IFERROR(VLOOKUP(C659,Assets!$A:$G,7,FALSE),0)</f>
        <v>27</v>
      </c>
      <c r="F659" s="11" t="s">
        <v>45</v>
      </c>
      <c r="G659" s="6"/>
      <c r="H659" s="10">
        <f t="shared" si="21"/>
        <v>27</v>
      </c>
    </row>
    <row r="660" spans="1:8" x14ac:dyDescent="0.35">
      <c r="A660" s="8">
        <v>46742</v>
      </c>
      <c r="B660" s="8">
        <f t="shared" si="20"/>
        <v>46722</v>
      </c>
      <c r="C660" t="s">
        <v>31</v>
      </c>
      <c r="D660" s="5" t="s">
        <v>44</v>
      </c>
      <c r="E660" s="10">
        <f>IFERROR(VLOOKUP(C660,Assets!$A:$G,7,FALSE),0)</f>
        <v>27</v>
      </c>
      <c r="F660" s="11" t="s">
        <v>45</v>
      </c>
      <c r="G660" s="6"/>
      <c r="H660" s="10">
        <f t="shared" si="21"/>
        <v>27</v>
      </c>
    </row>
    <row r="661" spans="1:8" x14ac:dyDescent="0.35">
      <c r="A661" s="8">
        <v>46749</v>
      </c>
      <c r="B661" s="8">
        <f t="shared" si="20"/>
        <v>46722</v>
      </c>
      <c r="C661" t="s">
        <v>31</v>
      </c>
      <c r="D661" s="5" t="s">
        <v>44</v>
      </c>
      <c r="E661" s="10">
        <f>IFERROR(VLOOKUP(C661,Assets!$A:$G,7,FALSE),0)</f>
        <v>27</v>
      </c>
      <c r="F661" s="11" t="s">
        <v>45</v>
      </c>
      <c r="G661" s="6"/>
      <c r="H661" s="10">
        <f t="shared" si="21"/>
        <v>27</v>
      </c>
    </row>
    <row r="662" spans="1:8" x14ac:dyDescent="0.35">
      <c r="A662" s="8">
        <v>46728</v>
      </c>
      <c r="B662" s="8">
        <f t="shared" si="20"/>
        <v>46722</v>
      </c>
      <c r="C662" t="s">
        <v>32</v>
      </c>
      <c r="D662" s="5" t="s">
        <v>44</v>
      </c>
      <c r="E662" s="10">
        <f>IFERROR(VLOOKUP(C662,Assets!$A:$G,7,FALSE),0)</f>
        <v>45</v>
      </c>
      <c r="F662" s="11" t="s">
        <v>45</v>
      </c>
      <c r="G662" s="6"/>
      <c r="H662" s="10">
        <f t="shared" si="21"/>
        <v>45</v>
      </c>
    </row>
    <row r="663" spans="1:8" x14ac:dyDescent="0.35">
      <c r="A663" s="8">
        <v>46735</v>
      </c>
      <c r="B663" s="8">
        <f t="shared" si="20"/>
        <v>46722</v>
      </c>
      <c r="C663" t="s">
        <v>32</v>
      </c>
      <c r="D663" s="5" t="s">
        <v>44</v>
      </c>
      <c r="E663" s="10">
        <f>IFERROR(VLOOKUP(C663,Assets!$A:$G,7,FALSE),0)</f>
        <v>45</v>
      </c>
      <c r="F663" s="11" t="s">
        <v>45</v>
      </c>
      <c r="G663" s="6"/>
      <c r="H663" s="10">
        <f t="shared" si="21"/>
        <v>45</v>
      </c>
    </row>
    <row r="664" spans="1:8" x14ac:dyDescent="0.35">
      <c r="A664" s="8">
        <v>46742</v>
      </c>
      <c r="B664" s="8">
        <f t="shared" si="20"/>
        <v>46722</v>
      </c>
      <c r="C664" t="s">
        <v>32</v>
      </c>
      <c r="D664" s="5" t="s">
        <v>44</v>
      </c>
      <c r="E664" s="10">
        <f>IFERROR(VLOOKUP(C664,Assets!$A:$G,7,FALSE),0)</f>
        <v>45</v>
      </c>
      <c r="F664" s="11" t="s">
        <v>45</v>
      </c>
      <c r="G664" s="6"/>
      <c r="H664" s="10">
        <f t="shared" si="21"/>
        <v>45</v>
      </c>
    </row>
    <row r="665" spans="1:8" x14ac:dyDescent="0.35">
      <c r="A665" s="8">
        <v>46749</v>
      </c>
      <c r="B665" s="8">
        <f t="shared" si="20"/>
        <v>46722</v>
      </c>
      <c r="C665" t="s">
        <v>32</v>
      </c>
      <c r="D665" s="5" t="s">
        <v>44</v>
      </c>
      <c r="E665" s="10">
        <f>IFERROR(VLOOKUP(C665,Assets!$A:$G,7,FALSE),0)</f>
        <v>45</v>
      </c>
      <c r="F665" s="11" t="s">
        <v>45</v>
      </c>
      <c r="G665" s="6"/>
      <c r="H665" s="10">
        <f t="shared" si="21"/>
        <v>45</v>
      </c>
    </row>
    <row r="666" spans="1:8" x14ac:dyDescent="0.35">
      <c r="A666" s="8">
        <v>46728</v>
      </c>
      <c r="B666" s="8">
        <f t="shared" si="20"/>
        <v>46722</v>
      </c>
      <c r="C666" t="s">
        <v>33</v>
      </c>
      <c r="D666" s="5" t="s">
        <v>44</v>
      </c>
      <c r="E666" s="10">
        <f>IFERROR(VLOOKUP(C666,Assets!$A:$G,7,FALSE),0)</f>
        <v>41</v>
      </c>
      <c r="F666" s="11" t="s">
        <v>45</v>
      </c>
      <c r="G666" s="6"/>
      <c r="H666" s="10">
        <f t="shared" si="21"/>
        <v>41</v>
      </c>
    </row>
    <row r="667" spans="1:8" x14ac:dyDescent="0.35">
      <c r="A667" s="8">
        <v>46735</v>
      </c>
      <c r="B667" s="8">
        <f t="shared" si="20"/>
        <v>46722</v>
      </c>
      <c r="C667" t="s">
        <v>33</v>
      </c>
      <c r="D667" s="5" t="s">
        <v>44</v>
      </c>
      <c r="E667" s="10">
        <f>IFERROR(VLOOKUP(C667,Assets!$A:$G,7,FALSE),0)</f>
        <v>41</v>
      </c>
      <c r="F667" s="11" t="s">
        <v>45</v>
      </c>
      <c r="G667" s="6"/>
      <c r="H667" s="10">
        <f t="shared" si="21"/>
        <v>41</v>
      </c>
    </row>
    <row r="668" spans="1:8" x14ac:dyDescent="0.35">
      <c r="A668" s="8">
        <v>46742</v>
      </c>
      <c r="B668" s="8">
        <f t="shared" si="20"/>
        <v>46722</v>
      </c>
      <c r="C668" t="s">
        <v>33</v>
      </c>
      <c r="D668" s="5" t="s">
        <v>44</v>
      </c>
      <c r="E668" s="10">
        <f>IFERROR(VLOOKUP(C668,Assets!$A:$G,7,FALSE),0)</f>
        <v>41</v>
      </c>
      <c r="F668" s="11" t="s">
        <v>45</v>
      </c>
      <c r="G668" s="6"/>
      <c r="H668" s="10">
        <f t="shared" si="21"/>
        <v>41</v>
      </c>
    </row>
    <row r="669" spans="1:8" x14ac:dyDescent="0.35">
      <c r="A669" s="8">
        <v>46749</v>
      </c>
      <c r="B669" s="8">
        <f t="shared" si="20"/>
        <v>46722</v>
      </c>
      <c r="C669" t="s">
        <v>33</v>
      </c>
      <c r="D669" s="5" t="s">
        <v>44</v>
      </c>
      <c r="E669" s="10">
        <f>IFERROR(VLOOKUP(C669,Assets!$A:$G,7,FALSE),0)</f>
        <v>41</v>
      </c>
      <c r="F669" s="11" t="s">
        <v>45</v>
      </c>
      <c r="G669" s="6"/>
      <c r="H669" s="10">
        <f t="shared" si="21"/>
        <v>41</v>
      </c>
    </row>
    <row r="670" spans="1:8" x14ac:dyDescent="0.35">
      <c r="A670" s="8">
        <v>46728</v>
      </c>
      <c r="B670" s="8">
        <f t="shared" si="20"/>
        <v>46722</v>
      </c>
      <c r="C670" t="s">
        <v>34</v>
      </c>
      <c r="D670" s="5" t="s">
        <v>44</v>
      </c>
      <c r="E670" s="10">
        <f>IFERROR(VLOOKUP(C670,Assets!$A:$G,7,FALSE),0)</f>
        <v>15</v>
      </c>
      <c r="F670" s="11" t="s">
        <v>45</v>
      </c>
      <c r="G670" s="6"/>
      <c r="H670" s="10">
        <f t="shared" si="21"/>
        <v>15</v>
      </c>
    </row>
    <row r="671" spans="1:8" x14ac:dyDescent="0.35">
      <c r="A671" s="8">
        <v>46735</v>
      </c>
      <c r="B671" s="8">
        <f t="shared" si="20"/>
        <v>46722</v>
      </c>
      <c r="C671" t="s">
        <v>34</v>
      </c>
      <c r="D671" s="5" t="s">
        <v>44</v>
      </c>
      <c r="E671" s="10">
        <f>IFERROR(VLOOKUP(C671,Assets!$A:$G,7,FALSE),0)</f>
        <v>15</v>
      </c>
      <c r="F671" s="11" t="s">
        <v>45</v>
      </c>
      <c r="G671" s="6"/>
      <c r="H671" s="10">
        <f t="shared" si="21"/>
        <v>15</v>
      </c>
    </row>
    <row r="672" spans="1:8" x14ac:dyDescent="0.35">
      <c r="A672" s="8">
        <v>46742</v>
      </c>
      <c r="B672" s="8">
        <f t="shared" si="20"/>
        <v>46722</v>
      </c>
      <c r="C672" t="s">
        <v>34</v>
      </c>
      <c r="D672" s="5" t="s">
        <v>44</v>
      </c>
      <c r="E672" s="10">
        <f>IFERROR(VLOOKUP(C672,Assets!$A:$G,7,FALSE),0)</f>
        <v>15</v>
      </c>
      <c r="F672" s="11" t="s">
        <v>45</v>
      </c>
      <c r="G672" s="6"/>
      <c r="H672" s="10">
        <f t="shared" si="21"/>
        <v>15</v>
      </c>
    </row>
    <row r="673" spans="1:8" x14ac:dyDescent="0.35">
      <c r="A673" s="8">
        <v>46749</v>
      </c>
      <c r="B673" s="8">
        <f t="shared" si="20"/>
        <v>46722</v>
      </c>
      <c r="C673" t="s">
        <v>34</v>
      </c>
      <c r="D673" s="5" t="s">
        <v>44</v>
      </c>
      <c r="E673" s="10">
        <f>IFERROR(VLOOKUP(C673,Assets!$A:$G,7,FALSE),0)</f>
        <v>15</v>
      </c>
      <c r="F673" s="11" t="s">
        <v>45</v>
      </c>
      <c r="G673" s="6"/>
      <c r="H673" s="10">
        <f t="shared" si="21"/>
        <v>15</v>
      </c>
    </row>
    <row r="674" spans="1:8" x14ac:dyDescent="0.35">
      <c r="A674" s="8">
        <v>46759</v>
      </c>
      <c r="B674" s="8">
        <f t="shared" si="20"/>
        <v>46753</v>
      </c>
      <c r="C674" t="s">
        <v>20</v>
      </c>
      <c r="D674" s="5" t="s">
        <v>44</v>
      </c>
      <c r="E674" s="10">
        <f>IFERROR(VLOOKUP(C674,Assets!$A:$G,7,FALSE),0)</f>
        <v>160</v>
      </c>
      <c r="F674" s="11" t="s">
        <v>45</v>
      </c>
      <c r="G674" s="6"/>
      <c r="H674" s="10">
        <f t="shared" si="21"/>
        <v>160</v>
      </c>
    </row>
    <row r="675" spans="1:8" x14ac:dyDescent="0.35">
      <c r="A675" s="8">
        <v>46766</v>
      </c>
      <c r="B675" s="8">
        <f t="shared" si="20"/>
        <v>46753</v>
      </c>
      <c r="C675" t="s">
        <v>20</v>
      </c>
      <c r="D675" s="5" t="s">
        <v>44</v>
      </c>
      <c r="E675" s="10">
        <f>IFERROR(VLOOKUP(C675,Assets!$A:$G,7,FALSE),0)</f>
        <v>160</v>
      </c>
      <c r="F675" s="11" t="s">
        <v>45</v>
      </c>
      <c r="G675" s="6"/>
      <c r="H675" s="10">
        <f t="shared" si="21"/>
        <v>160</v>
      </c>
    </row>
    <row r="676" spans="1:8" x14ac:dyDescent="0.35">
      <c r="A676" s="8">
        <v>46773</v>
      </c>
      <c r="B676" s="8">
        <f t="shared" si="20"/>
        <v>46753</v>
      </c>
      <c r="C676" t="s">
        <v>20</v>
      </c>
      <c r="D676" s="5" t="s">
        <v>44</v>
      </c>
      <c r="E676" s="10">
        <f>IFERROR(VLOOKUP(C676,Assets!$A:$G,7,FALSE),0)</f>
        <v>160</v>
      </c>
      <c r="F676" s="11" t="s">
        <v>45</v>
      </c>
      <c r="G676" s="6"/>
      <c r="H676" s="10">
        <f t="shared" si="21"/>
        <v>160</v>
      </c>
    </row>
    <row r="677" spans="1:8" x14ac:dyDescent="0.35">
      <c r="A677" s="8">
        <v>46780</v>
      </c>
      <c r="B677" s="8">
        <f t="shared" si="20"/>
        <v>46753</v>
      </c>
      <c r="C677" t="s">
        <v>20</v>
      </c>
      <c r="D677" s="5" t="s">
        <v>44</v>
      </c>
      <c r="E677" s="10">
        <f>IFERROR(VLOOKUP(C677,Assets!$A:$G,7,FALSE),0)</f>
        <v>160</v>
      </c>
      <c r="F677" s="11" t="s">
        <v>45</v>
      </c>
      <c r="G677" s="6"/>
      <c r="H677" s="10">
        <f t="shared" si="21"/>
        <v>160</v>
      </c>
    </row>
    <row r="678" spans="1:8" x14ac:dyDescent="0.35">
      <c r="A678" s="8">
        <v>46759</v>
      </c>
      <c r="B678" s="8">
        <f t="shared" si="20"/>
        <v>46753</v>
      </c>
      <c r="C678" t="s">
        <v>25</v>
      </c>
      <c r="D678" s="5" t="s">
        <v>44</v>
      </c>
      <c r="E678" s="10">
        <f>IFERROR(VLOOKUP(C678,Assets!$A:$G,7,FALSE),0)</f>
        <v>40</v>
      </c>
      <c r="F678" s="11" t="s">
        <v>45</v>
      </c>
      <c r="G678" s="6"/>
      <c r="H678" s="10">
        <f t="shared" si="21"/>
        <v>40</v>
      </c>
    </row>
    <row r="679" spans="1:8" x14ac:dyDescent="0.35">
      <c r="A679" s="8">
        <v>46766</v>
      </c>
      <c r="B679" s="8">
        <f t="shared" si="20"/>
        <v>46753</v>
      </c>
      <c r="C679" t="s">
        <v>25</v>
      </c>
      <c r="D679" s="5" t="s">
        <v>44</v>
      </c>
      <c r="E679" s="10">
        <f>IFERROR(VLOOKUP(C679,Assets!$A:$G,7,FALSE),0)</f>
        <v>40</v>
      </c>
      <c r="F679" s="11" t="s">
        <v>45</v>
      </c>
      <c r="G679" s="6"/>
      <c r="H679" s="10">
        <f t="shared" si="21"/>
        <v>40</v>
      </c>
    </row>
    <row r="680" spans="1:8" x14ac:dyDescent="0.35">
      <c r="A680" s="8">
        <v>46773</v>
      </c>
      <c r="B680" s="8">
        <f t="shared" si="20"/>
        <v>46753</v>
      </c>
      <c r="C680" t="s">
        <v>25</v>
      </c>
      <c r="D680" s="5" t="s">
        <v>44</v>
      </c>
      <c r="E680" s="10">
        <f>IFERROR(VLOOKUP(C680,Assets!$A:$G,7,FALSE),0)</f>
        <v>40</v>
      </c>
      <c r="F680" s="11" t="s">
        <v>45</v>
      </c>
      <c r="G680" s="6"/>
      <c r="H680" s="10">
        <f t="shared" si="21"/>
        <v>40</v>
      </c>
    </row>
    <row r="681" spans="1:8" x14ac:dyDescent="0.35">
      <c r="A681" s="8">
        <v>46780</v>
      </c>
      <c r="B681" s="8">
        <f t="shared" si="20"/>
        <v>46753</v>
      </c>
      <c r="C681" t="s">
        <v>25</v>
      </c>
      <c r="D681" s="5" t="s">
        <v>44</v>
      </c>
      <c r="E681" s="10">
        <f>IFERROR(VLOOKUP(C681,Assets!$A:$G,7,FALSE),0)</f>
        <v>40</v>
      </c>
      <c r="F681" s="11" t="s">
        <v>45</v>
      </c>
      <c r="G681" s="6"/>
      <c r="H681" s="10">
        <f t="shared" si="21"/>
        <v>40</v>
      </c>
    </row>
    <row r="682" spans="1:8" x14ac:dyDescent="0.35">
      <c r="A682" s="8">
        <v>46759</v>
      </c>
      <c r="B682" s="8">
        <f t="shared" si="20"/>
        <v>46753</v>
      </c>
      <c r="C682" t="s">
        <v>26</v>
      </c>
      <c r="D682" s="5" t="s">
        <v>44</v>
      </c>
      <c r="E682" s="10">
        <f>IFERROR(VLOOKUP(C682,Assets!$A:$G,7,FALSE),0)</f>
        <v>27</v>
      </c>
      <c r="F682" s="11" t="s">
        <v>45</v>
      </c>
      <c r="G682" s="6"/>
      <c r="H682" s="10">
        <f t="shared" si="21"/>
        <v>27</v>
      </c>
    </row>
    <row r="683" spans="1:8" x14ac:dyDescent="0.35">
      <c r="A683" s="8">
        <v>46766</v>
      </c>
      <c r="B683" s="8">
        <f t="shared" si="20"/>
        <v>46753</v>
      </c>
      <c r="C683" t="s">
        <v>26</v>
      </c>
      <c r="D683" s="5" t="s">
        <v>44</v>
      </c>
      <c r="E683" s="10">
        <f>IFERROR(VLOOKUP(C683,Assets!$A:$G,7,FALSE),0)</f>
        <v>27</v>
      </c>
      <c r="F683" s="11" t="s">
        <v>45</v>
      </c>
      <c r="G683" s="6"/>
      <c r="H683" s="10">
        <f t="shared" si="21"/>
        <v>27</v>
      </c>
    </row>
    <row r="684" spans="1:8" x14ac:dyDescent="0.35">
      <c r="A684" s="8">
        <v>46773</v>
      </c>
      <c r="B684" s="8">
        <f t="shared" si="20"/>
        <v>46753</v>
      </c>
      <c r="C684" t="s">
        <v>26</v>
      </c>
      <c r="D684" s="5" t="s">
        <v>44</v>
      </c>
      <c r="E684" s="10">
        <f>IFERROR(VLOOKUP(C684,Assets!$A:$G,7,FALSE),0)</f>
        <v>27</v>
      </c>
      <c r="F684" s="11" t="s">
        <v>45</v>
      </c>
      <c r="G684" s="6"/>
      <c r="H684" s="10">
        <f t="shared" si="21"/>
        <v>27</v>
      </c>
    </row>
    <row r="685" spans="1:8" x14ac:dyDescent="0.35">
      <c r="A685" s="8">
        <v>46780</v>
      </c>
      <c r="B685" s="8">
        <f t="shared" si="20"/>
        <v>46753</v>
      </c>
      <c r="C685" t="s">
        <v>26</v>
      </c>
      <c r="D685" s="5" t="s">
        <v>44</v>
      </c>
      <c r="E685" s="10">
        <f>IFERROR(VLOOKUP(C685,Assets!$A:$G,7,FALSE),0)</f>
        <v>27</v>
      </c>
      <c r="F685" s="11" t="s">
        <v>45</v>
      </c>
      <c r="G685" s="6"/>
      <c r="H685" s="10">
        <f t="shared" si="21"/>
        <v>27</v>
      </c>
    </row>
    <row r="686" spans="1:8" x14ac:dyDescent="0.35">
      <c r="A686" s="8">
        <v>46759</v>
      </c>
      <c r="B686" s="8">
        <f t="shared" si="20"/>
        <v>46753</v>
      </c>
      <c r="C686" t="s">
        <v>29</v>
      </c>
      <c r="D686" s="5" t="s">
        <v>44</v>
      </c>
      <c r="E686" s="10">
        <f>IFERROR(VLOOKUP(C686,Assets!$A:$G,7,FALSE),0)</f>
        <v>20</v>
      </c>
      <c r="F686" s="11" t="s">
        <v>45</v>
      </c>
      <c r="G686" s="6"/>
      <c r="H686" s="10">
        <f t="shared" si="21"/>
        <v>20</v>
      </c>
    </row>
    <row r="687" spans="1:8" x14ac:dyDescent="0.35">
      <c r="A687" s="8">
        <v>46766</v>
      </c>
      <c r="B687" s="8">
        <f t="shared" si="20"/>
        <v>46753</v>
      </c>
      <c r="C687" t="s">
        <v>29</v>
      </c>
      <c r="D687" s="5" t="s">
        <v>44</v>
      </c>
      <c r="E687" s="10">
        <f>IFERROR(VLOOKUP(C687,Assets!$A:$G,7,FALSE),0)</f>
        <v>20</v>
      </c>
      <c r="F687" s="11" t="s">
        <v>45</v>
      </c>
      <c r="G687" s="6"/>
      <c r="H687" s="10">
        <f t="shared" si="21"/>
        <v>20</v>
      </c>
    </row>
    <row r="688" spans="1:8" x14ac:dyDescent="0.35">
      <c r="A688" s="8">
        <v>46773</v>
      </c>
      <c r="B688" s="8">
        <f t="shared" si="20"/>
        <v>46753</v>
      </c>
      <c r="C688" t="s">
        <v>29</v>
      </c>
      <c r="D688" s="5" t="s">
        <v>44</v>
      </c>
      <c r="E688" s="10">
        <f>IFERROR(VLOOKUP(C688,Assets!$A:$G,7,FALSE),0)</f>
        <v>20</v>
      </c>
      <c r="F688" s="11" t="s">
        <v>45</v>
      </c>
      <c r="G688" s="6"/>
      <c r="H688" s="10">
        <f t="shared" si="21"/>
        <v>20</v>
      </c>
    </row>
    <row r="689" spans="1:8" x14ac:dyDescent="0.35">
      <c r="A689" s="8">
        <v>46780</v>
      </c>
      <c r="B689" s="8">
        <f t="shared" si="20"/>
        <v>46753</v>
      </c>
      <c r="C689" t="s">
        <v>29</v>
      </c>
      <c r="D689" s="5" t="s">
        <v>44</v>
      </c>
      <c r="E689" s="10">
        <f>IFERROR(VLOOKUP(C689,Assets!$A:$G,7,FALSE),0)</f>
        <v>20</v>
      </c>
      <c r="F689" s="11" t="s">
        <v>45</v>
      </c>
      <c r="G689" s="6"/>
      <c r="H689" s="10">
        <f t="shared" si="21"/>
        <v>20</v>
      </c>
    </row>
    <row r="690" spans="1:8" x14ac:dyDescent="0.35">
      <c r="A690" s="8">
        <v>46759</v>
      </c>
      <c r="B690" s="8">
        <f t="shared" si="20"/>
        <v>46753</v>
      </c>
      <c r="C690" t="s">
        <v>31</v>
      </c>
      <c r="D690" s="5" t="s">
        <v>44</v>
      </c>
      <c r="E690" s="10">
        <f>IFERROR(VLOOKUP(C690,Assets!$A:$G,7,FALSE),0)</f>
        <v>27</v>
      </c>
      <c r="F690" s="11" t="s">
        <v>45</v>
      </c>
      <c r="G690" s="6"/>
      <c r="H690" s="10">
        <f t="shared" si="21"/>
        <v>27</v>
      </c>
    </row>
    <row r="691" spans="1:8" x14ac:dyDescent="0.35">
      <c r="A691" s="8">
        <v>46766</v>
      </c>
      <c r="B691" s="8">
        <f t="shared" si="20"/>
        <v>46753</v>
      </c>
      <c r="C691" t="s">
        <v>31</v>
      </c>
      <c r="D691" s="5" t="s">
        <v>44</v>
      </c>
      <c r="E691" s="10">
        <f>IFERROR(VLOOKUP(C691,Assets!$A:$G,7,FALSE),0)</f>
        <v>27</v>
      </c>
      <c r="F691" s="11" t="s">
        <v>45</v>
      </c>
      <c r="G691" s="6"/>
      <c r="H691" s="10">
        <f t="shared" si="21"/>
        <v>27</v>
      </c>
    </row>
    <row r="692" spans="1:8" x14ac:dyDescent="0.35">
      <c r="A692" s="8">
        <v>46773</v>
      </c>
      <c r="B692" s="8">
        <f t="shared" si="20"/>
        <v>46753</v>
      </c>
      <c r="C692" t="s">
        <v>31</v>
      </c>
      <c r="D692" s="5" t="s">
        <v>44</v>
      </c>
      <c r="E692" s="10">
        <f>IFERROR(VLOOKUP(C692,Assets!$A:$G,7,FALSE),0)</f>
        <v>27</v>
      </c>
      <c r="F692" s="11" t="s">
        <v>45</v>
      </c>
      <c r="G692" s="6"/>
      <c r="H692" s="10">
        <f t="shared" si="21"/>
        <v>27</v>
      </c>
    </row>
    <row r="693" spans="1:8" x14ac:dyDescent="0.35">
      <c r="A693" s="8">
        <v>46780</v>
      </c>
      <c r="B693" s="8">
        <f t="shared" si="20"/>
        <v>46753</v>
      </c>
      <c r="C693" t="s">
        <v>31</v>
      </c>
      <c r="D693" s="5" t="s">
        <v>44</v>
      </c>
      <c r="E693" s="10">
        <f>IFERROR(VLOOKUP(C693,Assets!$A:$G,7,FALSE),0)</f>
        <v>27</v>
      </c>
      <c r="F693" s="11" t="s">
        <v>45</v>
      </c>
      <c r="G693" s="6"/>
      <c r="H693" s="10">
        <f t="shared" si="21"/>
        <v>27</v>
      </c>
    </row>
    <row r="694" spans="1:8" x14ac:dyDescent="0.35">
      <c r="A694" s="8">
        <v>46759</v>
      </c>
      <c r="B694" s="8">
        <f t="shared" si="20"/>
        <v>46753</v>
      </c>
      <c r="C694" t="s">
        <v>32</v>
      </c>
      <c r="D694" s="5" t="s">
        <v>44</v>
      </c>
      <c r="E694" s="10">
        <f>IFERROR(VLOOKUP(C694,Assets!$A:$G,7,FALSE),0)</f>
        <v>45</v>
      </c>
      <c r="F694" s="11" t="s">
        <v>45</v>
      </c>
      <c r="G694" s="6"/>
      <c r="H694" s="10">
        <f t="shared" si="21"/>
        <v>45</v>
      </c>
    </row>
    <row r="695" spans="1:8" x14ac:dyDescent="0.35">
      <c r="A695" s="8">
        <v>46766</v>
      </c>
      <c r="B695" s="8">
        <f t="shared" si="20"/>
        <v>46753</v>
      </c>
      <c r="C695" t="s">
        <v>32</v>
      </c>
      <c r="D695" s="5" t="s">
        <v>44</v>
      </c>
      <c r="E695" s="10">
        <f>IFERROR(VLOOKUP(C695,Assets!$A:$G,7,FALSE),0)</f>
        <v>45</v>
      </c>
      <c r="F695" s="11" t="s">
        <v>45</v>
      </c>
      <c r="G695" s="6"/>
      <c r="H695" s="10">
        <f t="shared" si="21"/>
        <v>45</v>
      </c>
    </row>
    <row r="696" spans="1:8" x14ac:dyDescent="0.35">
      <c r="A696" s="8">
        <v>46773</v>
      </c>
      <c r="B696" s="8">
        <f t="shared" si="20"/>
        <v>46753</v>
      </c>
      <c r="C696" t="s">
        <v>32</v>
      </c>
      <c r="D696" s="5" t="s">
        <v>44</v>
      </c>
      <c r="E696" s="10">
        <f>IFERROR(VLOOKUP(C696,Assets!$A:$G,7,FALSE),0)</f>
        <v>45</v>
      </c>
      <c r="F696" s="11" t="s">
        <v>45</v>
      </c>
      <c r="G696" s="6"/>
      <c r="H696" s="10">
        <f t="shared" si="21"/>
        <v>45</v>
      </c>
    </row>
    <row r="697" spans="1:8" x14ac:dyDescent="0.35">
      <c r="A697" s="8">
        <v>46780</v>
      </c>
      <c r="B697" s="8">
        <f t="shared" si="20"/>
        <v>46753</v>
      </c>
      <c r="C697" t="s">
        <v>32</v>
      </c>
      <c r="D697" s="5" t="s">
        <v>44</v>
      </c>
      <c r="E697" s="10">
        <f>IFERROR(VLOOKUP(C697,Assets!$A:$G,7,FALSE),0)</f>
        <v>45</v>
      </c>
      <c r="F697" s="11" t="s">
        <v>45</v>
      </c>
      <c r="G697" s="6"/>
      <c r="H697" s="10">
        <f t="shared" si="21"/>
        <v>45</v>
      </c>
    </row>
    <row r="698" spans="1:8" x14ac:dyDescent="0.35">
      <c r="A698" s="8">
        <v>46759</v>
      </c>
      <c r="B698" s="8">
        <f t="shared" si="20"/>
        <v>46753</v>
      </c>
      <c r="C698" t="s">
        <v>33</v>
      </c>
      <c r="D698" s="5" t="s">
        <v>44</v>
      </c>
      <c r="E698" s="10">
        <f>IFERROR(VLOOKUP(C698,Assets!$A:$G,7,FALSE),0)</f>
        <v>41</v>
      </c>
      <c r="F698" s="11" t="s">
        <v>45</v>
      </c>
      <c r="G698" s="6"/>
      <c r="H698" s="10">
        <f t="shared" si="21"/>
        <v>41</v>
      </c>
    </row>
    <row r="699" spans="1:8" x14ac:dyDescent="0.35">
      <c r="A699" s="8">
        <v>46766</v>
      </c>
      <c r="B699" s="8">
        <f t="shared" si="20"/>
        <v>46753</v>
      </c>
      <c r="C699" t="s">
        <v>33</v>
      </c>
      <c r="D699" s="5" t="s">
        <v>44</v>
      </c>
      <c r="E699" s="10">
        <f>IFERROR(VLOOKUP(C699,Assets!$A:$G,7,FALSE),0)</f>
        <v>41</v>
      </c>
      <c r="F699" s="11" t="s">
        <v>45</v>
      </c>
      <c r="G699" s="6"/>
      <c r="H699" s="10">
        <f t="shared" si="21"/>
        <v>41</v>
      </c>
    </row>
    <row r="700" spans="1:8" x14ac:dyDescent="0.35">
      <c r="A700" s="8">
        <v>46773</v>
      </c>
      <c r="B700" s="8">
        <f t="shared" si="20"/>
        <v>46753</v>
      </c>
      <c r="C700" t="s">
        <v>33</v>
      </c>
      <c r="D700" s="5" t="s">
        <v>44</v>
      </c>
      <c r="E700" s="10">
        <f>IFERROR(VLOOKUP(C700,Assets!$A:$G,7,FALSE),0)</f>
        <v>41</v>
      </c>
      <c r="F700" s="11" t="s">
        <v>45</v>
      </c>
      <c r="G700" s="6"/>
      <c r="H700" s="10">
        <f t="shared" si="21"/>
        <v>41</v>
      </c>
    </row>
    <row r="701" spans="1:8" x14ac:dyDescent="0.35">
      <c r="A701" s="8">
        <v>46780</v>
      </c>
      <c r="B701" s="8">
        <f t="shared" si="20"/>
        <v>46753</v>
      </c>
      <c r="C701" t="s">
        <v>33</v>
      </c>
      <c r="D701" s="5" t="s">
        <v>44</v>
      </c>
      <c r="E701" s="10">
        <f>IFERROR(VLOOKUP(C701,Assets!$A:$G,7,FALSE),0)</f>
        <v>41</v>
      </c>
      <c r="F701" s="11" t="s">
        <v>45</v>
      </c>
      <c r="G701" s="6"/>
      <c r="H701" s="10">
        <f t="shared" si="21"/>
        <v>41</v>
      </c>
    </row>
    <row r="702" spans="1:8" x14ac:dyDescent="0.35">
      <c r="A702" s="8">
        <v>46759</v>
      </c>
      <c r="B702" s="8">
        <f t="shared" si="20"/>
        <v>46753</v>
      </c>
      <c r="C702" t="s">
        <v>34</v>
      </c>
      <c r="D702" s="5" t="s">
        <v>44</v>
      </c>
      <c r="E702" s="10">
        <f>IFERROR(VLOOKUP(C702,Assets!$A:$G,7,FALSE),0)</f>
        <v>15</v>
      </c>
      <c r="F702" s="11" t="s">
        <v>45</v>
      </c>
      <c r="G702" s="6"/>
      <c r="H702" s="10">
        <f t="shared" si="21"/>
        <v>15</v>
      </c>
    </row>
    <row r="703" spans="1:8" x14ac:dyDescent="0.35">
      <c r="A703" s="8">
        <v>46766</v>
      </c>
      <c r="B703" s="8">
        <f t="shared" si="20"/>
        <v>46753</v>
      </c>
      <c r="C703" t="s">
        <v>34</v>
      </c>
      <c r="D703" s="5" t="s">
        <v>44</v>
      </c>
      <c r="E703" s="10">
        <f>IFERROR(VLOOKUP(C703,Assets!$A:$G,7,FALSE),0)</f>
        <v>15</v>
      </c>
      <c r="F703" s="11" t="s">
        <v>45</v>
      </c>
      <c r="G703" s="6"/>
      <c r="H703" s="10">
        <f t="shared" si="21"/>
        <v>15</v>
      </c>
    </row>
    <row r="704" spans="1:8" x14ac:dyDescent="0.35">
      <c r="A704" s="8">
        <v>46773</v>
      </c>
      <c r="B704" s="8">
        <f t="shared" si="20"/>
        <v>46753</v>
      </c>
      <c r="C704" t="s">
        <v>34</v>
      </c>
      <c r="D704" s="5" t="s">
        <v>44</v>
      </c>
      <c r="E704" s="10">
        <f>IFERROR(VLOOKUP(C704,Assets!$A:$G,7,FALSE),0)</f>
        <v>15</v>
      </c>
      <c r="F704" s="11" t="s">
        <v>45</v>
      </c>
      <c r="G704" s="6"/>
      <c r="H704" s="10">
        <f t="shared" si="21"/>
        <v>15</v>
      </c>
    </row>
    <row r="705" spans="1:8" x14ac:dyDescent="0.35">
      <c r="A705" s="8">
        <v>46780</v>
      </c>
      <c r="B705" s="8">
        <f t="shared" si="20"/>
        <v>46753</v>
      </c>
      <c r="C705" t="s">
        <v>34</v>
      </c>
      <c r="D705" s="5" t="s">
        <v>44</v>
      </c>
      <c r="E705" s="10">
        <f>IFERROR(VLOOKUP(C705,Assets!$A:$G,7,FALSE),0)</f>
        <v>15</v>
      </c>
      <c r="F705" s="11" t="s">
        <v>45</v>
      </c>
      <c r="G705" s="6"/>
      <c r="H705" s="10">
        <f t="shared" si="21"/>
        <v>15</v>
      </c>
    </row>
    <row r="706" spans="1:8" x14ac:dyDescent="0.35">
      <c r="A706" s="8">
        <v>46790</v>
      </c>
      <c r="B706" s="8">
        <f t="shared" ref="B706:B769" si="22">DATE(YEAR(A706),MONTH(A706),1)</f>
        <v>46784</v>
      </c>
      <c r="C706" t="s">
        <v>20</v>
      </c>
      <c r="D706" s="5" t="s">
        <v>44</v>
      </c>
      <c r="E706" s="10">
        <f>IFERROR(VLOOKUP(C706,Assets!$A:$G,7,FALSE),0)</f>
        <v>160</v>
      </c>
      <c r="F706" s="11" t="s">
        <v>45</v>
      </c>
      <c r="G706" s="6"/>
      <c r="H706" s="10">
        <f t="shared" ref="H706:H769" si="23">IF(F706="No",0,IF(F706="Edited",IF(G706="",E706,G706),E706))</f>
        <v>160</v>
      </c>
    </row>
    <row r="707" spans="1:8" x14ac:dyDescent="0.35">
      <c r="A707" s="8">
        <v>46797</v>
      </c>
      <c r="B707" s="8">
        <f t="shared" si="22"/>
        <v>46784</v>
      </c>
      <c r="C707" t="s">
        <v>20</v>
      </c>
      <c r="D707" s="5" t="s">
        <v>44</v>
      </c>
      <c r="E707" s="10">
        <f>IFERROR(VLOOKUP(C707,Assets!$A:$G,7,FALSE),0)</f>
        <v>160</v>
      </c>
      <c r="F707" s="11" t="s">
        <v>45</v>
      </c>
      <c r="G707" s="6"/>
      <c r="H707" s="10">
        <f t="shared" si="23"/>
        <v>160</v>
      </c>
    </row>
    <row r="708" spans="1:8" x14ac:dyDescent="0.35">
      <c r="A708" s="8">
        <v>46804</v>
      </c>
      <c r="B708" s="8">
        <f t="shared" si="22"/>
        <v>46784</v>
      </c>
      <c r="C708" t="s">
        <v>20</v>
      </c>
      <c r="D708" s="5" t="s">
        <v>44</v>
      </c>
      <c r="E708" s="10">
        <f>IFERROR(VLOOKUP(C708,Assets!$A:$G,7,FALSE),0)</f>
        <v>160</v>
      </c>
      <c r="F708" s="11" t="s">
        <v>45</v>
      </c>
      <c r="G708" s="6"/>
      <c r="H708" s="10">
        <f t="shared" si="23"/>
        <v>160</v>
      </c>
    </row>
    <row r="709" spans="1:8" x14ac:dyDescent="0.35">
      <c r="A709" s="8">
        <v>46811</v>
      </c>
      <c r="B709" s="8">
        <f t="shared" si="22"/>
        <v>46784</v>
      </c>
      <c r="C709" t="s">
        <v>20</v>
      </c>
      <c r="D709" s="5" t="s">
        <v>44</v>
      </c>
      <c r="E709" s="10">
        <f>IFERROR(VLOOKUP(C709,Assets!$A:$G,7,FALSE),0)</f>
        <v>160</v>
      </c>
      <c r="F709" s="11" t="s">
        <v>45</v>
      </c>
      <c r="G709" s="6"/>
      <c r="H709" s="10">
        <f t="shared" si="23"/>
        <v>160</v>
      </c>
    </row>
    <row r="710" spans="1:8" x14ac:dyDescent="0.35">
      <c r="A710" s="8">
        <v>46790</v>
      </c>
      <c r="B710" s="8">
        <f t="shared" si="22"/>
        <v>46784</v>
      </c>
      <c r="C710" t="s">
        <v>25</v>
      </c>
      <c r="D710" s="5" t="s">
        <v>44</v>
      </c>
      <c r="E710" s="10">
        <f>IFERROR(VLOOKUP(C710,Assets!$A:$G,7,FALSE),0)</f>
        <v>40</v>
      </c>
      <c r="F710" s="11" t="s">
        <v>45</v>
      </c>
      <c r="G710" s="6"/>
      <c r="H710" s="10">
        <f t="shared" si="23"/>
        <v>40</v>
      </c>
    </row>
    <row r="711" spans="1:8" x14ac:dyDescent="0.35">
      <c r="A711" s="8">
        <v>46797</v>
      </c>
      <c r="B711" s="8">
        <f t="shared" si="22"/>
        <v>46784</v>
      </c>
      <c r="C711" t="s">
        <v>25</v>
      </c>
      <c r="D711" s="5" t="s">
        <v>44</v>
      </c>
      <c r="E711" s="10">
        <f>IFERROR(VLOOKUP(C711,Assets!$A:$G,7,FALSE),0)</f>
        <v>40</v>
      </c>
      <c r="F711" s="11" t="s">
        <v>45</v>
      </c>
      <c r="G711" s="6"/>
      <c r="H711" s="10">
        <f t="shared" si="23"/>
        <v>40</v>
      </c>
    </row>
    <row r="712" spans="1:8" x14ac:dyDescent="0.35">
      <c r="A712" s="8">
        <v>46804</v>
      </c>
      <c r="B712" s="8">
        <f t="shared" si="22"/>
        <v>46784</v>
      </c>
      <c r="C712" t="s">
        <v>25</v>
      </c>
      <c r="D712" s="5" t="s">
        <v>44</v>
      </c>
      <c r="E712" s="10">
        <f>IFERROR(VLOOKUP(C712,Assets!$A:$G,7,FALSE),0)</f>
        <v>40</v>
      </c>
      <c r="F712" s="11" t="s">
        <v>45</v>
      </c>
      <c r="G712" s="6"/>
      <c r="H712" s="10">
        <f t="shared" si="23"/>
        <v>40</v>
      </c>
    </row>
    <row r="713" spans="1:8" x14ac:dyDescent="0.35">
      <c r="A713" s="8">
        <v>46811</v>
      </c>
      <c r="B713" s="8">
        <f t="shared" si="22"/>
        <v>46784</v>
      </c>
      <c r="C713" t="s">
        <v>25</v>
      </c>
      <c r="D713" s="5" t="s">
        <v>44</v>
      </c>
      <c r="E713" s="10">
        <f>IFERROR(VLOOKUP(C713,Assets!$A:$G,7,FALSE),0)</f>
        <v>40</v>
      </c>
      <c r="F713" s="11" t="s">
        <v>45</v>
      </c>
      <c r="G713" s="6"/>
      <c r="H713" s="10">
        <f t="shared" si="23"/>
        <v>40</v>
      </c>
    </row>
    <row r="714" spans="1:8" x14ac:dyDescent="0.35">
      <c r="A714" s="8">
        <v>46790</v>
      </c>
      <c r="B714" s="8">
        <f t="shared" si="22"/>
        <v>46784</v>
      </c>
      <c r="C714" t="s">
        <v>26</v>
      </c>
      <c r="D714" s="5" t="s">
        <v>44</v>
      </c>
      <c r="E714" s="10">
        <f>IFERROR(VLOOKUP(C714,Assets!$A:$G,7,FALSE),0)</f>
        <v>27</v>
      </c>
      <c r="F714" s="11" t="s">
        <v>45</v>
      </c>
      <c r="G714" s="6"/>
      <c r="H714" s="10">
        <f t="shared" si="23"/>
        <v>27</v>
      </c>
    </row>
    <row r="715" spans="1:8" x14ac:dyDescent="0.35">
      <c r="A715" s="8">
        <v>46797</v>
      </c>
      <c r="B715" s="8">
        <f t="shared" si="22"/>
        <v>46784</v>
      </c>
      <c r="C715" t="s">
        <v>26</v>
      </c>
      <c r="D715" s="5" t="s">
        <v>44</v>
      </c>
      <c r="E715" s="10">
        <f>IFERROR(VLOOKUP(C715,Assets!$A:$G,7,FALSE),0)</f>
        <v>27</v>
      </c>
      <c r="F715" s="11" t="s">
        <v>45</v>
      </c>
      <c r="G715" s="6"/>
      <c r="H715" s="10">
        <f t="shared" si="23"/>
        <v>27</v>
      </c>
    </row>
    <row r="716" spans="1:8" x14ac:dyDescent="0.35">
      <c r="A716" s="8">
        <v>46804</v>
      </c>
      <c r="B716" s="8">
        <f t="shared" si="22"/>
        <v>46784</v>
      </c>
      <c r="C716" t="s">
        <v>26</v>
      </c>
      <c r="D716" s="5" t="s">
        <v>44</v>
      </c>
      <c r="E716" s="10">
        <f>IFERROR(VLOOKUP(C716,Assets!$A:$G,7,FALSE),0)</f>
        <v>27</v>
      </c>
      <c r="F716" s="11" t="s">
        <v>45</v>
      </c>
      <c r="G716" s="6"/>
      <c r="H716" s="10">
        <f t="shared" si="23"/>
        <v>27</v>
      </c>
    </row>
    <row r="717" spans="1:8" x14ac:dyDescent="0.35">
      <c r="A717" s="8">
        <v>46811</v>
      </c>
      <c r="B717" s="8">
        <f t="shared" si="22"/>
        <v>46784</v>
      </c>
      <c r="C717" t="s">
        <v>26</v>
      </c>
      <c r="D717" s="5" t="s">
        <v>44</v>
      </c>
      <c r="E717" s="10">
        <f>IFERROR(VLOOKUP(C717,Assets!$A:$G,7,FALSE),0)</f>
        <v>27</v>
      </c>
      <c r="F717" s="11" t="s">
        <v>45</v>
      </c>
      <c r="G717" s="6"/>
      <c r="H717" s="10">
        <f t="shared" si="23"/>
        <v>27</v>
      </c>
    </row>
    <row r="718" spans="1:8" x14ac:dyDescent="0.35">
      <c r="A718" s="8">
        <v>46790</v>
      </c>
      <c r="B718" s="8">
        <f t="shared" si="22"/>
        <v>46784</v>
      </c>
      <c r="C718" t="s">
        <v>29</v>
      </c>
      <c r="D718" s="5" t="s">
        <v>44</v>
      </c>
      <c r="E718" s="10">
        <f>IFERROR(VLOOKUP(C718,Assets!$A:$G,7,FALSE),0)</f>
        <v>20</v>
      </c>
      <c r="F718" s="11" t="s">
        <v>45</v>
      </c>
      <c r="G718" s="6"/>
      <c r="H718" s="10">
        <f t="shared" si="23"/>
        <v>20</v>
      </c>
    </row>
    <row r="719" spans="1:8" x14ac:dyDescent="0.35">
      <c r="A719" s="8">
        <v>46797</v>
      </c>
      <c r="B719" s="8">
        <f t="shared" si="22"/>
        <v>46784</v>
      </c>
      <c r="C719" t="s">
        <v>29</v>
      </c>
      <c r="D719" s="5" t="s">
        <v>44</v>
      </c>
      <c r="E719" s="10">
        <f>IFERROR(VLOOKUP(C719,Assets!$A:$G,7,FALSE),0)</f>
        <v>20</v>
      </c>
      <c r="F719" s="11" t="s">
        <v>45</v>
      </c>
      <c r="G719" s="6"/>
      <c r="H719" s="10">
        <f t="shared" si="23"/>
        <v>20</v>
      </c>
    </row>
    <row r="720" spans="1:8" x14ac:dyDescent="0.35">
      <c r="A720" s="8">
        <v>46804</v>
      </c>
      <c r="B720" s="8">
        <f t="shared" si="22"/>
        <v>46784</v>
      </c>
      <c r="C720" t="s">
        <v>29</v>
      </c>
      <c r="D720" s="5" t="s">
        <v>44</v>
      </c>
      <c r="E720" s="10">
        <f>IFERROR(VLOOKUP(C720,Assets!$A:$G,7,FALSE),0)</f>
        <v>20</v>
      </c>
      <c r="F720" s="11" t="s">
        <v>45</v>
      </c>
      <c r="G720" s="6"/>
      <c r="H720" s="10">
        <f t="shared" si="23"/>
        <v>20</v>
      </c>
    </row>
    <row r="721" spans="1:8" x14ac:dyDescent="0.35">
      <c r="A721" s="8">
        <v>46811</v>
      </c>
      <c r="B721" s="8">
        <f t="shared" si="22"/>
        <v>46784</v>
      </c>
      <c r="C721" t="s">
        <v>29</v>
      </c>
      <c r="D721" s="5" t="s">
        <v>44</v>
      </c>
      <c r="E721" s="10">
        <f>IFERROR(VLOOKUP(C721,Assets!$A:$G,7,FALSE),0)</f>
        <v>20</v>
      </c>
      <c r="F721" s="11" t="s">
        <v>45</v>
      </c>
      <c r="G721" s="6"/>
      <c r="H721" s="10">
        <f t="shared" si="23"/>
        <v>20</v>
      </c>
    </row>
    <row r="722" spans="1:8" x14ac:dyDescent="0.35">
      <c r="A722" s="8">
        <v>46790</v>
      </c>
      <c r="B722" s="8">
        <f t="shared" si="22"/>
        <v>46784</v>
      </c>
      <c r="C722" t="s">
        <v>31</v>
      </c>
      <c r="D722" s="5" t="s">
        <v>44</v>
      </c>
      <c r="E722" s="10">
        <f>IFERROR(VLOOKUP(C722,Assets!$A:$G,7,FALSE),0)</f>
        <v>27</v>
      </c>
      <c r="F722" s="11" t="s">
        <v>45</v>
      </c>
      <c r="G722" s="6"/>
      <c r="H722" s="10">
        <f t="shared" si="23"/>
        <v>27</v>
      </c>
    </row>
    <row r="723" spans="1:8" x14ac:dyDescent="0.35">
      <c r="A723" s="8">
        <v>46797</v>
      </c>
      <c r="B723" s="8">
        <f t="shared" si="22"/>
        <v>46784</v>
      </c>
      <c r="C723" t="s">
        <v>31</v>
      </c>
      <c r="D723" s="5" t="s">
        <v>44</v>
      </c>
      <c r="E723" s="10">
        <f>IFERROR(VLOOKUP(C723,Assets!$A:$G,7,FALSE),0)</f>
        <v>27</v>
      </c>
      <c r="F723" s="11" t="s">
        <v>45</v>
      </c>
      <c r="G723" s="6"/>
      <c r="H723" s="10">
        <f t="shared" si="23"/>
        <v>27</v>
      </c>
    </row>
    <row r="724" spans="1:8" x14ac:dyDescent="0.35">
      <c r="A724" s="8">
        <v>46804</v>
      </c>
      <c r="B724" s="8">
        <f t="shared" si="22"/>
        <v>46784</v>
      </c>
      <c r="C724" t="s">
        <v>31</v>
      </c>
      <c r="D724" s="5" t="s">
        <v>44</v>
      </c>
      <c r="E724" s="10">
        <f>IFERROR(VLOOKUP(C724,Assets!$A:$G,7,FALSE),0)</f>
        <v>27</v>
      </c>
      <c r="F724" s="11" t="s">
        <v>45</v>
      </c>
      <c r="G724" s="6"/>
      <c r="H724" s="10">
        <f t="shared" si="23"/>
        <v>27</v>
      </c>
    </row>
    <row r="725" spans="1:8" x14ac:dyDescent="0.35">
      <c r="A725" s="8">
        <v>46811</v>
      </c>
      <c r="B725" s="8">
        <f t="shared" si="22"/>
        <v>46784</v>
      </c>
      <c r="C725" t="s">
        <v>31</v>
      </c>
      <c r="D725" s="5" t="s">
        <v>44</v>
      </c>
      <c r="E725" s="10">
        <f>IFERROR(VLOOKUP(C725,Assets!$A:$G,7,FALSE),0)</f>
        <v>27</v>
      </c>
      <c r="F725" s="11" t="s">
        <v>45</v>
      </c>
      <c r="G725" s="6"/>
      <c r="H725" s="10">
        <f t="shared" si="23"/>
        <v>27</v>
      </c>
    </row>
    <row r="726" spans="1:8" x14ac:dyDescent="0.35">
      <c r="A726" s="8">
        <v>46790</v>
      </c>
      <c r="B726" s="8">
        <f t="shared" si="22"/>
        <v>46784</v>
      </c>
      <c r="C726" t="s">
        <v>32</v>
      </c>
      <c r="D726" s="5" t="s">
        <v>44</v>
      </c>
      <c r="E726" s="10">
        <f>IFERROR(VLOOKUP(C726,Assets!$A:$G,7,FALSE),0)</f>
        <v>45</v>
      </c>
      <c r="F726" s="11" t="s">
        <v>45</v>
      </c>
      <c r="G726" s="6"/>
      <c r="H726" s="10">
        <f t="shared" si="23"/>
        <v>45</v>
      </c>
    </row>
    <row r="727" spans="1:8" x14ac:dyDescent="0.35">
      <c r="A727" s="8">
        <v>46797</v>
      </c>
      <c r="B727" s="8">
        <f t="shared" si="22"/>
        <v>46784</v>
      </c>
      <c r="C727" t="s">
        <v>32</v>
      </c>
      <c r="D727" s="5" t="s">
        <v>44</v>
      </c>
      <c r="E727" s="10">
        <f>IFERROR(VLOOKUP(C727,Assets!$A:$G,7,FALSE),0)</f>
        <v>45</v>
      </c>
      <c r="F727" s="11" t="s">
        <v>45</v>
      </c>
      <c r="G727" s="6"/>
      <c r="H727" s="10">
        <f t="shared" si="23"/>
        <v>45</v>
      </c>
    </row>
    <row r="728" spans="1:8" x14ac:dyDescent="0.35">
      <c r="A728" s="8">
        <v>46804</v>
      </c>
      <c r="B728" s="8">
        <f t="shared" si="22"/>
        <v>46784</v>
      </c>
      <c r="C728" t="s">
        <v>32</v>
      </c>
      <c r="D728" s="5" t="s">
        <v>44</v>
      </c>
      <c r="E728" s="10">
        <f>IFERROR(VLOOKUP(C728,Assets!$A:$G,7,FALSE),0)</f>
        <v>45</v>
      </c>
      <c r="F728" s="11" t="s">
        <v>45</v>
      </c>
      <c r="G728" s="6"/>
      <c r="H728" s="10">
        <f t="shared" si="23"/>
        <v>45</v>
      </c>
    </row>
    <row r="729" spans="1:8" x14ac:dyDescent="0.35">
      <c r="A729" s="8">
        <v>46811</v>
      </c>
      <c r="B729" s="8">
        <f t="shared" si="22"/>
        <v>46784</v>
      </c>
      <c r="C729" t="s">
        <v>32</v>
      </c>
      <c r="D729" s="5" t="s">
        <v>44</v>
      </c>
      <c r="E729" s="10">
        <f>IFERROR(VLOOKUP(C729,Assets!$A:$G,7,FALSE),0)</f>
        <v>45</v>
      </c>
      <c r="F729" s="11" t="s">
        <v>45</v>
      </c>
      <c r="G729" s="6"/>
      <c r="H729" s="10">
        <f t="shared" si="23"/>
        <v>45</v>
      </c>
    </row>
    <row r="730" spans="1:8" x14ac:dyDescent="0.35">
      <c r="A730" s="8">
        <v>46790</v>
      </c>
      <c r="B730" s="8">
        <f t="shared" si="22"/>
        <v>46784</v>
      </c>
      <c r="C730" t="s">
        <v>33</v>
      </c>
      <c r="D730" s="5" t="s">
        <v>44</v>
      </c>
      <c r="E730" s="10">
        <f>IFERROR(VLOOKUP(C730,Assets!$A:$G,7,FALSE),0)</f>
        <v>41</v>
      </c>
      <c r="F730" s="11" t="s">
        <v>45</v>
      </c>
      <c r="G730" s="6"/>
      <c r="H730" s="10">
        <f t="shared" si="23"/>
        <v>41</v>
      </c>
    </row>
    <row r="731" spans="1:8" x14ac:dyDescent="0.35">
      <c r="A731" s="8">
        <v>46797</v>
      </c>
      <c r="B731" s="8">
        <f t="shared" si="22"/>
        <v>46784</v>
      </c>
      <c r="C731" t="s">
        <v>33</v>
      </c>
      <c r="D731" s="5" t="s">
        <v>44</v>
      </c>
      <c r="E731" s="10">
        <f>IFERROR(VLOOKUP(C731,Assets!$A:$G,7,FALSE),0)</f>
        <v>41</v>
      </c>
      <c r="F731" s="11" t="s">
        <v>45</v>
      </c>
      <c r="G731" s="6"/>
      <c r="H731" s="10">
        <f t="shared" si="23"/>
        <v>41</v>
      </c>
    </row>
    <row r="732" spans="1:8" x14ac:dyDescent="0.35">
      <c r="A732" s="8">
        <v>46804</v>
      </c>
      <c r="B732" s="8">
        <f t="shared" si="22"/>
        <v>46784</v>
      </c>
      <c r="C732" t="s">
        <v>33</v>
      </c>
      <c r="D732" s="5" t="s">
        <v>44</v>
      </c>
      <c r="E732" s="10">
        <f>IFERROR(VLOOKUP(C732,Assets!$A:$G,7,FALSE),0)</f>
        <v>41</v>
      </c>
      <c r="F732" s="11" t="s">
        <v>45</v>
      </c>
      <c r="G732" s="6"/>
      <c r="H732" s="10">
        <f t="shared" si="23"/>
        <v>41</v>
      </c>
    </row>
    <row r="733" spans="1:8" x14ac:dyDescent="0.35">
      <c r="A733" s="8">
        <v>46811</v>
      </c>
      <c r="B733" s="8">
        <f t="shared" si="22"/>
        <v>46784</v>
      </c>
      <c r="C733" t="s">
        <v>33</v>
      </c>
      <c r="D733" s="5" t="s">
        <v>44</v>
      </c>
      <c r="E733" s="10">
        <f>IFERROR(VLOOKUP(C733,Assets!$A:$G,7,FALSE),0)</f>
        <v>41</v>
      </c>
      <c r="F733" s="11" t="s">
        <v>45</v>
      </c>
      <c r="G733" s="6"/>
      <c r="H733" s="10">
        <f t="shared" si="23"/>
        <v>41</v>
      </c>
    </row>
    <row r="734" spans="1:8" x14ac:dyDescent="0.35">
      <c r="A734" s="8">
        <v>46790</v>
      </c>
      <c r="B734" s="8">
        <f t="shared" si="22"/>
        <v>46784</v>
      </c>
      <c r="C734" t="s">
        <v>34</v>
      </c>
      <c r="D734" s="5" t="s">
        <v>44</v>
      </c>
      <c r="E734" s="10">
        <f>IFERROR(VLOOKUP(C734,Assets!$A:$G,7,FALSE),0)</f>
        <v>15</v>
      </c>
      <c r="F734" s="11" t="s">
        <v>45</v>
      </c>
      <c r="G734" s="6"/>
      <c r="H734" s="10">
        <f t="shared" si="23"/>
        <v>15</v>
      </c>
    </row>
    <row r="735" spans="1:8" x14ac:dyDescent="0.35">
      <c r="A735" s="8">
        <v>46797</v>
      </c>
      <c r="B735" s="8">
        <f t="shared" si="22"/>
        <v>46784</v>
      </c>
      <c r="C735" t="s">
        <v>34</v>
      </c>
      <c r="D735" s="5" t="s">
        <v>44</v>
      </c>
      <c r="E735" s="10">
        <f>IFERROR(VLOOKUP(C735,Assets!$A:$G,7,FALSE),0)</f>
        <v>15</v>
      </c>
      <c r="F735" s="11" t="s">
        <v>45</v>
      </c>
      <c r="G735" s="6"/>
      <c r="H735" s="10">
        <f t="shared" si="23"/>
        <v>15</v>
      </c>
    </row>
    <row r="736" spans="1:8" x14ac:dyDescent="0.35">
      <c r="A736" s="8">
        <v>46804</v>
      </c>
      <c r="B736" s="8">
        <f t="shared" si="22"/>
        <v>46784</v>
      </c>
      <c r="C736" t="s">
        <v>34</v>
      </c>
      <c r="D736" s="5" t="s">
        <v>44</v>
      </c>
      <c r="E736" s="10">
        <f>IFERROR(VLOOKUP(C736,Assets!$A:$G,7,FALSE),0)</f>
        <v>15</v>
      </c>
      <c r="F736" s="11" t="s">
        <v>45</v>
      </c>
      <c r="G736" s="6"/>
      <c r="H736" s="10">
        <f t="shared" si="23"/>
        <v>15</v>
      </c>
    </row>
    <row r="737" spans="1:8" x14ac:dyDescent="0.35">
      <c r="A737" s="8">
        <v>46811</v>
      </c>
      <c r="B737" s="8">
        <f t="shared" si="22"/>
        <v>46784</v>
      </c>
      <c r="C737" t="s">
        <v>34</v>
      </c>
      <c r="D737" s="5" t="s">
        <v>44</v>
      </c>
      <c r="E737" s="10">
        <f>IFERROR(VLOOKUP(C737,Assets!$A:$G,7,FALSE),0)</f>
        <v>15</v>
      </c>
      <c r="F737" s="11" t="s">
        <v>45</v>
      </c>
      <c r="G737" s="6"/>
      <c r="H737" s="10">
        <f t="shared" si="23"/>
        <v>15</v>
      </c>
    </row>
    <row r="738" spans="1:8" x14ac:dyDescent="0.35">
      <c r="A738" s="8">
        <v>46819</v>
      </c>
      <c r="B738" s="8">
        <f t="shared" si="22"/>
        <v>46813</v>
      </c>
      <c r="C738" t="s">
        <v>20</v>
      </c>
      <c r="D738" s="5" t="s">
        <v>44</v>
      </c>
      <c r="E738" s="10">
        <f>IFERROR(VLOOKUP(C738,Assets!$A:$G,7,FALSE),0)</f>
        <v>160</v>
      </c>
      <c r="F738" s="11" t="s">
        <v>45</v>
      </c>
      <c r="G738" s="6"/>
      <c r="H738" s="10">
        <f t="shared" si="23"/>
        <v>160</v>
      </c>
    </row>
    <row r="739" spans="1:8" x14ac:dyDescent="0.35">
      <c r="A739" s="8">
        <v>46826</v>
      </c>
      <c r="B739" s="8">
        <f t="shared" si="22"/>
        <v>46813</v>
      </c>
      <c r="C739" t="s">
        <v>20</v>
      </c>
      <c r="D739" s="5" t="s">
        <v>44</v>
      </c>
      <c r="E739" s="10">
        <f>IFERROR(VLOOKUP(C739,Assets!$A:$G,7,FALSE),0)</f>
        <v>160</v>
      </c>
      <c r="F739" s="11" t="s">
        <v>45</v>
      </c>
      <c r="G739" s="6"/>
      <c r="H739" s="10">
        <f t="shared" si="23"/>
        <v>160</v>
      </c>
    </row>
    <row r="740" spans="1:8" x14ac:dyDescent="0.35">
      <c r="A740" s="8">
        <v>46833</v>
      </c>
      <c r="B740" s="8">
        <f t="shared" si="22"/>
        <v>46813</v>
      </c>
      <c r="C740" t="s">
        <v>20</v>
      </c>
      <c r="D740" s="5" t="s">
        <v>44</v>
      </c>
      <c r="E740" s="10">
        <f>IFERROR(VLOOKUP(C740,Assets!$A:$G,7,FALSE),0)</f>
        <v>160</v>
      </c>
      <c r="F740" s="11" t="s">
        <v>45</v>
      </c>
      <c r="G740" s="6"/>
      <c r="H740" s="10">
        <f t="shared" si="23"/>
        <v>160</v>
      </c>
    </row>
    <row r="741" spans="1:8" x14ac:dyDescent="0.35">
      <c r="A741" s="8">
        <v>46840</v>
      </c>
      <c r="B741" s="8">
        <f t="shared" si="22"/>
        <v>46813</v>
      </c>
      <c r="C741" t="s">
        <v>20</v>
      </c>
      <c r="D741" s="5" t="s">
        <v>44</v>
      </c>
      <c r="E741" s="10">
        <f>IFERROR(VLOOKUP(C741,Assets!$A:$G,7,FALSE),0)</f>
        <v>160</v>
      </c>
      <c r="F741" s="11" t="s">
        <v>45</v>
      </c>
      <c r="G741" s="6"/>
      <c r="H741" s="10">
        <f t="shared" si="23"/>
        <v>160</v>
      </c>
    </row>
    <row r="742" spans="1:8" x14ac:dyDescent="0.35">
      <c r="A742" s="8">
        <v>46819</v>
      </c>
      <c r="B742" s="8">
        <f t="shared" si="22"/>
        <v>46813</v>
      </c>
      <c r="C742" t="s">
        <v>25</v>
      </c>
      <c r="D742" s="5" t="s">
        <v>44</v>
      </c>
      <c r="E742" s="10">
        <f>IFERROR(VLOOKUP(C742,Assets!$A:$G,7,FALSE),0)</f>
        <v>40</v>
      </c>
      <c r="F742" s="11" t="s">
        <v>45</v>
      </c>
      <c r="G742" s="6"/>
      <c r="H742" s="10">
        <f t="shared" si="23"/>
        <v>40</v>
      </c>
    </row>
    <row r="743" spans="1:8" x14ac:dyDescent="0.35">
      <c r="A743" s="8">
        <v>46826</v>
      </c>
      <c r="B743" s="8">
        <f t="shared" si="22"/>
        <v>46813</v>
      </c>
      <c r="C743" t="s">
        <v>25</v>
      </c>
      <c r="D743" s="5" t="s">
        <v>44</v>
      </c>
      <c r="E743" s="10">
        <f>IFERROR(VLOOKUP(C743,Assets!$A:$G,7,FALSE),0)</f>
        <v>40</v>
      </c>
      <c r="F743" s="11" t="s">
        <v>45</v>
      </c>
      <c r="G743" s="6"/>
      <c r="H743" s="10">
        <f t="shared" si="23"/>
        <v>40</v>
      </c>
    </row>
    <row r="744" spans="1:8" x14ac:dyDescent="0.35">
      <c r="A744" s="8">
        <v>46833</v>
      </c>
      <c r="B744" s="8">
        <f t="shared" si="22"/>
        <v>46813</v>
      </c>
      <c r="C744" t="s">
        <v>25</v>
      </c>
      <c r="D744" s="5" t="s">
        <v>44</v>
      </c>
      <c r="E744" s="10">
        <f>IFERROR(VLOOKUP(C744,Assets!$A:$G,7,FALSE),0)</f>
        <v>40</v>
      </c>
      <c r="F744" s="11" t="s">
        <v>45</v>
      </c>
      <c r="G744" s="6"/>
      <c r="H744" s="10">
        <f t="shared" si="23"/>
        <v>40</v>
      </c>
    </row>
    <row r="745" spans="1:8" x14ac:dyDescent="0.35">
      <c r="A745" s="8">
        <v>46840</v>
      </c>
      <c r="B745" s="8">
        <f t="shared" si="22"/>
        <v>46813</v>
      </c>
      <c r="C745" t="s">
        <v>25</v>
      </c>
      <c r="D745" s="5" t="s">
        <v>44</v>
      </c>
      <c r="E745" s="10">
        <f>IFERROR(VLOOKUP(C745,Assets!$A:$G,7,FALSE),0)</f>
        <v>40</v>
      </c>
      <c r="F745" s="11" t="s">
        <v>45</v>
      </c>
      <c r="G745" s="6"/>
      <c r="H745" s="10">
        <f t="shared" si="23"/>
        <v>40</v>
      </c>
    </row>
    <row r="746" spans="1:8" x14ac:dyDescent="0.35">
      <c r="A746" s="8">
        <v>46819</v>
      </c>
      <c r="B746" s="8">
        <f t="shared" si="22"/>
        <v>46813</v>
      </c>
      <c r="C746" t="s">
        <v>26</v>
      </c>
      <c r="D746" s="5" t="s">
        <v>44</v>
      </c>
      <c r="E746" s="10">
        <f>IFERROR(VLOOKUP(C746,Assets!$A:$G,7,FALSE),0)</f>
        <v>27</v>
      </c>
      <c r="F746" s="11" t="s">
        <v>45</v>
      </c>
      <c r="G746" s="6"/>
      <c r="H746" s="10">
        <f t="shared" si="23"/>
        <v>27</v>
      </c>
    </row>
    <row r="747" spans="1:8" x14ac:dyDescent="0.35">
      <c r="A747" s="8">
        <v>46826</v>
      </c>
      <c r="B747" s="8">
        <f t="shared" si="22"/>
        <v>46813</v>
      </c>
      <c r="C747" t="s">
        <v>26</v>
      </c>
      <c r="D747" s="5" t="s">
        <v>44</v>
      </c>
      <c r="E747" s="10">
        <f>IFERROR(VLOOKUP(C747,Assets!$A:$G,7,FALSE),0)</f>
        <v>27</v>
      </c>
      <c r="F747" s="11" t="s">
        <v>45</v>
      </c>
      <c r="G747" s="6"/>
      <c r="H747" s="10">
        <f t="shared" si="23"/>
        <v>27</v>
      </c>
    </row>
    <row r="748" spans="1:8" x14ac:dyDescent="0.35">
      <c r="A748" s="8">
        <v>46833</v>
      </c>
      <c r="B748" s="8">
        <f t="shared" si="22"/>
        <v>46813</v>
      </c>
      <c r="C748" t="s">
        <v>26</v>
      </c>
      <c r="D748" s="5" t="s">
        <v>44</v>
      </c>
      <c r="E748" s="10">
        <f>IFERROR(VLOOKUP(C748,Assets!$A:$G,7,FALSE),0)</f>
        <v>27</v>
      </c>
      <c r="F748" s="11" t="s">
        <v>45</v>
      </c>
      <c r="G748" s="6"/>
      <c r="H748" s="10">
        <f t="shared" si="23"/>
        <v>27</v>
      </c>
    </row>
    <row r="749" spans="1:8" x14ac:dyDescent="0.35">
      <c r="A749" s="8">
        <v>46840</v>
      </c>
      <c r="B749" s="8">
        <f t="shared" si="22"/>
        <v>46813</v>
      </c>
      <c r="C749" t="s">
        <v>26</v>
      </c>
      <c r="D749" s="5" t="s">
        <v>44</v>
      </c>
      <c r="E749" s="10">
        <f>IFERROR(VLOOKUP(C749,Assets!$A:$G,7,FALSE),0)</f>
        <v>27</v>
      </c>
      <c r="F749" s="11" t="s">
        <v>45</v>
      </c>
      <c r="G749" s="6"/>
      <c r="H749" s="10">
        <f t="shared" si="23"/>
        <v>27</v>
      </c>
    </row>
    <row r="750" spans="1:8" x14ac:dyDescent="0.35">
      <c r="A750" s="8">
        <v>46819</v>
      </c>
      <c r="B750" s="8">
        <f t="shared" si="22"/>
        <v>46813</v>
      </c>
      <c r="C750" t="s">
        <v>29</v>
      </c>
      <c r="D750" s="5" t="s">
        <v>44</v>
      </c>
      <c r="E750" s="10">
        <f>IFERROR(VLOOKUP(C750,Assets!$A:$G,7,FALSE),0)</f>
        <v>20</v>
      </c>
      <c r="F750" s="11" t="s">
        <v>45</v>
      </c>
      <c r="G750" s="6"/>
      <c r="H750" s="10">
        <f t="shared" si="23"/>
        <v>20</v>
      </c>
    </row>
    <row r="751" spans="1:8" x14ac:dyDescent="0.35">
      <c r="A751" s="8">
        <v>46826</v>
      </c>
      <c r="B751" s="8">
        <f t="shared" si="22"/>
        <v>46813</v>
      </c>
      <c r="C751" t="s">
        <v>29</v>
      </c>
      <c r="D751" s="5" t="s">
        <v>44</v>
      </c>
      <c r="E751" s="10">
        <f>IFERROR(VLOOKUP(C751,Assets!$A:$G,7,FALSE),0)</f>
        <v>20</v>
      </c>
      <c r="F751" s="11" t="s">
        <v>45</v>
      </c>
      <c r="G751" s="6"/>
      <c r="H751" s="10">
        <f t="shared" si="23"/>
        <v>20</v>
      </c>
    </row>
    <row r="752" spans="1:8" x14ac:dyDescent="0.35">
      <c r="A752" s="8">
        <v>46833</v>
      </c>
      <c r="B752" s="8">
        <f t="shared" si="22"/>
        <v>46813</v>
      </c>
      <c r="C752" t="s">
        <v>29</v>
      </c>
      <c r="D752" s="5" t="s">
        <v>44</v>
      </c>
      <c r="E752" s="10">
        <f>IFERROR(VLOOKUP(C752,Assets!$A:$G,7,FALSE),0)</f>
        <v>20</v>
      </c>
      <c r="F752" s="11" t="s">
        <v>45</v>
      </c>
      <c r="G752" s="6"/>
      <c r="H752" s="10">
        <f t="shared" si="23"/>
        <v>20</v>
      </c>
    </row>
    <row r="753" spans="1:8" x14ac:dyDescent="0.35">
      <c r="A753" s="8">
        <v>46840</v>
      </c>
      <c r="B753" s="8">
        <f t="shared" si="22"/>
        <v>46813</v>
      </c>
      <c r="C753" t="s">
        <v>29</v>
      </c>
      <c r="D753" s="5" t="s">
        <v>44</v>
      </c>
      <c r="E753" s="10">
        <f>IFERROR(VLOOKUP(C753,Assets!$A:$G,7,FALSE),0)</f>
        <v>20</v>
      </c>
      <c r="F753" s="11" t="s">
        <v>45</v>
      </c>
      <c r="G753" s="6"/>
      <c r="H753" s="10">
        <f t="shared" si="23"/>
        <v>20</v>
      </c>
    </row>
    <row r="754" spans="1:8" x14ac:dyDescent="0.35">
      <c r="A754" s="8">
        <v>46819</v>
      </c>
      <c r="B754" s="8">
        <f t="shared" si="22"/>
        <v>46813</v>
      </c>
      <c r="C754" t="s">
        <v>31</v>
      </c>
      <c r="D754" s="5" t="s">
        <v>44</v>
      </c>
      <c r="E754" s="10">
        <f>IFERROR(VLOOKUP(C754,Assets!$A:$G,7,FALSE),0)</f>
        <v>27</v>
      </c>
      <c r="F754" s="11" t="s">
        <v>45</v>
      </c>
      <c r="G754" s="6"/>
      <c r="H754" s="10">
        <f t="shared" si="23"/>
        <v>27</v>
      </c>
    </row>
    <row r="755" spans="1:8" x14ac:dyDescent="0.35">
      <c r="A755" s="8">
        <v>46826</v>
      </c>
      <c r="B755" s="8">
        <f t="shared" si="22"/>
        <v>46813</v>
      </c>
      <c r="C755" t="s">
        <v>31</v>
      </c>
      <c r="D755" s="5" t="s">
        <v>44</v>
      </c>
      <c r="E755" s="10">
        <f>IFERROR(VLOOKUP(C755,Assets!$A:$G,7,FALSE),0)</f>
        <v>27</v>
      </c>
      <c r="F755" s="11" t="s">
        <v>45</v>
      </c>
      <c r="G755" s="6"/>
      <c r="H755" s="10">
        <f t="shared" si="23"/>
        <v>27</v>
      </c>
    </row>
    <row r="756" spans="1:8" x14ac:dyDescent="0.35">
      <c r="A756" s="8">
        <v>46833</v>
      </c>
      <c r="B756" s="8">
        <f t="shared" si="22"/>
        <v>46813</v>
      </c>
      <c r="C756" t="s">
        <v>31</v>
      </c>
      <c r="D756" s="5" t="s">
        <v>44</v>
      </c>
      <c r="E756" s="10">
        <f>IFERROR(VLOOKUP(C756,Assets!$A:$G,7,FALSE),0)</f>
        <v>27</v>
      </c>
      <c r="F756" s="11" t="s">
        <v>45</v>
      </c>
      <c r="G756" s="6"/>
      <c r="H756" s="10">
        <f t="shared" si="23"/>
        <v>27</v>
      </c>
    </row>
    <row r="757" spans="1:8" x14ac:dyDescent="0.35">
      <c r="A757" s="8">
        <v>46840</v>
      </c>
      <c r="B757" s="8">
        <f t="shared" si="22"/>
        <v>46813</v>
      </c>
      <c r="C757" t="s">
        <v>31</v>
      </c>
      <c r="D757" s="5" t="s">
        <v>44</v>
      </c>
      <c r="E757" s="10">
        <f>IFERROR(VLOOKUP(C757,Assets!$A:$G,7,FALSE),0)</f>
        <v>27</v>
      </c>
      <c r="F757" s="11" t="s">
        <v>45</v>
      </c>
      <c r="G757" s="6"/>
      <c r="H757" s="10">
        <f t="shared" si="23"/>
        <v>27</v>
      </c>
    </row>
    <row r="758" spans="1:8" x14ac:dyDescent="0.35">
      <c r="A758" s="8">
        <v>46819</v>
      </c>
      <c r="B758" s="8">
        <f t="shared" si="22"/>
        <v>46813</v>
      </c>
      <c r="C758" t="s">
        <v>32</v>
      </c>
      <c r="D758" s="5" t="s">
        <v>44</v>
      </c>
      <c r="E758" s="10">
        <f>IFERROR(VLOOKUP(C758,Assets!$A:$G,7,FALSE),0)</f>
        <v>45</v>
      </c>
      <c r="F758" s="11" t="s">
        <v>45</v>
      </c>
      <c r="G758" s="6"/>
      <c r="H758" s="10">
        <f t="shared" si="23"/>
        <v>45</v>
      </c>
    </row>
    <row r="759" spans="1:8" x14ac:dyDescent="0.35">
      <c r="A759" s="8">
        <v>46826</v>
      </c>
      <c r="B759" s="8">
        <f t="shared" si="22"/>
        <v>46813</v>
      </c>
      <c r="C759" t="s">
        <v>32</v>
      </c>
      <c r="D759" s="5" t="s">
        <v>44</v>
      </c>
      <c r="E759" s="10">
        <f>IFERROR(VLOOKUP(C759,Assets!$A:$G,7,FALSE),0)</f>
        <v>45</v>
      </c>
      <c r="F759" s="11" t="s">
        <v>45</v>
      </c>
      <c r="G759" s="6"/>
      <c r="H759" s="10">
        <f t="shared" si="23"/>
        <v>45</v>
      </c>
    </row>
    <row r="760" spans="1:8" x14ac:dyDescent="0.35">
      <c r="A760" s="8">
        <v>46833</v>
      </c>
      <c r="B760" s="8">
        <f t="shared" si="22"/>
        <v>46813</v>
      </c>
      <c r="C760" t="s">
        <v>32</v>
      </c>
      <c r="D760" s="5" t="s">
        <v>44</v>
      </c>
      <c r="E760" s="10">
        <f>IFERROR(VLOOKUP(C760,Assets!$A:$G,7,FALSE),0)</f>
        <v>45</v>
      </c>
      <c r="F760" s="11" t="s">
        <v>45</v>
      </c>
      <c r="G760" s="6"/>
      <c r="H760" s="10">
        <f t="shared" si="23"/>
        <v>45</v>
      </c>
    </row>
    <row r="761" spans="1:8" x14ac:dyDescent="0.35">
      <c r="A761" s="8">
        <v>46840</v>
      </c>
      <c r="B761" s="8">
        <f t="shared" si="22"/>
        <v>46813</v>
      </c>
      <c r="C761" t="s">
        <v>32</v>
      </c>
      <c r="D761" s="5" t="s">
        <v>44</v>
      </c>
      <c r="E761" s="10">
        <f>IFERROR(VLOOKUP(C761,Assets!$A:$G,7,FALSE),0)</f>
        <v>45</v>
      </c>
      <c r="F761" s="11" t="s">
        <v>45</v>
      </c>
      <c r="G761" s="6"/>
      <c r="H761" s="10">
        <f t="shared" si="23"/>
        <v>45</v>
      </c>
    </row>
    <row r="762" spans="1:8" x14ac:dyDescent="0.35">
      <c r="A762" s="8">
        <v>46819</v>
      </c>
      <c r="B762" s="8">
        <f t="shared" si="22"/>
        <v>46813</v>
      </c>
      <c r="C762" t="s">
        <v>33</v>
      </c>
      <c r="D762" s="5" t="s">
        <v>44</v>
      </c>
      <c r="E762" s="10">
        <f>IFERROR(VLOOKUP(C762,Assets!$A:$G,7,FALSE),0)</f>
        <v>41</v>
      </c>
      <c r="F762" s="11" t="s">
        <v>45</v>
      </c>
      <c r="G762" s="6"/>
      <c r="H762" s="10">
        <f t="shared" si="23"/>
        <v>41</v>
      </c>
    </row>
    <row r="763" spans="1:8" x14ac:dyDescent="0.35">
      <c r="A763" s="8">
        <v>46826</v>
      </c>
      <c r="B763" s="8">
        <f t="shared" si="22"/>
        <v>46813</v>
      </c>
      <c r="C763" t="s">
        <v>33</v>
      </c>
      <c r="D763" s="5" t="s">
        <v>44</v>
      </c>
      <c r="E763" s="10">
        <f>IFERROR(VLOOKUP(C763,Assets!$A:$G,7,FALSE),0)</f>
        <v>41</v>
      </c>
      <c r="F763" s="11" t="s">
        <v>45</v>
      </c>
      <c r="G763" s="6"/>
      <c r="H763" s="10">
        <f t="shared" si="23"/>
        <v>41</v>
      </c>
    </row>
    <row r="764" spans="1:8" x14ac:dyDescent="0.35">
      <c r="A764" s="8">
        <v>46833</v>
      </c>
      <c r="B764" s="8">
        <f t="shared" si="22"/>
        <v>46813</v>
      </c>
      <c r="C764" t="s">
        <v>33</v>
      </c>
      <c r="D764" s="5" t="s">
        <v>44</v>
      </c>
      <c r="E764" s="10">
        <f>IFERROR(VLOOKUP(C764,Assets!$A:$G,7,FALSE),0)</f>
        <v>41</v>
      </c>
      <c r="F764" s="11" t="s">
        <v>45</v>
      </c>
      <c r="G764" s="6"/>
      <c r="H764" s="10">
        <f t="shared" si="23"/>
        <v>41</v>
      </c>
    </row>
    <row r="765" spans="1:8" x14ac:dyDescent="0.35">
      <c r="A765" s="8">
        <v>46840</v>
      </c>
      <c r="B765" s="8">
        <f t="shared" si="22"/>
        <v>46813</v>
      </c>
      <c r="C765" t="s">
        <v>33</v>
      </c>
      <c r="D765" s="5" t="s">
        <v>44</v>
      </c>
      <c r="E765" s="10">
        <f>IFERROR(VLOOKUP(C765,Assets!$A:$G,7,FALSE),0)</f>
        <v>41</v>
      </c>
      <c r="F765" s="11" t="s">
        <v>45</v>
      </c>
      <c r="G765" s="6"/>
      <c r="H765" s="10">
        <f t="shared" si="23"/>
        <v>41</v>
      </c>
    </row>
    <row r="766" spans="1:8" x14ac:dyDescent="0.35">
      <c r="A766" s="8">
        <v>46819</v>
      </c>
      <c r="B766" s="8">
        <f t="shared" si="22"/>
        <v>46813</v>
      </c>
      <c r="C766" t="s">
        <v>34</v>
      </c>
      <c r="D766" s="5" t="s">
        <v>44</v>
      </c>
      <c r="E766" s="10">
        <f>IFERROR(VLOOKUP(C766,Assets!$A:$G,7,FALSE),0)</f>
        <v>15</v>
      </c>
      <c r="F766" s="11" t="s">
        <v>45</v>
      </c>
      <c r="G766" s="6"/>
      <c r="H766" s="10">
        <f t="shared" si="23"/>
        <v>15</v>
      </c>
    </row>
    <row r="767" spans="1:8" x14ac:dyDescent="0.35">
      <c r="A767" s="8">
        <v>46826</v>
      </c>
      <c r="B767" s="8">
        <f t="shared" si="22"/>
        <v>46813</v>
      </c>
      <c r="C767" t="s">
        <v>34</v>
      </c>
      <c r="D767" s="5" t="s">
        <v>44</v>
      </c>
      <c r="E767" s="10">
        <f>IFERROR(VLOOKUP(C767,Assets!$A:$G,7,FALSE),0)</f>
        <v>15</v>
      </c>
      <c r="F767" s="11" t="s">
        <v>45</v>
      </c>
      <c r="G767" s="6"/>
      <c r="H767" s="10">
        <f t="shared" si="23"/>
        <v>15</v>
      </c>
    </row>
    <row r="768" spans="1:8" x14ac:dyDescent="0.35">
      <c r="A768" s="8">
        <v>46833</v>
      </c>
      <c r="B768" s="8">
        <f t="shared" si="22"/>
        <v>46813</v>
      </c>
      <c r="C768" t="s">
        <v>34</v>
      </c>
      <c r="D768" s="5" t="s">
        <v>44</v>
      </c>
      <c r="E768" s="10">
        <f>IFERROR(VLOOKUP(C768,Assets!$A:$G,7,FALSE),0)</f>
        <v>15</v>
      </c>
      <c r="F768" s="11" t="s">
        <v>45</v>
      </c>
      <c r="G768" s="6"/>
      <c r="H768" s="10">
        <f t="shared" si="23"/>
        <v>15</v>
      </c>
    </row>
    <row r="769" spans="1:8" x14ac:dyDescent="0.35">
      <c r="A769" s="8">
        <v>46840</v>
      </c>
      <c r="B769" s="8">
        <f t="shared" si="22"/>
        <v>46813</v>
      </c>
      <c r="C769" t="s">
        <v>34</v>
      </c>
      <c r="D769" s="5" t="s">
        <v>44</v>
      </c>
      <c r="E769" s="10">
        <f>IFERROR(VLOOKUP(C769,Assets!$A:$G,7,FALSE),0)</f>
        <v>15</v>
      </c>
      <c r="F769" s="11" t="s">
        <v>45</v>
      </c>
      <c r="G769" s="6"/>
      <c r="H769" s="10">
        <f t="shared" si="23"/>
        <v>15</v>
      </c>
    </row>
    <row r="770" spans="1:8" x14ac:dyDescent="0.35">
      <c r="A770" s="8">
        <v>46850</v>
      </c>
      <c r="B770" s="8">
        <f t="shared" ref="B770:B833" si="24">DATE(YEAR(A770),MONTH(A770),1)</f>
        <v>46844</v>
      </c>
      <c r="C770" t="s">
        <v>20</v>
      </c>
      <c r="D770" s="5" t="s">
        <v>44</v>
      </c>
      <c r="E770" s="10">
        <f>IFERROR(VLOOKUP(C770,Assets!$A:$G,7,FALSE),0)</f>
        <v>160</v>
      </c>
      <c r="F770" s="11" t="s">
        <v>45</v>
      </c>
      <c r="G770" s="6"/>
      <c r="H770" s="10">
        <f t="shared" ref="H770:H833" si="25">IF(F770="No",0,IF(F770="Edited",IF(G770="",E770,G770),E770))</f>
        <v>160</v>
      </c>
    </row>
    <row r="771" spans="1:8" x14ac:dyDescent="0.35">
      <c r="A771" s="8">
        <v>46857</v>
      </c>
      <c r="B771" s="8">
        <f t="shared" si="24"/>
        <v>46844</v>
      </c>
      <c r="C771" t="s">
        <v>20</v>
      </c>
      <c r="D771" s="5" t="s">
        <v>44</v>
      </c>
      <c r="E771" s="10">
        <f>IFERROR(VLOOKUP(C771,Assets!$A:$G,7,FALSE),0)</f>
        <v>160</v>
      </c>
      <c r="F771" s="11" t="s">
        <v>45</v>
      </c>
      <c r="G771" s="6"/>
      <c r="H771" s="10">
        <f t="shared" si="25"/>
        <v>160</v>
      </c>
    </row>
    <row r="772" spans="1:8" x14ac:dyDescent="0.35">
      <c r="A772" s="8">
        <v>46864</v>
      </c>
      <c r="B772" s="8">
        <f t="shared" si="24"/>
        <v>46844</v>
      </c>
      <c r="C772" t="s">
        <v>20</v>
      </c>
      <c r="D772" s="5" t="s">
        <v>44</v>
      </c>
      <c r="E772" s="10">
        <f>IFERROR(VLOOKUP(C772,Assets!$A:$G,7,FALSE),0)</f>
        <v>160</v>
      </c>
      <c r="F772" s="11" t="s">
        <v>45</v>
      </c>
      <c r="G772" s="6"/>
      <c r="H772" s="10">
        <f t="shared" si="25"/>
        <v>160</v>
      </c>
    </row>
    <row r="773" spans="1:8" x14ac:dyDescent="0.35">
      <c r="A773" s="8">
        <v>46871</v>
      </c>
      <c r="B773" s="8">
        <f t="shared" si="24"/>
        <v>46844</v>
      </c>
      <c r="C773" t="s">
        <v>20</v>
      </c>
      <c r="D773" s="5" t="s">
        <v>44</v>
      </c>
      <c r="E773" s="10">
        <f>IFERROR(VLOOKUP(C773,Assets!$A:$G,7,FALSE),0)</f>
        <v>160</v>
      </c>
      <c r="F773" s="11" t="s">
        <v>45</v>
      </c>
      <c r="G773" s="6"/>
      <c r="H773" s="10">
        <f t="shared" si="25"/>
        <v>160</v>
      </c>
    </row>
    <row r="774" spans="1:8" x14ac:dyDescent="0.35">
      <c r="A774" s="8">
        <v>46850</v>
      </c>
      <c r="B774" s="8">
        <f t="shared" si="24"/>
        <v>46844</v>
      </c>
      <c r="C774" t="s">
        <v>25</v>
      </c>
      <c r="D774" s="5" t="s">
        <v>44</v>
      </c>
      <c r="E774" s="10">
        <f>IFERROR(VLOOKUP(C774,Assets!$A:$G,7,FALSE),0)</f>
        <v>40</v>
      </c>
      <c r="F774" s="11" t="s">
        <v>45</v>
      </c>
      <c r="G774" s="6"/>
      <c r="H774" s="10">
        <f t="shared" si="25"/>
        <v>40</v>
      </c>
    </row>
    <row r="775" spans="1:8" x14ac:dyDescent="0.35">
      <c r="A775" s="8">
        <v>46857</v>
      </c>
      <c r="B775" s="8">
        <f t="shared" si="24"/>
        <v>46844</v>
      </c>
      <c r="C775" t="s">
        <v>25</v>
      </c>
      <c r="D775" s="5" t="s">
        <v>44</v>
      </c>
      <c r="E775" s="10">
        <f>IFERROR(VLOOKUP(C775,Assets!$A:$G,7,FALSE),0)</f>
        <v>40</v>
      </c>
      <c r="F775" s="11" t="s">
        <v>45</v>
      </c>
      <c r="G775" s="6"/>
      <c r="H775" s="10">
        <f t="shared" si="25"/>
        <v>40</v>
      </c>
    </row>
    <row r="776" spans="1:8" x14ac:dyDescent="0.35">
      <c r="A776" s="8">
        <v>46864</v>
      </c>
      <c r="B776" s="8">
        <f t="shared" si="24"/>
        <v>46844</v>
      </c>
      <c r="C776" t="s">
        <v>25</v>
      </c>
      <c r="D776" s="5" t="s">
        <v>44</v>
      </c>
      <c r="E776" s="10">
        <f>IFERROR(VLOOKUP(C776,Assets!$A:$G,7,FALSE),0)</f>
        <v>40</v>
      </c>
      <c r="F776" s="11" t="s">
        <v>45</v>
      </c>
      <c r="G776" s="6"/>
      <c r="H776" s="10">
        <f t="shared" si="25"/>
        <v>40</v>
      </c>
    </row>
    <row r="777" spans="1:8" x14ac:dyDescent="0.35">
      <c r="A777" s="8">
        <v>46871</v>
      </c>
      <c r="B777" s="8">
        <f t="shared" si="24"/>
        <v>46844</v>
      </c>
      <c r="C777" t="s">
        <v>25</v>
      </c>
      <c r="D777" s="5" t="s">
        <v>44</v>
      </c>
      <c r="E777" s="10">
        <f>IFERROR(VLOOKUP(C777,Assets!$A:$G,7,FALSE),0)</f>
        <v>40</v>
      </c>
      <c r="F777" s="11" t="s">
        <v>45</v>
      </c>
      <c r="G777" s="6"/>
      <c r="H777" s="10">
        <f t="shared" si="25"/>
        <v>40</v>
      </c>
    </row>
    <row r="778" spans="1:8" x14ac:dyDescent="0.35">
      <c r="A778" s="8">
        <v>46850</v>
      </c>
      <c r="B778" s="8">
        <f t="shared" si="24"/>
        <v>46844</v>
      </c>
      <c r="C778" t="s">
        <v>26</v>
      </c>
      <c r="D778" s="5" t="s">
        <v>44</v>
      </c>
      <c r="E778" s="10">
        <f>IFERROR(VLOOKUP(C778,Assets!$A:$G,7,FALSE),0)</f>
        <v>27</v>
      </c>
      <c r="F778" s="11" t="s">
        <v>45</v>
      </c>
      <c r="G778" s="6"/>
      <c r="H778" s="10">
        <f t="shared" si="25"/>
        <v>27</v>
      </c>
    </row>
    <row r="779" spans="1:8" x14ac:dyDescent="0.35">
      <c r="A779" s="8">
        <v>46857</v>
      </c>
      <c r="B779" s="8">
        <f t="shared" si="24"/>
        <v>46844</v>
      </c>
      <c r="C779" t="s">
        <v>26</v>
      </c>
      <c r="D779" s="5" t="s">
        <v>44</v>
      </c>
      <c r="E779" s="10">
        <f>IFERROR(VLOOKUP(C779,Assets!$A:$G,7,FALSE),0)</f>
        <v>27</v>
      </c>
      <c r="F779" s="11" t="s">
        <v>45</v>
      </c>
      <c r="G779" s="6"/>
      <c r="H779" s="10">
        <f t="shared" si="25"/>
        <v>27</v>
      </c>
    </row>
    <row r="780" spans="1:8" x14ac:dyDescent="0.35">
      <c r="A780" s="8">
        <v>46864</v>
      </c>
      <c r="B780" s="8">
        <f t="shared" si="24"/>
        <v>46844</v>
      </c>
      <c r="C780" t="s">
        <v>26</v>
      </c>
      <c r="D780" s="5" t="s">
        <v>44</v>
      </c>
      <c r="E780" s="10">
        <f>IFERROR(VLOOKUP(C780,Assets!$A:$G,7,FALSE),0)</f>
        <v>27</v>
      </c>
      <c r="F780" s="11" t="s">
        <v>45</v>
      </c>
      <c r="G780" s="6"/>
      <c r="H780" s="10">
        <f t="shared" si="25"/>
        <v>27</v>
      </c>
    </row>
    <row r="781" spans="1:8" x14ac:dyDescent="0.35">
      <c r="A781" s="8">
        <v>46871</v>
      </c>
      <c r="B781" s="8">
        <f t="shared" si="24"/>
        <v>46844</v>
      </c>
      <c r="C781" t="s">
        <v>26</v>
      </c>
      <c r="D781" s="5" t="s">
        <v>44</v>
      </c>
      <c r="E781" s="10">
        <f>IFERROR(VLOOKUP(C781,Assets!$A:$G,7,FALSE),0)</f>
        <v>27</v>
      </c>
      <c r="F781" s="11" t="s">
        <v>45</v>
      </c>
      <c r="G781" s="6"/>
      <c r="H781" s="10">
        <f t="shared" si="25"/>
        <v>27</v>
      </c>
    </row>
    <row r="782" spans="1:8" x14ac:dyDescent="0.35">
      <c r="A782" s="8">
        <v>46850</v>
      </c>
      <c r="B782" s="8">
        <f t="shared" si="24"/>
        <v>46844</v>
      </c>
      <c r="C782" t="s">
        <v>29</v>
      </c>
      <c r="D782" s="5" t="s">
        <v>44</v>
      </c>
      <c r="E782" s="10">
        <f>IFERROR(VLOOKUP(C782,Assets!$A:$G,7,FALSE),0)</f>
        <v>20</v>
      </c>
      <c r="F782" s="11" t="s">
        <v>45</v>
      </c>
      <c r="G782" s="6"/>
      <c r="H782" s="10">
        <f t="shared" si="25"/>
        <v>20</v>
      </c>
    </row>
    <row r="783" spans="1:8" x14ac:dyDescent="0.35">
      <c r="A783" s="8">
        <v>46857</v>
      </c>
      <c r="B783" s="8">
        <f t="shared" si="24"/>
        <v>46844</v>
      </c>
      <c r="C783" t="s">
        <v>29</v>
      </c>
      <c r="D783" s="5" t="s">
        <v>44</v>
      </c>
      <c r="E783" s="10">
        <f>IFERROR(VLOOKUP(C783,Assets!$A:$G,7,FALSE),0)</f>
        <v>20</v>
      </c>
      <c r="F783" s="11" t="s">
        <v>45</v>
      </c>
      <c r="G783" s="6"/>
      <c r="H783" s="10">
        <f t="shared" si="25"/>
        <v>20</v>
      </c>
    </row>
    <row r="784" spans="1:8" x14ac:dyDescent="0.35">
      <c r="A784" s="8">
        <v>46864</v>
      </c>
      <c r="B784" s="8">
        <f t="shared" si="24"/>
        <v>46844</v>
      </c>
      <c r="C784" t="s">
        <v>29</v>
      </c>
      <c r="D784" s="5" t="s">
        <v>44</v>
      </c>
      <c r="E784" s="10">
        <f>IFERROR(VLOOKUP(C784,Assets!$A:$G,7,FALSE),0)</f>
        <v>20</v>
      </c>
      <c r="F784" s="11" t="s">
        <v>45</v>
      </c>
      <c r="G784" s="6"/>
      <c r="H784" s="10">
        <f t="shared" si="25"/>
        <v>20</v>
      </c>
    </row>
    <row r="785" spans="1:8" x14ac:dyDescent="0.35">
      <c r="A785" s="8">
        <v>46871</v>
      </c>
      <c r="B785" s="8">
        <f t="shared" si="24"/>
        <v>46844</v>
      </c>
      <c r="C785" t="s">
        <v>29</v>
      </c>
      <c r="D785" s="5" t="s">
        <v>44</v>
      </c>
      <c r="E785" s="10">
        <f>IFERROR(VLOOKUP(C785,Assets!$A:$G,7,FALSE),0)</f>
        <v>20</v>
      </c>
      <c r="F785" s="11" t="s">
        <v>45</v>
      </c>
      <c r="G785" s="6"/>
      <c r="H785" s="10">
        <f t="shared" si="25"/>
        <v>20</v>
      </c>
    </row>
    <row r="786" spans="1:8" x14ac:dyDescent="0.35">
      <c r="A786" s="8">
        <v>46850</v>
      </c>
      <c r="B786" s="8">
        <f t="shared" si="24"/>
        <v>46844</v>
      </c>
      <c r="C786" t="s">
        <v>31</v>
      </c>
      <c r="D786" s="5" t="s">
        <v>44</v>
      </c>
      <c r="E786" s="10">
        <f>IFERROR(VLOOKUP(C786,Assets!$A:$G,7,FALSE),0)</f>
        <v>27</v>
      </c>
      <c r="F786" s="11" t="s">
        <v>45</v>
      </c>
      <c r="G786" s="6"/>
      <c r="H786" s="10">
        <f t="shared" si="25"/>
        <v>27</v>
      </c>
    </row>
    <row r="787" spans="1:8" x14ac:dyDescent="0.35">
      <c r="A787" s="8">
        <v>46857</v>
      </c>
      <c r="B787" s="8">
        <f t="shared" si="24"/>
        <v>46844</v>
      </c>
      <c r="C787" t="s">
        <v>31</v>
      </c>
      <c r="D787" s="5" t="s">
        <v>44</v>
      </c>
      <c r="E787" s="10">
        <f>IFERROR(VLOOKUP(C787,Assets!$A:$G,7,FALSE),0)</f>
        <v>27</v>
      </c>
      <c r="F787" s="11" t="s">
        <v>45</v>
      </c>
      <c r="G787" s="6"/>
      <c r="H787" s="10">
        <f t="shared" si="25"/>
        <v>27</v>
      </c>
    </row>
    <row r="788" spans="1:8" x14ac:dyDescent="0.35">
      <c r="A788" s="8">
        <v>46864</v>
      </c>
      <c r="B788" s="8">
        <f t="shared" si="24"/>
        <v>46844</v>
      </c>
      <c r="C788" t="s">
        <v>31</v>
      </c>
      <c r="D788" s="5" t="s">
        <v>44</v>
      </c>
      <c r="E788" s="10">
        <f>IFERROR(VLOOKUP(C788,Assets!$A:$G,7,FALSE),0)</f>
        <v>27</v>
      </c>
      <c r="F788" s="11" t="s">
        <v>45</v>
      </c>
      <c r="G788" s="6"/>
      <c r="H788" s="10">
        <f t="shared" si="25"/>
        <v>27</v>
      </c>
    </row>
    <row r="789" spans="1:8" x14ac:dyDescent="0.35">
      <c r="A789" s="8">
        <v>46871</v>
      </c>
      <c r="B789" s="8">
        <f t="shared" si="24"/>
        <v>46844</v>
      </c>
      <c r="C789" t="s">
        <v>31</v>
      </c>
      <c r="D789" s="5" t="s">
        <v>44</v>
      </c>
      <c r="E789" s="10">
        <f>IFERROR(VLOOKUP(C789,Assets!$A:$G,7,FALSE),0)</f>
        <v>27</v>
      </c>
      <c r="F789" s="11" t="s">
        <v>45</v>
      </c>
      <c r="G789" s="6"/>
      <c r="H789" s="10">
        <f t="shared" si="25"/>
        <v>27</v>
      </c>
    </row>
    <row r="790" spans="1:8" x14ac:dyDescent="0.35">
      <c r="A790" s="8">
        <v>46850</v>
      </c>
      <c r="B790" s="8">
        <f t="shared" si="24"/>
        <v>46844</v>
      </c>
      <c r="C790" t="s">
        <v>32</v>
      </c>
      <c r="D790" s="5" t="s">
        <v>44</v>
      </c>
      <c r="E790" s="10">
        <f>IFERROR(VLOOKUP(C790,Assets!$A:$G,7,FALSE),0)</f>
        <v>45</v>
      </c>
      <c r="F790" s="11" t="s">
        <v>45</v>
      </c>
      <c r="G790" s="6"/>
      <c r="H790" s="10">
        <f t="shared" si="25"/>
        <v>45</v>
      </c>
    </row>
    <row r="791" spans="1:8" x14ac:dyDescent="0.35">
      <c r="A791" s="8">
        <v>46857</v>
      </c>
      <c r="B791" s="8">
        <f t="shared" si="24"/>
        <v>46844</v>
      </c>
      <c r="C791" t="s">
        <v>32</v>
      </c>
      <c r="D791" s="5" t="s">
        <v>44</v>
      </c>
      <c r="E791" s="10">
        <f>IFERROR(VLOOKUP(C791,Assets!$A:$G,7,FALSE),0)</f>
        <v>45</v>
      </c>
      <c r="F791" s="11" t="s">
        <v>45</v>
      </c>
      <c r="G791" s="6"/>
      <c r="H791" s="10">
        <f t="shared" si="25"/>
        <v>45</v>
      </c>
    </row>
    <row r="792" spans="1:8" x14ac:dyDescent="0.35">
      <c r="A792" s="8">
        <v>46864</v>
      </c>
      <c r="B792" s="8">
        <f t="shared" si="24"/>
        <v>46844</v>
      </c>
      <c r="C792" t="s">
        <v>32</v>
      </c>
      <c r="D792" s="5" t="s">
        <v>44</v>
      </c>
      <c r="E792" s="10">
        <f>IFERROR(VLOOKUP(C792,Assets!$A:$G,7,FALSE),0)</f>
        <v>45</v>
      </c>
      <c r="F792" s="11" t="s">
        <v>45</v>
      </c>
      <c r="G792" s="6"/>
      <c r="H792" s="10">
        <f t="shared" si="25"/>
        <v>45</v>
      </c>
    </row>
    <row r="793" spans="1:8" x14ac:dyDescent="0.35">
      <c r="A793" s="8">
        <v>46871</v>
      </c>
      <c r="B793" s="8">
        <f t="shared" si="24"/>
        <v>46844</v>
      </c>
      <c r="C793" t="s">
        <v>32</v>
      </c>
      <c r="D793" s="5" t="s">
        <v>44</v>
      </c>
      <c r="E793" s="10">
        <f>IFERROR(VLOOKUP(C793,Assets!$A:$G,7,FALSE),0)</f>
        <v>45</v>
      </c>
      <c r="F793" s="11" t="s">
        <v>45</v>
      </c>
      <c r="G793" s="6"/>
      <c r="H793" s="10">
        <f t="shared" si="25"/>
        <v>45</v>
      </c>
    </row>
    <row r="794" spans="1:8" x14ac:dyDescent="0.35">
      <c r="A794" s="8">
        <v>46850</v>
      </c>
      <c r="B794" s="8">
        <f t="shared" si="24"/>
        <v>46844</v>
      </c>
      <c r="C794" t="s">
        <v>33</v>
      </c>
      <c r="D794" s="5" t="s">
        <v>44</v>
      </c>
      <c r="E794" s="10">
        <f>IFERROR(VLOOKUP(C794,Assets!$A:$G,7,FALSE),0)</f>
        <v>41</v>
      </c>
      <c r="F794" s="11" t="s">
        <v>45</v>
      </c>
      <c r="G794" s="6"/>
      <c r="H794" s="10">
        <f t="shared" si="25"/>
        <v>41</v>
      </c>
    </row>
    <row r="795" spans="1:8" x14ac:dyDescent="0.35">
      <c r="A795" s="8">
        <v>46857</v>
      </c>
      <c r="B795" s="8">
        <f t="shared" si="24"/>
        <v>46844</v>
      </c>
      <c r="C795" t="s">
        <v>33</v>
      </c>
      <c r="D795" s="5" t="s">
        <v>44</v>
      </c>
      <c r="E795" s="10">
        <f>IFERROR(VLOOKUP(C795,Assets!$A:$G,7,FALSE),0)</f>
        <v>41</v>
      </c>
      <c r="F795" s="11" t="s">
        <v>45</v>
      </c>
      <c r="G795" s="6"/>
      <c r="H795" s="10">
        <f t="shared" si="25"/>
        <v>41</v>
      </c>
    </row>
    <row r="796" spans="1:8" x14ac:dyDescent="0.35">
      <c r="A796" s="8">
        <v>46864</v>
      </c>
      <c r="B796" s="8">
        <f t="shared" si="24"/>
        <v>46844</v>
      </c>
      <c r="C796" t="s">
        <v>33</v>
      </c>
      <c r="D796" s="5" t="s">
        <v>44</v>
      </c>
      <c r="E796" s="10">
        <f>IFERROR(VLOOKUP(C796,Assets!$A:$G,7,FALSE),0)</f>
        <v>41</v>
      </c>
      <c r="F796" s="11" t="s">
        <v>45</v>
      </c>
      <c r="G796" s="6"/>
      <c r="H796" s="10">
        <f t="shared" si="25"/>
        <v>41</v>
      </c>
    </row>
    <row r="797" spans="1:8" x14ac:dyDescent="0.35">
      <c r="A797" s="8">
        <v>46871</v>
      </c>
      <c r="B797" s="8">
        <f t="shared" si="24"/>
        <v>46844</v>
      </c>
      <c r="C797" t="s">
        <v>33</v>
      </c>
      <c r="D797" s="5" t="s">
        <v>44</v>
      </c>
      <c r="E797" s="10">
        <f>IFERROR(VLOOKUP(C797,Assets!$A:$G,7,FALSE),0)</f>
        <v>41</v>
      </c>
      <c r="F797" s="11" t="s">
        <v>45</v>
      </c>
      <c r="G797" s="6"/>
      <c r="H797" s="10">
        <f t="shared" si="25"/>
        <v>41</v>
      </c>
    </row>
    <row r="798" spans="1:8" x14ac:dyDescent="0.35">
      <c r="A798" s="8">
        <v>46850</v>
      </c>
      <c r="B798" s="8">
        <f t="shared" si="24"/>
        <v>46844</v>
      </c>
      <c r="C798" t="s">
        <v>34</v>
      </c>
      <c r="D798" s="5" t="s">
        <v>44</v>
      </c>
      <c r="E798" s="10">
        <f>IFERROR(VLOOKUP(C798,Assets!$A:$G,7,FALSE),0)</f>
        <v>15</v>
      </c>
      <c r="F798" s="11" t="s">
        <v>45</v>
      </c>
      <c r="G798" s="6"/>
      <c r="H798" s="10">
        <f t="shared" si="25"/>
        <v>15</v>
      </c>
    </row>
    <row r="799" spans="1:8" x14ac:dyDescent="0.35">
      <c r="A799" s="8">
        <v>46857</v>
      </c>
      <c r="B799" s="8">
        <f t="shared" si="24"/>
        <v>46844</v>
      </c>
      <c r="C799" t="s">
        <v>34</v>
      </c>
      <c r="D799" s="5" t="s">
        <v>44</v>
      </c>
      <c r="E799" s="10">
        <f>IFERROR(VLOOKUP(C799,Assets!$A:$G,7,FALSE),0)</f>
        <v>15</v>
      </c>
      <c r="F799" s="11" t="s">
        <v>45</v>
      </c>
      <c r="G799" s="6"/>
      <c r="H799" s="10">
        <f t="shared" si="25"/>
        <v>15</v>
      </c>
    </row>
    <row r="800" spans="1:8" x14ac:dyDescent="0.35">
      <c r="A800" s="8">
        <v>46864</v>
      </c>
      <c r="B800" s="8">
        <f t="shared" si="24"/>
        <v>46844</v>
      </c>
      <c r="C800" t="s">
        <v>34</v>
      </c>
      <c r="D800" s="5" t="s">
        <v>44</v>
      </c>
      <c r="E800" s="10">
        <f>IFERROR(VLOOKUP(C800,Assets!$A:$G,7,FALSE),0)</f>
        <v>15</v>
      </c>
      <c r="F800" s="11" t="s">
        <v>45</v>
      </c>
      <c r="G800" s="6"/>
      <c r="H800" s="10">
        <f t="shared" si="25"/>
        <v>15</v>
      </c>
    </row>
    <row r="801" spans="1:8" x14ac:dyDescent="0.35">
      <c r="A801" s="8">
        <v>46871</v>
      </c>
      <c r="B801" s="8">
        <f t="shared" si="24"/>
        <v>46844</v>
      </c>
      <c r="C801" t="s">
        <v>34</v>
      </c>
      <c r="D801" s="5" t="s">
        <v>44</v>
      </c>
      <c r="E801" s="10">
        <f>IFERROR(VLOOKUP(C801,Assets!$A:$G,7,FALSE),0)</f>
        <v>15</v>
      </c>
      <c r="F801" s="11" t="s">
        <v>45</v>
      </c>
      <c r="G801" s="6"/>
      <c r="H801" s="10">
        <f t="shared" si="25"/>
        <v>15</v>
      </c>
    </row>
    <row r="802" spans="1:8" x14ac:dyDescent="0.35">
      <c r="A802" s="8">
        <v>46880</v>
      </c>
      <c r="B802" s="8">
        <f t="shared" si="24"/>
        <v>46874</v>
      </c>
      <c r="C802" t="s">
        <v>20</v>
      </c>
      <c r="D802" s="5" t="s">
        <v>44</v>
      </c>
      <c r="E802" s="10">
        <f>IFERROR(VLOOKUP(C802,Assets!$A:$G,7,FALSE),0)</f>
        <v>160</v>
      </c>
      <c r="F802" s="11" t="s">
        <v>45</v>
      </c>
      <c r="G802" s="6"/>
      <c r="H802" s="10">
        <f t="shared" si="25"/>
        <v>160</v>
      </c>
    </row>
    <row r="803" spans="1:8" x14ac:dyDescent="0.35">
      <c r="A803" s="8">
        <v>46887</v>
      </c>
      <c r="B803" s="8">
        <f t="shared" si="24"/>
        <v>46874</v>
      </c>
      <c r="C803" t="s">
        <v>20</v>
      </c>
      <c r="D803" s="5" t="s">
        <v>44</v>
      </c>
      <c r="E803" s="10">
        <f>IFERROR(VLOOKUP(C803,Assets!$A:$G,7,FALSE),0)</f>
        <v>160</v>
      </c>
      <c r="F803" s="11" t="s">
        <v>45</v>
      </c>
      <c r="G803" s="6"/>
      <c r="H803" s="10">
        <f t="shared" si="25"/>
        <v>160</v>
      </c>
    </row>
    <row r="804" spans="1:8" x14ac:dyDescent="0.35">
      <c r="A804" s="8">
        <v>46894</v>
      </c>
      <c r="B804" s="8">
        <f t="shared" si="24"/>
        <v>46874</v>
      </c>
      <c r="C804" t="s">
        <v>20</v>
      </c>
      <c r="D804" s="5" t="s">
        <v>44</v>
      </c>
      <c r="E804" s="10">
        <f>IFERROR(VLOOKUP(C804,Assets!$A:$G,7,FALSE),0)</f>
        <v>160</v>
      </c>
      <c r="F804" s="11" t="s">
        <v>45</v>
      </c>
      <c r="G804" s="6"/>
      <c r="H804" s="10">
        <f t="shared" si="25"/>
        <v>160</v>
      </c>
    </row>
    <row r="805" spans="1:8" x14ac:dyDescent="0.35">
      <c r="A805" s="8">
        <v>46901</v>
      </c>
      <c r="B805" s="8">
        <f t="shared" si="24"/>
        <v>46874</v>
      </c>
      <c r="C805" t="s">
        <v>20</v>
      </c>
      <c r="D805" s="5" t="s">
        <v>44</v>
      </c>
      <c r="E805" s="10">
        <f>IFERROR(VLOOKUP(C805,Assets!$A:$G,7,FALSE),0)</f>
        <v>160</v>
      </c>
      <c r="F805" s="11" t="s">
        <v>45</v>
      </c>
      <c r="G805" s="6"/>
      <c r="H805" s="10">
        <f t="shared" si="25"/>
        <v>160</v>
      </c>
    </row>
    <row r="806" spans="1:8" x14ac:dyDescent="0.35">
      <c r="A806" s="8">
        <v>46880</v>
      </c>
      <c r="B806" s="8">
        <f t="shared" si="24"/>
        <v>46874</v>
      </c>
      <c r="C806" t="s">
        <v>25</v>
      </c>
      <c r="D806" s="5" t="s">
        <v>44</v>
      </c>
      <c r="E806" s="10">
        <f>IFERROR(VLOOKUP(C806,Assets!$A:$G,7,FALSE),0)</f>
        <v>40</v>
      </c>
      <c r="F806" s="11" t="s">
        <v>45</v>
      </c>
      <c r="G806" s="6"/>
      <c r="H806" s="10">
        <f t="shared" si="25"/>
        <v>40</v>
      </c>
    </row>
    <row r="807" spans="1:8" x14ac:dyDescent="0.35">
      <c r="A807" s="8">
        <v>46887</v>
      </c>
      <c r="B807" s="8">
        <f t="shared" si="24"/>
        <v>46874</v>
      </c>
      <c r="C807" t="s">
        <v>25</v>
      </c>
      <c r="D807" s="5" t="s">
        <v>44</v>
      </c>
      <c r="E807" s="10">
        <f>IFERROR(VLOOKUP(C807,Assets!$A:$G,7,FALSE),0)</f>
        <v>40</v>
      </c>
      <c r="F807" s="11" t="s">
        <v>45</v>
      </c>
      <c r="G807" s="6"/>
      <c r="H807" s="10">
        <f t="shared" si="25"/>
        <v>40</v>
      </c>
    </row>
    <row r="808" spans="1:8" x14ac:dyDescent="0.35">
      <c r="A808" s="8">
        <v>46894</v>
      </c>
      <c r="B808" s="8">
        <f t="shared" si="24"/>
        <v>46874</v>
      </c>
      <c r="C808" t="s">
        <v>25</v>
      </c>
      <c r="D808" s="5" t="s">
        <v>44</v>
      </c>
      <c r="E808" s="10">
        <f>IFERROR(VLOOKUP(C808,Assets!$A:$G,7,FALSE),0)</f>
        <v>40</v>
      </c>
      <c r="F808" s="11" t="s">
        <v>45</v>
      </c>
      <c r="G808" s="6"/>
      <c r="H808" s="10">
        <f t="shared" si="25"/>
        <v>40</v>
      </c>
    </row>
    <row r="809" spans="1:8" x14ac:dyDescent="0.35">
      <c r="A809" s="8">
        <v>46901</v>
      </c>
      <c r="B809" s="8">
        <f t="shared" si="24"/>
        <v>46874</v>
      </c>
      <c r="C809" t="s">
        <v>25</v>
      </c>
      <c r="D809" s="5" t="s">
        <v>44</v>
      </c>
      <c r="E809" s="10">
        <f>IFERROR(VLOOKUP(C809,Assets!$A:$G,7,FALSE),0)</f>
        <v>40</v>
      </c>
      <c r="F809" s="11" t="s">
        <v>45</v>
      </c>
      <c r="G809" s="6"/>
      <c r="H809" s="10">
        <f t="shared" si="25"/>
        <v>40</v>
      </c>
    </row>
    <row r="810" spans="1:8" x14ac:dyDescent="0.35">
      <c r="A810" s="8">
        <v>46880</v>
      </c>
      <c r="B810" s="8">
        <f t="shared" si="24"/>
        <v>46874</v>
      </c>
      <c r="C810" t="s">
        <v>26</v>
      </c>
      <c r="D810" s="5" t="s">
        <v>44</v>
      </c>
      <c r="E810" s="10">
        <f>IFERROR(VLOOKUP(C810,Assets!$A:$G,7,FALSE),0)</f>
        <v>27</v>
      </c>
      <c r="F810" s="11" t="s">
        <v>45</v>
      </c>
      <c r="G810" s="6"/>
      <c r="H810" s="10">
        <f t="shared" si="25"/>
        <v>27</v>
      </c>
    </row>
    <row r="811" spans="1:8" x14ac:dyDescent="0.35">
      <c r="A811" s="8">
        <v>46887</v>
      </c>
      <c r="B811" s="8">
        <f t="shared" si="24"/>
        <v>46874</v>
      </c>
      <c r="C811" t="s">
        <v>26</v>
      </c>
      <c r="D811" s="5" t="s">
        <v>44</v>
      </c>
      <c r="E811" s="10">
        <f>IFERROR(VLOOKUP(C811,Assets!$A:$G,7,FALSE),0)</f>
        <v>27</v>
      </c>
      <c r="F811" s="11" t="s">
        <v>45</v>
      </c>
      <c r="G811" s="6"/>
      <c r="H811" s="10">
        <f t="shared" si="25"/>
        <v>27</v>
      </c>
    </row>
    <row r="812" spans="1:8" x14ac:dyDescent="0.35">
      <c r="A812" s="8">
        <v>46894</v>
      </c>
      <c r="B812" s="8">
        <f t="shared" si="24"/>
        <v>46874</v>
      </c>
      <c r="C812" t="s">
        <v>26</v>
      </c>
      <c r="D812" s="5" t="s">
        <v>44</v>
      </c>
      <c r="E812" s="10">
        <f>IFERROR(VLOOKUP(C812,Assets!$A:$G,7,FALSE),0)</f>
        <v>27</v>
      </c>
      <c r="F812" s="11" t="s">
        <v>45</v>
      </c>
      <c r="G812" s="6"/>
      <c r="H812" s="10">
        <f t="shared" si="25"/>
        <v>27</v>
      </c>
    </row>
    <row r="813" spans="1:8" x14ac:dyDescent="0.35">
      <c r="A813" s="8">
        <v>46901</v>
      </c>
      <c r="B813" s="8">
        <f t="shared" si="24"/>
        <v>46874</v>
      </c>
      <c r="C813" t="s">
        <v>26</v>
      </c>
      <c r="D813" s="5" t="s">
        <v>44</v>
      </c>
      <c r="E813" s="10">
        <f>IFERROR(VLOOKUP(C813,Assets!$A:$G,7,FALSE),0)</f>
        <v>27</v>
      </c>
      <c r="F813" s="11" t="s">
        <v>45</v>
      </c>
      <c r="G813" s="6"/>
      <c r="H813" s="10">
        <f t="shared" si="25"/>
        <v>27</v>
      </c>
    </row>
    <row r="814" spans="1:8" x14ac:dyDescent="0.35">
      <c r="A814" s="8">
        <v>46880</v>
      </c>
      <c r="B814" s="8">
        <f t="shared" si="24"/>
        <v>46874</v>
      </c>
      <c r="C814" t="s">
        <v>29</v>
      </c>
      <c r="D814" s="5" t="s">
        <v>44</v>
      </c>
      <c r="E814" s="10">
        <f>IFERROR(VLOOKUP(C814,Assets!$A:$G,7,FALSE),0)</f>
        <v>20</v>
      </c>
      <c r="F814" s="11" t="s">
        <v>45</v>
      </c>
      <c r="G814" s="6"/>
      <c r="H814" s="10">
        <f t="shared" si="25"/>
        <v>20</v>
      </c>
    </row>
    <row r="815" spans="1:8" x14ac:dyDescent="0.35">
      <c r="A815" s="8">
        <v>46887</v>
      </c>
      <c r="B815" s="8">
        <f t="shared" si="24"/>
        <v>46874</v>
      </c>
      <c r="C815" t="s">
        <v>29</v>
      </c>
      <c r="D815" s="5" t="s">
        <v>44</v>
      </c>
      <c r="E815" s="10">
        <f>IFERROR(VLOOKUP(C815,Assets!$A:$G,7,FALSE),0)</f>
        <v>20</v>
      </c>
      <c r="F815" s="11" t="s">
        <v>45</v>
      </c>
      <c r="G815" s="6"/>
      <c r="H815" s="10">
        <f t="shared" si="25"/>
        <v>20</v>
      </c>
    </row>
    <row r="816" spans="1:8" x14ac:dyDescent="0.35">
      <c r="A816" s="8">
        <v>46894</v>
      </c>
      <c r="B816" s="8">
        <f t="shared" si="24"/>
        <v>46874</v>
      </c>
      <c r="C816" t="s">
        <v>29</v>
      </c>
      <c r="D816" s="5" t="s">
        <v>44</v>
      </c>
      <c r="E816" s="10">
        <f>IFERROR(VLOOKUP(C816,Assets!$A:$G,7,FALSE),0)</f>
        <v>20</v>
      </c>
      <c r="F816" s="11" t="s">
        <v>45</v>
      </c>
      <c r="G816" s="6"/>
      <c r="H816" s="10">
        <f t="shared" si="25"/>
        <v>20</v>
      </c>
    </row>
    <row r="817" spans="1:8" x14ac:dyDescent="0.35">
      <c r="A817" s="8">
        <v>46901</v>
      </c>
      <c r="B817" s="8">
        <f t="shared" si="24"/>
        <v>46874</v>
      </c>
      <c r="C817" t="s">
        <v>29</v>
      </c>
      <c r="D817" s="5" t="s">
        <v>44</v>
      </c>
      <c r="E817" s="10">
        <f>IFERROR(VLOOKUP(C817,Assets!$A:$G,7,FALSE),0)</f>
        <v>20</v>
      </c>
      <c r="F817" s="11" t="s">
        <v>45</v>
      </c>
      <c r="G817" s="6"/>
      <c r="H817" s="10">
        <f t="shared" si="25"/>
        <v>20</v>
      </c>
    </row>
    <row r="818" spans="1:8" x14ac:dyDescent="0.35">
      <c r="A818" s="8">
        <v>46880</v>
      </c>
      <c r="B818" s="8">
        <f t="shared" si="24"/>
        <v>46874</v>
      </c>
      <c r="C818" t="s">
        <v>31</v>
      </c>
      <c r="D818" s="5" t="s">
        <v>44</v>
      </c>
      <c r="E818" s="10">
        <f>IFERROR(VLOOKUP(C818,Assets!$A:$G,7,FALSE),0)</f>
        <v>27</v>
      </c>
      <c r="F818" s="11" t="s">
        <v>45</v>
      </c>
      <c r="G818" s="6"/>
      <c r="H818" s="10">
        <f t="shared" si="25"/>
        <v>27</v>
      </c>
    </row>
    <row r="819" spans="1:8" x14ac:dyDescent="0.35">
      <c r="A819" s="8">
        <v>46887</v>
      </c>
      <c r="B819" s="8">
        <f t="shared" si="24"/>
        <v>46874</v>
      </c>
      <c r="C819" t="s">
        <v>31</v>
      </c>
      <c r="D819" s="5" t="s">
        <v>44</v>
      </c>
      <c r="E819" s="10">
        <f>IFERROR(VLOOKUP(C819,Assets!$A:$G,7,FALSE),0)</f>
        <v>27</v>
      </c>
      <c r="F819" s="11" t="s">
        <v>45</v>
      </c>
      <c r="G819" s="6"/>
      <c r="H819" s="10">
        <f t="shared" si="25"/>
        <v>27</v>
      </c>
    </row>
    <row r="820" spans="1:8" x14ac:dyDescent="0.35">
      <c r="A820" s="8">
        <v>46894</v>
      </c>
      <c r="B820" s="8">
        <f t="shared" si="24"/>
        <v>46874</v>
      </c>
      <c r="C820" t="s">
        <v>31</v>
      </c>
      <c r="D820" s="5" t="s">
        <v>44</v>
      </c>
      <c r="E820" s="10">
        <f>IFERROR(VLOOKUP(C820,Assets!$A:$G,7,FALSE),0)</f>
        <v>27</v>
      </c>
      <c r="F820" s="11" t="s">
        <v>45</v>
      </c>
      <c r="G820" s="6"/>
      <c r="H820" s="10">
        <f t="shared" si="25"/>
        <v>27</v>
      </c>
    </row>
    <row r="821" spans="1:8" x14ac:dyDescent="0.35">
      <c r="A821" s="8">
        <v>46901</v>
      </c>
      <c r="B821" s="8">
        <f t="shared" si="24"/>
        <v>46874</v>
      </c>
      <c r="C821" t="s">
        <v>31</v>
      </c>
      <c r="D821" s="5" t="s">
        <v>44</v>
      </c>
      <c r="E821" s="10">
        <f>IFERROR(VLOOKUP(C821,Assets!$A:$G,7,FALSE),0)</f>
        <v>27</v>
      </c>
      <c r="F821" s="11" t="s">
        <v>45</v>
      </c>
      <c r="G821" s="6"/>
      <c r="H821" s="10">
        <f t="shared" si="25"/>
        <v>27</v>
      </c>
    </row>
    <row r="822" spans="1:8" x14ac:dyDescent="0.35">
      <c r="A822" s="8">
        <v>46880</v>
      </c>
      <c r="B822" s="8">
        <f t="shared" si="24"/>
        <v>46874</v>
      </c>
      <c r="C822" t="s">
        <v>32</v>
      </c>
      <c r="D822" s="5" t="s">
        <v>44</v>
      </c>
      <c r="E822" s="10">
        <f>IFERROR(VLOOKUP(C822,Assets!$A:$G,7,FALSE),0)</f>
        <v>45</v>
      </c>
      <c r="F822" s="11" t="s">
        <v>45</v>
      </c>
      <c r="G822" s="6"/>
      <c r="H822" s="10">
        <f t="shared" si="25"/>
        <v>45</v>
      </c>
    </row>
    <row r="823" spans="1:8" x14ac:dyDescent="0.35">
      <c r="A823" s="8">
        <v>46887</v>
      </c>
      <c r="B823" s="8">
        <f t="shared" si="24"/>
        <v>46874</v>
      </c>
      <c r="C823" t="s">
        <v>32</v>
      </c>
      <c r="D823" s="5" t="s">
        <v>44</v>
      </c>
      <c r="E823" s="10">
        <f>IFERROR(VLOOKUP(C823,Assets!$A:$G,7,FALSE),0)</f>
        <v>45</v>
      </c>
      <c r="F823" s="11" t="s">
        <v>45</v>
      </c>
      <c r="G823" s="6"/>
      <c r="H823" s="10">
        <f t="shared" si="25"/>
        <v>45</v>
      </c>
    </row>
    <row r="824" spans="1:8" x14ac:dyDescent="0.35">
      <c r="A824" s="8">
        <v>46894</v>
      </c>
      <c r="B824" s="8">
        <f t="shared" si="24"/>
        <v>46874</v>
      </c>
      <c r="C824" t="s">
        <v>32</v>
      </c>
      <c r="D824" s="5" t="s">
        <v>44</v>
      </c>
      <c r="E824" s="10">
        <f>IFERROR(VLOOKUP(C824,Assets!$A:$G,7,FALSE),0)</f>
        <v>45</v>
      </c>
      <c r="F824" s="11" t="s">
        <v>45</v>
      </c>
      <c r="G824" s="6"/>
      <c r="H824" s="10">
        <f t="shared" si="25"/>
        <v>45</v>
      </c>
    </row>
    <row r="825" spans="1:8" x14ac:dyDescent="0.35">
      <c r="A825" s="8">
        <v>46901</v>
      </c>
      <c r="B825" s="8">
        <f t="shared" si="24"/>
        <v>46874</v>
      </c>
      <c r="C825" t="s">
        <v>32</v>
      </c>
      <c r="D825" s="5" t="s">
        <v>44</v>
      </c>
      <c r="E825" s="10">
        <f>IFERROR(VLOOKUP(C825,Assets!$A:$G,7,FALSE),0)</f>
        <v>45</v>
      </c>
      <c r="F825" s="11" t="s">
        <v>45</v>
      </c>
      <c r="G825" s="6"/>
      <c r="H825" s="10">
        <f t="shared" si="25"/>
        <v>45</v>
      </c>
    </row>
    <row r="826" spans="1:8" x14ac:dyDescent="0.35">
      <c r="A826" s="8">
        <v>46880</v>
      </c>
      <c r="B826" s="8">
        <f t="shared" si="24"/>
        <v>46874</v>
      </c>
      <c r="C826" t="s">
        <v>33</v>
      </c>
      <c r="D826" s="5" t="s">
        <v>44</v>
      </c>
      <c r="E826" s="10">
        <f>IFERROR(VLOOKUP(C826,Assets!$A:$G,7,FALSE),0)</f>
        <v>41</v>
      </c>
      <c r="F826" s="11" t="s">
        <v>45</v>
      </c>
      <c r="G826" s="6"/>
      <c r="H826" s="10">
        <f t="shared" si="25"/>
        <v>41</v>
      </c>
    </row>
    <row r="827" spans="1:8" x14ac:dyDescent="0.35">
      <c r="A827" s="8">
        <v>46887</v>
      </c>
      <c r="B827" s="8">
        <f t="shared" si="24"/>
        <v>46874</v>
      </c>
      <c r="C827" t="s">
        <v>33</v>
      </c>
      <c r="D827" s="5" t="s">
        <v>44</v>
      </c>
      <c r="E827" s="10">
        <f>IFERROR(VLOOKUP(C827,Assets!$A:$G,7,FALSE),0)</f>
        <v>41</v>
      </c>
      <c r="F827" s="11" t="s">
        <v>45</v>
      </c>
      <c r="G827" s="6"/>
      <c r="H827" s="10">
        <f t="shared" si="25"/>
        <v>41</v>
      </c>
    </row>
    <row r="828" spans="1:8" x14ac:dyDescent="0.35">
      <c r="A828" s="8">
        <v>46894</v>
      </c>
      <c r="B828" s="8">
        <f t="shared" si="24"/>
        <v>46874</v>
      </c>
      <c r="C828" t="s">
        <v>33</v>
      </c>
      <c r="D828" s="5" t="s">
        <v>44</v>
      </c>
      <c r="E828" s="10">
        <f>IFERROR(VLOOKUP(C828,Assets!$A:$G,7,FALSE),0)</f>
        <v>41</v>
      </c>
      <c r="F828" s="11" t="s">
        <v>45</v>
      </c>
      <c r="G828" s="6"/>
      <c r="H828" s="10">
        <f t="shared" si="25"/>
        <v>41</v>
      </c>
    </row>
    <row r="829" spans="1:8" x14ac:dyDescent="0.35">
      <c r="A829" s="8">
        <v>46901</v>
      </c>
      <c r="B829" s="8">
        <f t="shared" si="24"/>
        <v>46874</v>
      </c>
      <c r="C829" t="s">
        <v>33</v>
      </c>
      <c r="D829" s="5" t="s">
        <v>44</v>
      </c>
      <c r="E829" s="10">
        <f>IFERROR(VLOOKUP(C829,Assets!$A:$G,7,FALSE),0)</f>
        <v>41</v>
      </c>
      <c r="F829" s="11" t="s">
        <v>45</v>
      </c>
      <c r="G829" s="6"/>
      <c r="H829" s="10">
        <f t="shared" si="25"/>
        <v>41</v>
      </c>
    </row>
    <row r="830" spans="1:8" x14ac:dyDescent="0.35">
      <c r="A830" s="8">
        <v>46880</v>
      </c>
      <c r="B830" s="8">
        <f t="shared" si="24"/>
        <v>46874</v>
      </c>
      <c r="C830" t="s">
        <v>34</v>
      </c>
      <c r="D830" s="5" t="s">
        <v>44</v>
      </c>
      <c r="E830" s="10">
        <f>IFERROR(VLOOKUP(C830,Assets!$A:$G,7,FALSE),0)</f>
        <v>15</v>
      </c>
      <c r="F830" s="11" t="s">
        <v>45</v>
      </c>
      <c r="G830" s="6"/>
      <c r="H830" s="10">
        <f t="shared" si="25"/>
        <v>15</v>
      </c>
    </row>
    <row r="831" spans="1:8" x14ac:dyDescent="0.35">
      <c r="A831" s="8">
        <v>46887</v>
      </c>
      <c r="B831" s="8">
        <f t="shared" si="24"/>
        <v>46874</v>
      </c>
      <c r="C831" t="s">
        <v>34</v>
      </c>
      <c r="D831" s="5" t="s">
        <v>44</v>
      </c>
      <c r="E831" s="10">
        <f>IFERROR(VLOOKUP(C831,Assets!$A:$G,7,FALSE),0)</f>
        <v>15</v>
      </c>
      <c r="F831" s="11" t="s">
        <v>45</v>
      </c>
      <c r="G831" s="6"/>
      <c r="H831" s="10">
        <f t="shared" si="25"/>
        <v>15</v>
      </c>
    </row>
    <row r="832" spans="1:8" x14ac:dyDescent="0.35">
      <c r="A832" s="8">
        <v>46894</v>
      </c>
      <c r="B832" s="8">
        <f t="shared" si="24"/>
        <v>46874</v>
      </c>
      <c r="C832" t="s">
        <v>34</v>
      </c>
      <c r="D832" s="5" t="s">
        <v>44</v>
      </c>
      <c r="E832" s="10">
        <f>IFERROR(VLOOKUP(C832,Assets!$A:$G,7,FALSE),0)</f>
        <v>15</v>
      </c>
      <c r="F832" s="11" t="s">
        <v>45</v>
      </c>
      <c r="G832" s="6"/>
      <c r="H832" s="10">
        <f t="shared" si="25"/>
        <v>15</v>
      </c>
    </row>
    <row r="833" spans="1:8" x14ac:dyDescent="0.35">
      <c r="A833" s="8">
        <v>46901</v>
      </c>
      <c r="B833" s="8">
        <f t="shared" si="24"/>
        <v>46874</v>
      </c>
      <c r="C833" t="s">
        <v>34</v>
      </c>
      <c r="D833" s="5" t="s">
        <v>44</v>
      </c>
      <c r="E833" s="10">
        <f>IFERROR(VLOOKUP(C833,Assets!$A:$G,7,FALSE),0)</f>
        <v>15</v>
      </c>
      <c r="F833" s="11" t="s">
        <v>45</v>
      </c>
      <c r="G833" s="6"/>
      <c r="H833" s="10">
        <f t="shared" si="25"/>
        <v>15</v>
      </c>
    </row>
    <row r="834" spans="1:8" x14ac:dyDescent="0.35">
      <c r="A834" s="8">
        <v>46911</v>
      </c>
      <c r="B834" s="8">
        <f t="shared" ref="B834:B897" si="26">DATE(YEAR(A834),MONTH(A834),1)</f>
        <v>46905</v>
      </c>
      <c r="C834" t="s">
        <v>20</v>
      </c>
      <c r="D834" s="5" t="s">
        <v>44</v>
      </c>
      <c r="E834" s="10">
        <f>IFERROR(VLOOKUP(C834,Assets!$A:$G,7,FALSE),0)</f>
        <v>160</v>
      </c>
      <c r="F834" s="11" t="s">
        <v>45</v>
      </c>
      <c r="G834" s="6"/>
      <c r="H834" s="10">
        <f t="shared" ref="H834:H897" si="27">IF(F834="No",0,IF(F834="Edited",IF(G834="",E834,G834),E834))</f>
        <v>160</v>
      </c>
    </row>
    <row r="835" spans="1:8" x14ac:dyDescent="0.35">
      <c r="A835" s="8">
        <v>46918</v>
      </c>
      <c r="B835" s="8">
        <f t="shared" si="26"/>
        <v>46905</v>
      </c>
      <c r="C835" t="s">
        <v>20</v>
      </c>
      <c r="D835" s="5" t="s">
        <v>44</v>
      </c>
      <c r="E835" s="10">
        <f>IFERROR(VLOOKUP(C835,Assets!$A:$G,7,FALSE),0)</f>
        <v>160</v>
      </c>
      <c r="F835" s="11" t="s">
        <v>45</v>
      </c>
      <c r="G835" s="6"/>
      <c r="H835" s="10">
        <f t="shared" si="27"/>
        <v>160</v>
      </c>
    </row>
    <row r="836" spans="1:8" x14ac:dyDescent="0.35">
      <c r="A836" s="8">
        <v>46925</v>
      </c>
      <c r="B836" s="8">
        <f t="shared" si="26"/>
        <v>46905</v>
      </c>
      <c r="C836" t="s">
        <v>20</v>
      </c>
      <c r="D836" s="5" t="s">
        <v>44</v>
      </c>
      <c r="E836" s="10">
        <f>IFERROR(VLOOKUP(C836,Assets!$A:$G,7,FALSE),0)</f>
        <v>160</v>
      </c>
      <c r="F836" s="11" t="s">
        <v>45</v>
      </c>
      <c r="G836" s="6"/>
      <c r="H836" s="10">
        <f t="shared" si="27"/>
        <v>160</v>
      </c>
    </row>
    <row r="837" spans="1:8" x14ac:dyDescent="0.35">
      <c r="A837" s="8">
        <v>46932</v>
      </c>
      <c r="B837" s="8">
        <f t="shared" si="26"/>
        <v>46905</v>
      </c>
      <c r="C837" t="s">
        <v>20</v>
      </c>
      <c r="D837" s="5" t="s">
        <v>44</v>
      </c>
      <c r="E837" s="10">
        <f>IFERROR(VLOOKUP(C837,Assets!$A:$G,7,FALSE),0)</f>
        <v>160</v>
      </c>
      <c r="F837" s="11" t="s">
        <v>45</v>
      </c>
      <c r="G837" s="6"/>
      <c r="H837" s="10">
        <f t="shared" si="27"/>
        <v>160</v>
      </c>
    </row>
    <row r="838" spans="1:8" x14ac:dyDescent="0.35">
      <c r="A838" s="8">
        <v>46911</v>
      </c>
      <c r="B838" s="8">
        <f t="shared" si="26"/>
        <v>46905</v>
      </c>
      <c r="C838" t="s">
        <v>25</v>
      </c>
      <c r="D838" s="5" t="s">
        <v>44</v>
      </c>
      <c r="E838" s="10">
        <f>IFERROR(VLOOKUP(C838,Assets!$A:$G,7,FALSE),0)</f>
        <v>40</v>
      </c>
      <c r="F838" s="11" t="s">
        <v>45</v>
      </c>
      <c r="G838" s="6"/>
      <c r="H838" s="10">
        <f t="shared" si="27"/>
        <v>40</v>
      </c>
    </row>
    <row r="839" spans="1:8" x14ac:dyDescent="0.35">
      <c r="A839" s="8">
        <v>46918</v>
      </c>
      <c r="B839" s="8">
        <f t="shared" si="26"/>
        <v>46905</v>
      </c>
      <c r="C839" t="s">
        <v>25</v>
      </c>
      <c r="D839" s="5" t="s">
        <v>44</v>
      </c>
      <c r="E839" s="10">
        <f>IFERROR(VLOOKUP(C839,Assets!$A:$G,7,FALSE),0)</f>
        <v>40</v>
      </c>
      <c r="F839" s="11" t="s">
        <v>45</v>
      </c>
      <c r="G839" s="6"/>
      <c r="H839" s="10">
        <f t="shared" si="27"/>
        <v>40</v>
      </c>
    </row>
    <row r="840" spans="1:8" x14ac:dyDescent="0.35">
      <c r="A840" s="8">
        <v>46925</v>
      </c>
      <c r="B840" s="8">
        <f t="shared" si="26"/>
        <v>46905</v>
      </c>
      <c r="C840" t="s">
        <v>25</v>
      </c>
      <c r="D840" s="5" t="s">
        <v>44</v>
      </c>
      <c r="E840" s="10">
        <f>IFERROR(VLOOKUP(C840,Assets!$A:$G,7,FALSE),0)</f>
        <v>40</v>
      </c>
      <c r="F840" s="11" t="s">
        <v>45</v>
      </c>
      <c r="G840" s="6"/>
      <c r="H840" s="10">
        <f t="shared" si="27"/>
        <v>40</v>
      </c>
    </row>
    <row r="841" spans="1:8" x14ac:dyDescent="0.35">
      <c r="A841" s="8">
        <v>46932</v>
      </c>
      <c r="B841" s="8">
        <f t="shared" si="26"/>
        <v>46905</v>
      </c>
      <c r="C841" t="s">
        <v>25</v>
      </c>
      <c r="D841" s="5" t="s">
        <v>44</v>
      </c>
      <c r="E841" s="10">
        <f>IFERROR(VLOOKUP(C841,Assets!$A:$G,7,FALSE),0)</f>
        <v>40</v>
      </c>
      <c r="F841" s="11" t="s">
        <v>45</v>
      </c>
      <c r="G841" s="6"/>
      <c r="H841" s="10">
        <f t="shared" si="27"/>
        <v>40</v>
      </c>
    </row>
    <row r="842" spans="1:8" x14ac:dyDescent="0.35">
      <c r="A842" s="8">
        <v>46911</v>
      </c>
      <c r="B842" s="8">
        <f t="shared" si="26"/>
        <v>46905</v>
      </c>
      <c r="C842" t="s">
        <v>26</v>
      </c>
      <c r="D842" s="5" t="s">
        <v>44</v>
      </c>
      <c r="E842" s="10">
        <f>IFERROR(VLOOKUP(C842,Assets!$A:$G,7,FALSE),0)</f>
        <v>27</v>
      </c>
      <c r="F842" s="11" t="s">
        <v>45</v>
      </c>
      <c r="G842" s="6"/>
      <c r="H842" s="10">
        <f t="shared" si="27"/>
        <v>27</v>
      </c>
    </row>
    <row r="843" spans="1:8" x14ac:dyDescent="0.35">
      <c r="A843" s="8">
        <v>46918</v>
      </c>
      <c r="B843" s="8">
        <f t="shared" si="26"/>
        <v>46905</v>
      </c>
      <c r="C843" t="s">
        <v>26</v>
      </c>
      <c r="D843" s="5" t="s">
        <v>44</v>
      </c>
      <c r="E843" s="10">
        <f>IFERROR(VLOOKUP(C843,Assets!$A:$G,7,FALSE),0)</f>
        <v>27</v>
      </c>
      <c r="F843" s="11" t="s">
        <v>45</v>
      </c>
      <c r="G843" s="6"/>
      <c r="H843" s="10">
        <f t="shared" si="27"/>
        <v>27</v>
      </c>
    </row>
    <row r="844" spans="1:8" x14ac:dyDescent="0.35">
      <c r="A844" s="8">
        <v>46925</v>
      </c>
      <c r="B844" s="8">
        <f t="shared" si="26"/>
        <v>46905</v>
      </c>
      <c r="C844" t="s">
        <v>26</v>
      </c>
      <c r="D844" s="5" t="s">
        <v>44</v>
      </c>
      <c r="E844" s="10">
        <f>IFERROR(VLOOKUP(C844,Assets!$A:$G,7,FALSE),0)</f>
        <v>27</v>
      </c>
      <c r="F844" s="11" t="s">
        <v>45</v>
      </c>
      <c r="G844" s="6"/>
      <c r="H844" s="10">
        <f t="shared" si="27"/>
        <v>27</v>
      </c>
    </row>
    <row r="845" spans="1:8" x14ac:dyDescent="0.35">
      <c r="A845" s="8">
        <v>46932</v>
      </c>
      <c r="B845" s="8">
        <f t="shared" si="26"/>
        <v>46905</v>
      </c>
      <c r="C845" t="s">
        <v>26</v>
      </c>
      <c r="D845" s="5" t="s">
        <v>44</v>
      </c>
      <c r="E845" s="10">
        <f>IFERROR(VLOOKUP(C845,Assets!$A:$G,7,FALSE),0)</f>
        <v>27</v>
      </c>
      <c r="F845" s="11" t="s">
        <v>45</v>
      </c>
      <c r="G845" s="6"/>
      <c r="H845" s="10">
        <f t="shared" si="27"/>
        <v>27</v>
      </c>
    </row>
    <row r="846" spans="1:8" x14ac:dyDescent="0.35">
      <c r="A846" s="8">
        <v>46911</v>
      </c>
      <c r="B846" s="8">
        <f t="shared" si="26"/>
        <v>46905</v>
      </c>
      <c r="C846" t="s">
        <v>29</v>
      </c>
      <c r="D846" s="5" t="s">
        <v>44</v>
      </c>
      <c r="E846" s="10">
        <f>IFERROR(VLOOKUP(C846,Assets!$A:$G,7,FALSE),0)</f>
        <v>20</v>
      </c>
      <c r="F846" s="11" t="s">
        <v>45</v>
      </c>
      <c r="G846" s="6"/>
      <c r="H846" s="10">
        <f t="shared" si="27"/>
        <v>20</v>
      </c>
    </row>
    <row r="847" spans="1:8" x14ac:dyDescent="0.35">
      <c r="A847" s="8">
        <v>46918</v>
      </c>
      <c r="B847" s="8">
        <f t="shared" si="26"/>
        <v>46905</v>
      </c>
      <c r="C847" t="s">
        <v>29</v>
      </c>
      <c r="D847" s="5" t="s">
        <v>44</v>
      </c>
      <c r="E847" s="10">
        <f>IFERROR(VLOOKUP(C847,Assets!$A:$G,7,FALSE),0)</f>
        <v>20</v>
      </c>
      <c r="F847" s="11" t="s">
        <v>45</v>
      </c>
      <c r="G847" s="6"/>
      <c r="H847" s="10">
        <f t="shared" si="27"/>
        <v>20</v>
      </c>
    </row>
    <row r="848" spans="1:8" x14ac:dyDescent="0.35">
      <c r="A848" s="8">
        <v>46925</v>
      </c>
      <c r="B848" s="8">
        <f t="shared" si="26"/>
        <v>46905</v>
      </c>
      <c r="C848" t="s">
        <v>29</v>
      </c>
      <c r="D848" s="5" t="s">
        <v>44</v>
      </c>
      <c r="E848" s="10">
        <f>IFERROR(VLOOKUP(C848,Assets!$A:$G,7,FALSE),0)</f>
        <v>20</v>
      </c>
      <c r="F848" s="11" t="s">
        <v>45</v>
      </c>
      <c r="G848" s="6"/>
      <c r="H848" s="10">
        <f t="shared" si="27"/>
        <v>20</v>
      </c>
    </row>
    <row r="849" spans="1:8" x14ac:dyDescent="0.35">
      <c r="A849" s="8">
        <v>46932</v>
      </c>
      <c r="B849" s="8">
        <f t="shared" si="26"/>
        <v>46905</v>
      </c>
      <c r="C849" t="s">
        <v>29</v>
      </c>
      <c r="D849" s="5" t="s">
        <v>44</v>
      </c>
      <c r="E849" s="10">
        <f>IFERROR(VLOOKUP(C849,Assets!$A:$G,7,FALSE),0)</f>
        <v>20</v>
      </c>
      <c r="F849" s="11" t="s">
        <v>45</v>
      </c>
      <c r="G849" s="6"/>
      <c r="H849" s="10">
        <f t="shared" si="27"/>
        <v>20</v>
      </c>
    </row>
    <row r="850" spans="1:8" x14ac:dyDescent="0.35">
      <c r="A850" s="8">
        <v>46911</v>
      </c>
      <c r="B850" s="8">
        <f t="shared" si="26"/>
        <v>46905</v>
      </c>
      <c r="C850" t="s">
        <v>31</v>
      </c>
      <c r="D850" s="5" t="s">
        <v>44</v>
      </c>
      <c r="E850" s="10">
        <f>IFERROR(VLOOKUP(C850,Assets!$A:$G,7,FALSE),0)</f>
        <v>27</v>
      </c>
      <c r="F850" s="11" t="s">
        <v>45</v>
      </c>
      <c r="G850" s="6"/>
      <c r="H850" s="10">
        <f t="shared" si="27"/>
        <v>27</v>
      </c>
    </row>
    <row r="851" spans="1:8" x14ac:dyDescent="0.35">
      <c r="A851" s="8">
        <v>46918</v>
      </c>
      <c r="B851" s="8">
        <f t="shared" si="26"/>
        <v>46905</v>
      </c>
      <c r="C851" t="s">
        <v>31</v>
      </c>
      <c r="D851" s="5" t="s">
        <v>44</v>
      </c>
      <c r="E851" s="10">
        <f>IFERROR(VLOOKUP(C851,Assets!$A:$G,7,FALSE),0)</f>
        <v>27</v>
      </c>
      <c r="F851" s="11" t="s">
        <v>45</v>
      </c>
      <c r="G851" s="6"/>
      <c r="H851" s="10">
        <f t="shared" si="27"/>
        <v>27</v>
      </c>
    </row>
    <row r="852" spans="1:8" x14ac:dyDescent="0.35">
      <c r="A852" s="8">
        <v>46925</v>
      </c>
      <c r="B852" s="8">
        <f t="shared" si="26"/>
        <v>46905</v>
      </c>
      <c r="C852" t="s">
        <v>31</v>
      </c>
      <c r="D852" s="5" t="s">
        <v>44</v>
      </c>
      <c r="E852" s="10">
        <f>IFERROR(VLOOKUP(C852,Assets!$A:$G,7,FALSE),0)</f>
        <v>27</v>
      </c>
      <c r="F852" s="11" t="s">
        <v>45</v>
      </c>
      <c r="G852" s="6"/>
      <c r="H852" s="10">
        <f t="shared" si="27"/>
        <v>27</v>
      </c>
    </row>
    <row r="853" spans="1:8" x14ac:dyDescent="0.35">
      <c r="A853" s="8">
        <v>46932</v>
      </c>
      <c r="B853" s="8">
        <f t="shared" si="26"/>
        <v>46905</v>
      </c>
      <c r="C853" t="s">
        <v>31</v>
      </c>
      <c r="D853" s="5" t="s">
        <v>44</v>
      </c>
      <c r="E853" s="10">
        <f>IFERROR(VLOOKUP(C853,Assets!$A:$G,7,FALSE),0)</f>
        <v>27</v>
      </c>
      <c r="F853" s="11" t="s">
        <v>45</v>
      </c>
      <c r="G853" s="6"/>
      <c r="H853" s="10">
        <f t="shared" si="27"/>
        <v>27</v>
      </c>
    </row>
    <row r="854" spans="1:8" x14ac:dyDescent="0.35">
      <c r="A854" s="8">
        <v>46911</v>
      </c>
      <c r="B854" s="8">
        <f t="shared" si="26"/>
        <v>46905</v>
      </c>
      <c r="C854" t="s">
        <v>32</v>
      </c>
      <c r="D854" s="5" t="s">
        <v>44</v>
      </c>
      <c r="E854" s="10">
        <f>IFERROR(VLOOKUP(C854,Assets!$A:$G,7,FALSE),0)</f>
        <v>45</v>
      </c>
      <c r="F854" s="11" t="s">
        <v>45</v>
      </c>
      <c r="G854" s="6"/>
      <c r="H854" s="10">
        <f t="shared" si="27"/>
        <v>45</v>
      </c>
    </row>
    <row r="855" spans="1:8" x14ac:dyDescent="0.35">
      <c r="A855" s="8">
        <v>46918</v>
      </c>
      <c r="B855" s="8">
        <f t="shared" si="26"/>
        <v>46905</v>
      </c>
      <c r="C855" t="s">
        <v>32</v>
      </c>
      <c r="D855" s="5" t="s">
        <v>44</v>
      </c>
      <c r="E855" s="10">
        <f>IFERROR(VLOOKUP(C855,Assets!$A:$G,7,FALSE),0)</f>
        <v>45</v>
      </c>
      <c r="F855" s="11" t="s">
        <v>45</v>
      </c>
      <c r="G855" s="6"/>
      <c r="H855" s="10">
        <f t="shared" si="27"/>
        <v>45</v>
      </c>
    </row>
    <row r="856" spans="1:8" x14ac:dyDescent="0.35">
      <c r="A856" s="8">
        <v>46925</v>
      </c>
      <c r="B856" s="8">
        <f t="shared" si="26"/>
        <v>46905</v>
      </c>
      <c r="C856" t="s">
        <v>32</v>
      </c>
      <c r="D856" s="5" t="s">
        <v>44</v>
      </c>
      <c r="E856" s="10">
        <f>IFERROR(VLOOKUP(C856,Assets!$A:$G,7,FALSE),0)</f>
        <v>45</v>
      </c>
      <c r="F856" s="11" t="s">
        <v>45</v>
      </c>
      <c r="G856" s="6"/>
      <c r="H856" s="10">
        <f t="shared" si="27"/>
        <v>45</v>
      </c>
    </row>
    <row r="857" spans="1:8" x14ac:dyDescent="0.35">
      <c r="A857" s="8">
        <v>46932</v>
      </c>
      <c r="B857" s="8">
        <f t="shared" si="26"/>
        <v>46905</v>
      </c>
      <c r="C857" t="s">
        <v>32</v>
      </c>
      <c r="D857" s="5" t="s">
        <v>44</v>
      </c>
      <c r="E857" s="10">
        <f>IFERROR(VLOOKUP(C857,Assets!$A:$G,7,FALSE),0)</f>
        <v>45</v>
      </c>
      <c r="F857" s="11" t="s">
        <v>45</v>
      </c>
      <c r="G857" s="6"/>
      <c r="H857" s="10">
        <f t="shared" si="27"/>
        <v>45</v>
      </c>
    </row>
    <row r="858" spans="1:8" x14ac:dyDescent="0.35">
      <c r="A858" s="8">
        <v>46911</v>
      </c>
      <c r="B858" s="8">
        <f t="shared" si="26"/>
        <v>46905</v>
      </c>
      <c r="C858" t="s">
        <v>33</v>
      </c>
      <c r="D858" s="5" t="s">
        <v>44</v>
      </c>
      <c r="E858" s="10">
        <f>IFERROR(VLOOKUP(C858,Assets!$A:$G,7,FALSE),0)</f>
        <v>41</v>
      </c>
      <c r="F858" s="11" t="s">
        <v>45</v>
      </c>
      <c r="G858" s="6"/>
      <c r="H858" s="10">
        <f t="shared" si="27"/>
        <v>41</v>
      </c>
    </row>
    <row r="859" spans="1:8" x14ac:dyDescent="0.35">
      <c r="A859" s="8">
        <v>46918</v>
      </c>
      <c r="B859" s="8">
        <f t="shared" si="26"/>
        <v>46905</v>
      </c>
      <c r="C859" t="s">
        <v>33</v>
      </c>
      <c r="D859" s="5" t="s">
        <v>44</v>
      </c>
      <c r="E859" s="10">
        <f>IFERROR(VLOOKUP(C859,Assets!$A:$G,7,FALSE),0)</f>
        <v>41</v>
      </c>
      <c r="F859" s="11" t="s">
        <v>45</v>
      </c>
      <c r="G859" s="6"/>
      <c r="H859" s="10">
        <f t="shared" si="27"/>
        <v>41</v>
      </c>
    </row>
    <row r="860" spans="1:8" x14ac:dyDescent="0.35">
      <c r="A860" s="8">
        <v>46925</v>
      </c>
      <c r="B860" s="8">
        <f t="shared" si="26"/>
        <v>46905</v>
      </c>
      <c r="C860" t="s">
        <v>33</v>
      </c>
      <c r="D860" s="5" t="s">
        <v>44</v>
      </c>
      <c r="E860" s="10">
        <f>IFERROR(VLOOKUP(C860,Assets!$A:$G,7,FALSE),0)</f>
        <v>41</v>
      </c>
      <c r="F860" s="11" t="s">
        <v>45</v>
      </c>
      <c r="G860" s="6"/>
      <c r="H860" s="10">
        <f t="shared" si="27"/>
        <v>41</v>
      </c>
    </row>
    <row r="861" spans="1:8" x14ac:dyDescent="0.35">
      <c r="A861" s="8">
        <v>46932</v>
      </c>
      <c r="B861" s="8">
        <f t="shared" si="26"/>
        <v>46905</v>
      </c>
      <c r="C861" t="s">
        <v>33</v>
      </c>
      <c r="D861" s="5" t="s">
        <v>44</v>
      </c>
      <c r="E861" s="10">
        <f>IFERROR(VLOOKUP(C861,Assets!$A:$G,7,FALSE),0)</f>
        <v>41</v>
      </c>
      <c r="F861" s="11" t="s">
        <v>45</v>
      </c>
      <c r="G861" s="6"/>
      <c r="H861" s="10">
        <f t="shared" si="27"/>
        <v>41</v>
      </c>
    </row>
    <row r="862" spans="1:8" x14ac:dyDescent="0.35">
      <c r="A862" s="8">
        <v>46911</v>
      </c>
      <c r="B862" s="8">
        <f t="shared" si="26"/>
        <v>46905</v>
      </c>
      <c r="C862" t="s">
        <v>34</v>
      </c>
      <c r="D862" s="5" t="s">
        <v>44</v>
      </c>
      <c r="E862" s="10">
        <f>IFERROR(VLOOKUP(C862,Assets!$A:$G,7,FALSE),0)</f>
        <v>15</v>
      </c>
      <c r="F862" s="11" t="s">
        <v>45</v>
      </c>
      <c r="G862" s="6"/>
      <c r="H862" s="10">
        <f t="shared" si="27"/>
        <v>15</v>
      </c>
    </row>
    <row r="863" spans="1:8" x14ac:dyDescent="0.35">
      <c r="A863" s="8">
        <v>46918</v>
      </c>
      <c r="B863" s="8">
        <f t="shared" si="26"/>
        <v>46905</v>
      </c>
      <c r="C863" t="s">
        <v>34</v>
      </c>
      <c r="D863" s="5" t="s">
        <v>44</v>
      </c>
      <c r="E863" s="10">
        <f>IFERROR(VLOOKUP(C863,Assets!$A:$G,7,FALSE),0)</f>
        <v>15</v>
      </c>
      <c r="F863" s="11" t="s">
        <v>45</v>
      </c>
      <c r="G863" s="6"/>
      <c r="H863" s="10">
        <f t="shared" si="27"/>
        <v>15</v>
      </c>
    </row>
    <row r="864" spans="1:8" x14ac:dyDescent="0.35">
      <c r="A864" s="8">
        <v>46925</v>
      </c>
      <c r="B864" s="8">
        <f t="shared" si="26"/>
        <v>46905</v>
      </c>
      <c r="C864" t="s">
        <v>34</v>
      </c>
      <c r="D864" s="5" t="s">
        <v>44</v>
      </c>
      <c r="E864" s="10">
        <f>IFERROR(VLOOKUP(C864,Assets!$A:$G,7,FALSE),0)</f>
        <v>15</v>
      </c>
      <c r="F864" s="11" t="s">
        <v>45</v>
      </c>
      <c r="G864" s="6"/>
      <c r="H864" s="10">
        <f t="shared" si="27"/>
        <v>15</v>
      </c>
    </row>
    <row r="865" spans="1:8" x14ac:dyDescent="0.35">
      <c r="A865" s="8">
        <v>46932</v>
      </c>
      <c r="B865" s="8">
        <f t="shared" si="26"/>
        <v>46905</v>
      </c>
      <c r="C865" t="s">
        <v>34</v>
      </c>
      <c r="D865" s="5" t="s">
        <v>44</v>
      </c>
      <c r="E865" s="10">
        <f>IFERROR(VLOOKUP(C865,Assets!$A:$G,7,FALSE),0)</f>
        <v>15</v>
      </c>
      <c r="F865" s="11" t="s">
        <v>45</v>
      </c>
      <c r="G865" s="6"/>
      <c r="H865" s="10">
        <f t="shared" si="27"/>
        <v>15</v>
      </c>
    </row>
    <row r="866" spans="1:8" x14ac:dyDescent="0.35">
      <c r="A866" s="8">
        <v>46941</v>
      </c>
      <c r="B866" s="8">
        <f t="shared" si="26"/>
        <v>46935</v>
      </c>
      <c r="C866" t="s">
        <v>20</v>
      </c>
      <c r="D866" s="5" t="s">
        <v>44</v>
      </c>
      <c r="E866" s="10">
        <f>IFERROR(VLOOKUP(C866,Assets!$A:$G,7,FALSE),0)</f>
        <v>160</v>
      </c>
      <c r="F866" s="11" t="s">
        <v>45</v>
      </c>
      <c r="G866" s="6"/>
      <c r="H866" s="10">
        <f t="shared" si="27"/>
        <v>160</v>
      </c>
    </row>
    <row r="867" spans="1:8" x14ac:dyDescent="0.35">
      <c r="A867" s="8">
        <v>46948</v>
      </c>
      <c r="B867" s="8">
        <f t="shared" si="26"/>
        <v>46935</v>
      </c>
      <c r="C867" t="s">
        <v>20</v>
      </c>
      <c r="D867" s="5" t="s">
        <v>44</v>
      </c>
      <c r="E867" s="10">
        <f>IFERROR(VLOOKUP(C867,Assets!$A:$G,7,FALSE),0)</f>
        <v>160</v>
      </c>
      <c r="F867" s="11" t="s">
        <v>45</v>
      </c>
      <c r="G867" s="6"/>
      <c r="H867" s="10">
        <f t="shared" si="27"/>
        <v>160</v>
      </c>
    </row>
    <row r="868" spans="1:8" x14ac:dyDescent="0.35">
      <c r="A868" s="8">
        <v>46955</v>
      </c>
      <c r="B868" s="8">
        <f t="shared" si="26"/>
        <v>46935</v>
      </c>
      <c r="C868" t="s">
        <v>20</v>
      </c>
      <c r="D868" s="5" t="s">
        <v>44</v>
      </c>
      <c r="E868" s="10">
        <f>IFERROR(VLOOKUP(C868,Assets!$A:$G,7,FALSE),0)</f>
        <v>160</v>
      </c>
      <c r="F868" s="11" t="s">
        <v>45</v>
      </c>
      <c r="G868" s="6"/>
      <c r="H868" s="10">
        <f t="shared" si="27"/>
        <v>160</v>
      </c>
    </row>
    <row r="869" spans="1:8" x14ac:dyDescent="0.35">
      <c r="A869" s="8">
        <v>46962</v>
      </c>
      <c r="B869" s="8">
        <f t="shared" si="26"/>
        <v>46935</v>
      </c>
      <c r="C869" t="s">
        <v>20</v>
      </c>
      <c r="D869" s="5" t="s">
        <v>44</v>
      </c>
      <c r="E869" s="10">
        <f>IFERROR(VLOOKUP(C869,Assets!$A:$G,7,FALSE),0)</f>
        <v>160</v>
      </c>
      <c r="F869" s="11" t="s">
        <v>45</v>
      </c>
      <c r="G869" s="6"/>
      <c r="H869" s="10">
        <f t="shared" si="27"/>
        <v>160</v>
      </c>
    </row>
    <row r="870" spans="1:8" x14ac:dyDescent="0.35">
      <c r="A870" s="8">
        <v>46941</v>
      </c>
      <c r="B870" s="8">
        <f t="shared" si="26"/>
        <v>46935</v>
      </c>
      <c r="C870" t="s">
        <v>25</v>
      </c>
      <c r="D870" s="5" t="s">
        <v>44</v>
      </c>
      <c r="E870" s="10">
        <f>IFERROR(VLOOKUP(C870,Assets!$A:$G,7,FALSE),0)</f>
        <v>40</v>
      </c>
      <c r="F870" s="11" t="s">
        <v>45</v>
      </c>
      <c r="G870" s="6"/>
      <c r="H870" s="10">
        <f t="shared" si="27"/>
        <v>40</v>
      </c>
    </row>
    <row r="871" spans="1:8" x14ac:dyDescent="0.35">
      <c r="A871" s="8">
        <v>46948</v>
      </c>
      <c r="B871" s="8">
        <f t="shared" si="26"/>
        <v>46935</v>
      </c>
      <c r="C871" t="s">
        <v>25</v>
      </c>
      <c r="D871" s="5" t="s">
        <v>44</v>
      </c>
      <c r="E871" s="10">
        <f>IFERROR(VLOOKUP(C871,Assets!$A:$G,7,FALSE),0)</f>
        <v>40</v>
      </c>
      <c r="F871" s="11" t="s">
        <v>45</v>
      </c>
      <c r="G871" s="6"/>
      <c r="H871" s="10">
        <f t="shared" si="27"/>
        <v>40</v>
      </c>
    </row>
    <row r="872" spans="1:8" x14ac:dyDescent="0.35">
      <c r="A872" s="8">
        <v>46955</v>
      </c>
      <c r="B872" s="8">
        <f t="shared" si="26"/>
        <v>46935</v>
      </c>
      <c r="C872" t="s">
        <v>25</v>
      </c>
      <c r="D872" s="5" t="s">
        <v>44</v>
      </c>
      <c r="E872" s="10">
        <f>IFERROR(VLOOKUP(C872,Assets!$A:$G,7,FALSE),0)</f>
        <v>40</v>
      </c>
      <c r="F872" s="11" t="s">
        <v>45</v>
      </c>
      <c r="G872" s="6"/>
      <c r="H872" s="10">
        <f t="shared" si="27"/>
        <v>40</v>
      </c>
    </row>
    <row r="873" spans="1:8" x14ac:dyDescent="0.35">
      <c r="A873" s="8">
        <v>46962</v>
      </c>
      <c r="B873" s="8">
        <f t="shared" si="26"/>
        <v>46935</v>
      </c>
      <c r="C873" t="s">
        <v>25</v>
      </c>
      <c r="D873" s="5" t="s">
        <v>44</v>
      </c>
      <c r="E873" s="10">
        <f>IFERROR(VLOOKUP(C873,Assets!$A:$G,7,FALSE),0)</f>
        <v>40</v>
      </c>
      <c r="F873" s="11" t="s">
        <v>45</v>
      </c>
      <c r="G873" s="6"/>
      <c r="H873" s="10">
        <f t="shared" si="27"/>
        <v>40</v>
      </c>
    </row>
    <row r="874" spans="1:8" x14ac:dyDescent="0.35">
      <c r="A874" s="8">
        <v>46941</v>
      </c>
      <c r="B874" s="8">
        <f t="shared" si="26"/>
        <v>46935</v>
      </c>
      <c r="C874" t="s">
        <v>26</v>
      </c>
      <c r="D874" s="5" t="s">
        <v>44</v>
      </c>
      <c r="E874" s="10">
        <f>IFERROR(VLOOKUP(C874,Assets!$A:$G,7,FALSE),0)</f>
        <v>27</v>
      </c>
      <c r="F874" s="11" t="s">
        <v>45</v>
      </c>
      <c r="G874" s="6"/>
      <c r="H874" s="10">
        <f t="shared" si="27"/>
        <v>27</v>
      </c>
    </row>
    <row r="875" spans="1:8" x14ac:dyDescent="0.35">
      <c r="A875" s="8">
        <v>46948</v>
      </c>
      <c r="B875" s="8">
        <f t="shared" si="26"/>
        <v>46935</v>
      </c>
      <c r="C875" t="s">
        <v>26</v>
      </c>
      <c r="D875" s="5" t="s">
        <v>44</v>
      </c>
      <c r="E875" s="10">
        <f>IFERROR(VLOOKUP(C875,Assets!$A:$G,7,FALSE),0)</f>
        <v>27</v>
      </c>
      <c r="F875" s="11" t="s">
        <v>45</v>
      </c>
      <c r="G875" s="6"/>
      <c r="H875" s="10">
        <f t="shared" si="27"/>
        <v>27</v>
      </c>
    </row>
    <row r="876" spans="1:8" x14ac:dyDescent="0.35">
      <c r="A876" s="8">
        <v>46955</v>
      </c>
      <c r="B876" s="8">
        <f t="shared" si="26"/>
        <v>46935</v>
      </c>
      <c r="C876" t="s">
        <v>26</v>
      </c>
      <c r="D876" s="5" t="s">
        <v>44</v>
      </c>
      <c r="E876" s="10">
        <f>IFERROR(VLOOKUP(C876,Assets!$A:$G,7,FALSE),0)</f>
        <v>27</v>
      </c>
      <c r="F876" s="11" t="s">
        <v>45</v>
      </c>
      <c r="G876" s="6"/>
      <c r="H876" s="10">
        <f t="shared" si="27"/>
        <v>27</v>
      </c>
    </row>
    <row r="877" spans="1:8" x14ac:dyDescent="0.35">
      <c r="A877" s="8">
        <v>46962</v>
      </c>
      <c r="B877" s="8">
        <f t="shared" si="26"/>
        <v>46935</v>
      </c>
      <c r="C877" t="s">
        <v>26</v>
      </c>
      <c r="D877" s="5" t="s">
        <v>44</v>
      </c>
      <c r="E877" s="10">
        <f>IFERROR(VLOOKUP(C877,Assets!$A:$G,7,FALSE),0)</f>
        <v>27</v>
      </c>
      <c r="F877" s="11" t="s">
        <v>45</v>
      </c>
      <c r="G877" s="6"/>
      <c r="H877" s="10">
        <f t="shared" si="27"/>
        <v>27</v>
      </c>
    </row>
    <row r="878" spans="1:8" x14ac:dyDescent="0.35">
      <c r="A878" s="8">
        <v>46941</v>
      </c>
      <c r="B878" s="8">
        <f t="shared" si="26"/>
        <v>46935</v>
      </c>
      <c r="C878" t="s">
        <v>29</v>
      </c>
      <c r="D878" s="5" t="s">
        <v>44</v>
      </c>
      <c r="E878" s="10">
        <f>IFERROR(VLOOKUP(C878,Assets!$A:$G,7,FALSE),0)</f>
        <v>20</v>
      </c>
      <c r="F878" s="11" t="s">
        <v>45</v>
      </c>
      <c r="G878" s="6"/>
      <c r="H878" s="10">
        <f t="shared" si="27"/>
        <v>20</v>
      </c>
    </row>
    <row r="879" spans="1:8" x14ac:dyDescent="0.35">
      <c r="A879" s="8">
        <v>46948</v>
      </c>
      <c r="B879" s="8">
        <f t="shared" si="26"/>
        <v>46935</v>
      </c>
      <c r="C879" t="s">
        <v>29</v>
      </c>
      <c r="D879" s="5" t="s">
        <v>44</v>
      </c>
      <c r="E879" s="10">
        <f>IFERROR(VLOOKUP(C879,Assets!$A:$G,7,FALSE),0)</f>
        <v>20</v>
      </c>
      <c r="F879" s="11" t="s">
        <v>45</v>
      </c>
      <c r="G879" s="6"/>
      <c r="H879" s="10">
        <f t="shared" si="27"/>
        <v>20</v>
      </c>
    </row>
    <row r="880" spans="1:8" x14ac:dyDescent="0.35">
      <c r="A880" s="8">
        <v>46955</v>
      </c>
      <c r="B880" s="8">
        <f t="shared" si="26"/>
        <v>46935</v>
      </c>
      <c r="C880" t="s">
        <v>29</v>
      </c>
      <c r="D880" s="5" t="s">
        <v>44</v>
      </c>
      <c r="E880" s="10">
        <f>IFERROR(VLOOKUP(C880,Assets!$A:$G,7,FALSE),0)</f>
        <v>20</v>
      </c>
      <c r="F880" s="11" t="s">
        <v>45</v>
      </c>
      <c r="G880" s="6"/>
      <c r="H880" s="10">
        <f t="shared" si="27"/>
        <v>20</v>
      </c>
    </row>
    <row r="881" spans="1:8" x14ac:dyDescent="0.35">
      <c r="A881" s="8">
        <v>46962</v>
      </c>
      <c r="B881" s="8">
        <f t="shared" si="26"/>
        <v>46935</v>
      </c>
      <c r="C881" t="s">
        <v>29</v>
      </c>
      <c r="D881" s="5" t="s">
        <v>44</v>
      </c>
      <c r="E881" s="10">
        <f>IFERROR(VLOOKUP(C881,Assets!$A:$G,7,FALSE),0)</f>
        <v>20</v>
      </c>
      <c r="F881" s="11" t="s">
        <v>45</v>
      </c>
      <c r="G881" s="6"/>
      <c r="H881" s="10">
        <f t="shared" si="27"/>
        <v>20</v>
      </c>
    </row>
    <row r="882" spans="1:8" x14ac:dyDescent="0.35">
      <c r="A882" s="8">
        <v>46941</v>
      </c>
      <c r="B882" s="8">
        <f t="shared" si="26"/>
        <v>46935</v>
      </c>
      <c r="C882" t="s">
        <v>31</v>
      </c>
      <c r="D882" s="5" t="s">
        <v>44</v>
      </c>
      <c r="E882" s="10">
        <f>IFERROR(VLOOKUP(C882,Assets!$A:$G,7,FALSE),0)</f>
        <v>27</v>
      </c>
      <c r="F882" s="11" t="s">
        <v>45</v>
      </c>
      <c r="G882" s="6"/>
      <c r="H882" s="10">
        <f t="shared" si="27"/>
        <v>27</v>
      </c>
    </row>
    <row r="883" spans="1:8" x14ac:dyDescent="0.35">
      <c r="A883" s="8">
        <v>46948</v>
      </c>
      <c r="B883" s="8">
        <f t="shared" si="26"/>
        <v>46935</v>
      </c>
      <c r="C883" t="s">
        <v>31</v>
      </c>
      <c r="D883" s="5" t="s">
        <v>44</v>
      </c>
      <c r="E883" s="10">
        <f>IFERROR(VLOOKUP(C883,Assets!$A:$G,7,FALSE),0)</f>
        <v>27</v>
      </c>
      <c r="F883" s="11" t="s">
        <v>45</v>
      </c>
      <c r="G883" s="6"/>
      <c r="H883" s="10">
        <f t="shared" si="27"/>
        <v>27</v>
      </c>
    </row>
    <row r="884" spans="1:8" x14ac:dyDescent="0.35">
      <c r="A884" s="8">
        <v>46955</v>
      </c>
      <c r="B884" s="8">
        <f t="shared" si="26"/>
        <v>46935</v>
      </c>
      <c r="C884" t="s">
        <v>31</v>
      </c>
      <c r="D884" s="5" t="s">
        <v>44</v>
      </c>
      <c r="E884" s="10">
        <f>IFERROR(VLOOKUP(C884,Assets!$A:$G,7,FALSE),0)</f>
        <v>27</v>
      </c>
      <c r="F884" s="11" t="s">
        <v>45</v>
      </c>
      <c r="G884" s="6"/>
      <c r="H884" s="10">
        <f t="shared" si="27"/>
        <v>27</v>
      </c>
    </row>
    <row r="885" spans="1:8" x14ac:dyDescent="0.35">
      <c r="A885" s="8">
        <v>46962</v>
      </c>
      <c r="B885" s="8">
        <f t="shared" si="26"/>
        <v>46935</v>
      </c>
      <c r="C885" t="s">
        <v>31</v>
      </c>
      <c r="D885" s="5" t="s">
        <v>44</v>
      </c>
      <c r="E885" s="10">
        <f>IFERROR(VLOOKUP(C885,Assets!$A:$G,7,FALSE),0)</f>
        <v>27</v>
      </c>
      <c r="F885" s="11" t="s">
        <v>45</v>
      </c>
      <c r="G885" s="6"/>
      <c r="H885" s="10">
        <f t="shared" si="27"/>
        <v>27</v>
      </c>
    </row>
    <row r="886" spans="1:8" x14ac:dyDescent="0.35">
      <c r="A886" s="8">
        <v>46941</v>
      </c>
      <c r="B886" s="8">
        <f t="shared" si="26"/>
        <v>46935</v>
      </c>
      <c r="C886" t="s">
        <v>32</v>
      </c>
      <c r="D886" s="5" t="s">
        <v>44</v>
      </c>
      <c r="E886" s="10">
        <f>IFERROR(VLOOKUP(C886,Assets!$A:$G,7,FALSE),0)</f>
        <v>45</v>
      </c>
      <c r="F886" s="11" t="s">
        <v>45</v>
      </c>
      <c r="G886" s="6"/>
      <c r="H886" s="10">
        <f t="shared" si="27"/>
        <v>45</v>
      </c>
    </row>
    <row r="887" spans="1:8" x14ac:dyDescent="0.35">
      <c r="A887" s="8">
        <v>46948</v>
      </c>
      <c r="B887" s="8">
        <f t="shared" si="26"/>
        <v>46935</v>
      </c>
      <c r="C887" t="s">
        <v>32</v>
      </c>
      <c r="D887" s="5" t="s">
        <v>44</v>
      </c>
      <c r="E887" s="10">
        <f>IFERROR(VLOOKUP(C887,Assets!$A:$G,7,FALSE),0)</f>
        <v>45</v>
      </c>
      <c r="F887" s="11" t="s">
        <v>45</v>
      </c>
      <c r="G887" s="6"/>
      <c r="H887" s="10">
        <f t="shared" si="27"/>
        <v>45</v>
      </c>
    </row>
    <row r="888" spans="1:8" x14ac:dyDescent="0.35">
      <c r="A888" s="8">
        <v>46955</v>
      </c>
      <c r="B888" s="8">
        <f t="shared" si="26"/>
        <v>46935</v>
      </c>
      <c r="C888" t="s">
        <v>32</v>
      </c>
      <c r="D888" s="5" t="s">
        <v>44</v>
      </c>
      <c r="E888" s="10">
        <f>IFERROR(VLOOKUP(C888,Assets!$A:$G,7,FALSE),0)</f>
        <v>45</v>
      </c>
      <c r="F888" s="11" t="s">
        <v>45</v>
      </c>
      <c r="G888" s="6"/>
      <c r="H888" s="10">
        <f t="shared" si="27"/>
        <v>45</v>
      </c>
    </row>
    <row r="889" spans="1:8" x14ac:dyDescent="0.35">
      <c r="A889" s="8">
        <v>46962</v>
      </c>
      <c r="B889" s="8">
        <f t="shared" si="26"/>
        <v>46935</v>
      </c>
      <c r="C889" t="s">
        <v>32</v>
      </c>
      <c r="D889" s="5" t="s">
        <v>44</v>
      </c>
      <c r="E889" s="10">
        <f>IFERROR(VLOOKUP(C889,Assets!$A:$G,7,FALSE),0)</f>
        <v>45</v>
      </c>
      <c r="F889" s="11" t="s">
        <v>45</v>
      </c>
      <c r="G889" s="6"/>
      <c r="H889" s="10">
        <f t="shared" si="27"/>
        <v>45</v>
      </c>
    </row>
    <row r="890" spans="1:8" x14ac:dyDescent="0.35">
      <c r="A890" s="8">
        <v>46941</v>
      </c>
      <c r="B890" s="8">
        <f t="shared" si="26"/>
        <v>46935</v>
      </c>
      <c r="C890" t="s">
        <v>33</v>
      </c>
      <c r="D890" s="5" t="s">
        <v>44</v>
      </c>
      <c r="E890" s="10">
        <f>IFERROR(VLOOKUP(C890,Assets!$A:$G,7,FALSE),0)</f>
        <v>41</v>
      </c>
      <c r="F890" s="11" t="s">
        <v>45</v>
      </c>
      <c r="G890" s="6"/>
      <c r="H890" s="10">
        <f t="shared" si="27"/>
        <v>41</v>
      </c>
    </row>
    <row r="891" spans="1:8" x14ac:dyDescent="0.35">
      <c r="A891" s="8">
        <v>46948</v>
      </c>
      <c r="B891" s="8">
        <f t="shared" si="26"/>
        <v>46935</v>
      </c>
      <c r="C891" t="s">
        <v>33</v>
      </c>
      <c r="D891" s="5" t="s">
        <v>44</v>
      </c>
      <c r="E891" s="10">
        <f>IFERROR(VLOOKUP(C891,Assets!$A:$G,7,FALSE),0)</f>
        <v>41</v>
      </c>
      <c r="F891" s="11" t="s">
        <v>45</v>
      </c>
      <c r="G891" s="6"/>
      <c r="H891" s="10">
        <f t="shared" si="27"/>
        <v>41</v>
      </c>
    </row>
    <row r="892" spans="1:8" x14ac:dyDescent="0.35">
      <c r="A892" s="8">
        <v>46955</v>
      </c>
      <c r="B892" s="8">
        <f t="shared" si="26"/>
        <v>46935</v>
      </c>
      <c r="C892" t="s">
        <v>33</v>
      </c>
      <c r="D892" s="5" t="s">
        <v>44</v>
      </c>
      <c r="E892" s="10">
        <f>IFERROR(VLOOKUP(C892,Assets!$A:$G,7,FALSE),0)</f>
        <v>41</v>
      </c>
      <c r="F892" s="11" t="s">
        <v>45</v>
      </c>
      <c r="G892" s="6"/>
      <c r="H892" s="10">
        <f t="shared" si="27"/>
        <v>41</v>
      </c>
    </row>
    <row r="893" spans="1:8" x14ac:dyDescent="0.35">
      <c r="A893" s="8">
        <v>46962</v>
      </c>
      <c r="B893" s="8">
        <f t="shared" si="26"/>
        <v>46935</v>
      </c>
      <c r="C893" t="s">
        <v>33</v>
      </c>
      <c r="D893" s="5" t="s">
        <v>44</v>
      </c>
      <c r="E893" s="10">
        <f>IFERROR(VLOOKUP(C893,Assets!$A:$G,7,FALSE),0)</f>
        <v>41</v>
      </c>
      <c r="F893" s="11" t="s">
        <v>45</v>
      </c>
      <c r="G893" s="6"/>
      <c r="H893" s="10">
        <f t="shared" si="27"/>
        <v>41</v>
      </c>
    </row>
    <row r="894" spans="1:8" x14ac:dyDescent="0.35">
      <c r="A894" s="8">
        <v>46941</v>
      </c>
      <c r="B894" s="8">
        <f t="shared" si="26"/>
        <v>46935</v>
      </c>
      <c r="C894" t="s">
        <v>34</v>
      </c>
      <c r="D894" s="5" t="s">
        <v>44</v>
      </c>
      <c r="E894" s="10">
        <f>IFERROR(VLOOKUP(C894,Assets!$A:$G,7,FALSE),0)</f>
        <v>15</v>
      </c>
      <c r="F894" s="11" t="s">
        <v>45</v>
      </c>
      <c r="G894" s="6"/>
      <c r="H894" s="10">
        <f t="shared" si="27"/>
        <v>15</v>
      </c>
    </row>
    <row r="895" spans="1:8" x14ac:dyDescent="0.35">
      <c r="A895" s="8">
        <v>46948</v>
      </c>
      <c r="B895" s="8">
        <f t="shared" si="26"/>
        <v>46935</v>
      </c>
      <c r="C895" t="s">
        <v>34</v>
      </c>
      <c r="D895" s="5" t="s">
        <v>44</v>
      </c>
      <c r="E895" s="10">
        <f>IFERROR(VLOOKUP(C895,Assets!$A:$G,7,FALSE),0)</f>
        <v>15</v>
      </c>
      <c r="F895" s="11" t="s">
        <v>45</v>
      </c>
      <c r="G895" s="6"/>
      <c r="H895" s="10">
        <f t="shared" si="27"/>
        <v>15</v>
      </c>
    </row>
    <row r="896" spans="1:8" x14ac:dyDescent="0.35">
      <c r="A896" s="8">
        <v>46955</v>
      </c>
      <c r="B896" s="8">
        <f t="shared" si="26"/>
        <v>46935</v>
      </c>
      <c r="C896" t="s">
        <v>34</v>
      </c>
      <c r="D896" s="5" t="s">
        <v>44</v>
      </c>
      <c r="E896" s="10">
        <f>IFERROR(VLOOKUP(C896,Assets!$A:$G,7,FALSE),0)</f>
        <v>15</v>
      </c>
      <c r="F896" s="11" t="s">
        <v>45</v>
      </c>
      <c r="G896" s="6"/>
      <c r="H896" s="10">
        <f t="shared" si="27"/>
        <v>15</v>
      </c>
    </row>
    <row r="897" spans="1:8" x14ac:dyDescent="0.35">
      <c r="A897" s="8">
        <v>46962</v>
      </c>
      <c r="B897" s="8">
        <f t="shared" si="26"/>
        <v>46935</v>
      </c>
      <c r="C897" t="s">
        <v>34</v>
      </c>
      <c r="D897" s="5" t="s">
        <v>44</v>
      </c>
      <c r="E897" s="10">
        <f>IFERROR(VLOOKUP(C897,Assets!$A:$G,7,FALSE),0)</f>
        <v>15</v>
      </c>
      <c r="F897" s="11" t="s">
        <v>45</v>
      </c>
      <c r="G897" s="6"/>
      <c r="H897" s="10">
        <f t="shared" si="27"/>
        <v>15</v>
      </c>
    </row>
    <row r="898" spans="1:8" x14ac:dyDescent="0.35">
      <c r="A898" s="8">
        <v>46972</v>
      </c>
      <c r="B898" s="8">
        <f t="shared" ref="B898:B961" si="28">DATE(YEAR(A898),MONTH(A898),1)</f>
        <v>46966</v>
      </c>
      <c r="C898" t="s">
        <v>20</v>
      </c>
      <c r="D898" s="5" t="s">
        <v>44</v>
      </c>
      <c r="E898" s="10">
        <f>IFERROR(VLOOKUP(C898,Assets!$A:$G,7,FALSE),0)</f>
        <v>160</v>
      </c>
      <c r="F898" s="11" t="s">
        <v>45</v>
      </c>
      <c r="G898" s="6"/>
      <c r="H898" s="10">
        <f t="shared" ref="H898:H961" si="29">IF(F898="No",0,IF(F898="Edited",IF(G898="",E898,G898),E898))</f>
        <v>160</v>
      </c>
    </row>
    <row r="899" spans="1:8" x14ac:dyDescent="0.35">
      <c r="A899" s="8">
        <v>46979</v>
      </c>
      <c r="B899" s="8">
        <f t="shared" si="28"/>
        <v>46966</v>
      </c>
      <c r="C899" t="s">
        <v>20</v>
      </c>
      <c r="D899" s="5" t="s">
        <v>44</v>
      </c>
      <c r="E899" s="10">
        <f>IFERROR(VLOOKUP(C899,Assets!$A:$G,7,FALSE),0)</f>
        <v>160</v>
      </c>
      <c r="F899" s="11" t="s">
        <v>45</v>
      </c>
      <c r="G899" s="6"/>
      <c r="H899" s="10">
        <f t="shared" si="29"/>
        <v>160</v>
      </c>
    </row>
    <row r="900" spans="1:8" x14ac:dyDescent="0.35">
      <c r="A900" s="8">
        <v>46986</v>
      </c>
      <c r="B900" s="8">
        <f t="shared" si="28"/>
        <v>46966</v>
      </c>
      <c r="C900" t="s">
        <v>20</v>
      </c>
      <c r="D900" s="5" t="s">
        <v>44</v>
      </c>
      <c r="E900" s="10">
        <f>IFERROR(VLOOKUP(C900,Assets!$A:$G,7,FALSE),0)</f>
        <v>160</v>
      </c>
      <c r="F900" s="11" t="s">
        <v>45</v>
      </c>
      <c r="G900" s="6"/>
      <c r="H900" s="10">
        <f t="shared" si="29"/>
        <v>160</v>
      </c>
    </row>
    <row r="901" spans="1:8" x14ac:dyDescent="0.35">
      <c r="A901" s="8">
        <v>46993</v>
      </c>
      <c r="B901" s="8">
        <f t="shared" si="28"/>
        <v>46966</v>
      </c>
      <c r="C901" t="s">
        <v>20</v>
      </c>
      <c r="D901" s="5" t="s">
        <v>44</v>
      </c>
      <c r="E901" s="10">
        <f>IFERROR(VLOOKUP(C901,Assets!$A:$G,7,FALSE),0)</f>
        <v>160</v>
      </c>
      <c r="F901" s="11" t="s">
        <v>45</v>
      </c>
      <c r="G901" s="6"/>
      <c r="H901" s="10">
        <f t="shared" si="29"/>
        <v>160</v>
      </c>
    </row>
    <row r="902" spans="1:8" x14ac:dyDescent="0.35">
      <c r="A902" s="8">
        <v>46972</v>
      </c>
      <c r="B902" s="8">
        <f t="shared" si="28"/>
        <v>46966</v>
      </c>
      <c r="C902" t="s">
        <v>25</v>
      </c>
      <c r="D902" s="5" t="s">
        <v>44</v>
      </c>
      <c r="E902" s="10">
        <f>IFERROR(VLOOKUP(C902,Assets!$A:$G,7,FALSE),0)</f>
        <v>40</v>
      </c>
      <c r="F902" s="11" t="s">
        <v>45</v>
      </c>
      <c r="G902" s="6"/>
      <c r="H902" s="10">
        <f t="shared" si="29"/>
        <v>40</v>
      </c>
    </row>
    <row r="903" spans="1:8" x14ac:dyDescent="0.35">
      <c r="A903" s="8">
        <v>46979</v>
      </c>
      <c r="B903" s="8">
        <f t="shared" si="28"/>
        <v>46966</v>
      </c>
      <c r="C903" t="s">
        <v>25</v>
      </c>
      <c r="D903" s="5" t="s">
        <v>44</v>
      </c>
      <c r="E903" s="10">
        <f>IFERROR(VLOOKUP(C903,Assets!$A:$G,7,FALSE),0)</f>
        <v>40</v>
      </c>
      <c r="F903" s="11" t="s">
        <v>45</v>
      </c>
      <c r="G903" s="6"/>
      <c r="H903" s="10">
        <f t="shared" si="29"/>
        <v>40</v>
      </c>
    </row>
    <row r="904" spans="1:8" x14ac:dyDescent="0.35">
      <c r="A904" s="8">
        <v>46986</v>
      </c>
      <c r="B904" s="8">
        <f t="shared" si="28"/>
        <v>46966</v>
      </c>
      <c r="C904" t="s">
        <v>25</v>
      </c>
      <c r="D904" s="5" t="s">
        <v>44</v>
      </c>
      <c r="E904" s="10">
        <f>IFERROR(VLOOKUP(C904,Assets!$A:$G,7,FALSE),0)</f>
        <v>40</v>
      </c>
      <c r="F904" s="11" t="s">
        <v>45</v>
      </c>
      <c r="G904" s="6"/>
      <c r="H904" s="10">
        <f t="shared" si="29"/>
        <v>40</v>
      </c>
    </row>
    <row r="905" spans="1:8" x14ac:dyDescent="0.35">
      <c r="A905" s="8">
        <v>46993</v>
      </c>
      <c r="B905" s="8">
        <f t="shared" si="28"/>
        <v>46966</v>
      </c>
      <c r="C905" t="s">
        <v>25</v>
      </c>
      <c r="D905" s="5" t="s">
        <v>44</v>
      </c>
      <c r="E905" s="10">
        <f>IFERROR(VLOOKUP(C905,Assets!$A:$G,7,FALSE),0)</f>
        <v>40</v>
      </c>
      <c r="F905" s="11" t="s">
        <v>45</v>
      </c>
      <c r="G905" s="6"/>
      <c r="H905" s="10">
        <f t="shared" si="29"/>
        <v>40</v>
      </c>
    </row>
    <row r="906" spans="1:8" x14ac:dyDescent="0.35">
      <c r="A906" s="8">
        <v>46972</v>
      </c>
      <c r="B906" s="8">
        <f t="shared" si="28"/>
        <v>46966</v>
      </c>
      <c r="C906" t="s">
        <v>26</v>
      </c>
      <c r="D906" s="5" t="s">
        <v>44</v>
      </c>
      <c r="E906" s="10">
        <f>IFERROR(VLOOKUP(C906,Assets!$A:$G,7,FALSE),0)</f>
        <v>27</v>
      </c>
      <c r="F906" s="11" t="s">
        <v>45</v>
      </c>
      <c r="G906" s="6"/>
      <c r="H906" s="10">
        <f t="shared" si="29"/>
        <v>27</v>
      </c>
    </row>
    <row r="907" spans="1:8" x14ac:dyDescent="0.35">
      <c r="A907" s="8">
        <v>46979</v>
      </c>
      <c r="B907" s="8">
        <f t="shared" si="28"/>
        <v>46966</v>
      </c>
      <c r="C907" t="s">
        <v>26</v>
      </c>
      <c r="D907" s="5" t="s">
        <v>44</v>
      </c>
      <c r="E907" s="10">
        <f>IFERROR(VLOOKUP(C907,Assets!$A:$G,7,FALSE),0)</f>
        <v>27</v>
      </c>
      <c r="F907" s="11" t="s">
        <v>45</v>
      </c>
      <c r="G907" s="6"/>
      <c r="H907" s="10">
        <f t="shared" si="29"/>
        <v>27</v>
      </c>
    </row>
    <row r="908" spans="1:8" x14ac:dyDescent="0.35">
      <c r="A908" s="8">
        <v>46986</v>
      </c>
      <c r="B908" s="8">
        <f t="shared" si="28"/>
        <v>46966</v>
      </c>
      <c r="C908" t="s">
        <v>26</v>
      </c>
      <c r="D908" s="5" t="s">
        <v>44</v>
      </c>
      <c r="E908" s="10">
        <f>IFERROR(VLOOKUP(C908,Assets!$A:$G,7,FALSE),0)</f>
        <v>27</v>
      </c>
      <c r="F908" s="11" t="s">
        <v>45</v>
      </c>
      <c r="G908" s="6"/>
      <c r="H908" s="10">
        <f t="shared" si="29"/>
        <v>27</v>
      </c>
    </row>
    <row r="909" spans="1:8" x14ac:dyDescent="0.35">
      <c r="A909" s="8">
        <v>46993</v>
      </c>
      <c r="B909" s="8">
        <f t="shared" si="28"/>
        <v>46966</v>
      </c>
      <c r="C909" t="s">
        <v>26</v>
      </c>
      <c r="D909" s="5" t="s">
        <v>44</v>
      </c>
      <c r="E909" s="10">
        <f>IFERROR(VLOOKUP(C909,Assets!$A:$G,7,FALSE),0)</f>
        <v>27</v>
      </c>
      <c r="F909" s="11" t="s">
        <v>45</v>
      </c>
      <c r="G909" s="6"/>
      <c r="H909" s="10">
        <f t="shared" si="29"/>
        <v>27</v>
      </c>
    </row>
    <row r="910" spans="1:8" x14ac:dyDescent="0.35">
      <c r="A910" s="8">
        <v>46972</v>
      </c>
      <c r="B910" s="8">
        <f t="shared" si="28"/>
        <v>46966</v>
      </c>
      <c r="C910" t="s">
        <v>29</v>
      </c>
      <c r="D910" s="5" t="s">
        <v>44</v>
      </c>
      <c r="E910" s="10">
        <f>IFERROR(VLOOKUP(C910,Assets!$A:$G,7,FALSE),0)</f>
        <v>20</v>
      </c>
      <c r="F910" s="11" t="s">
        <v>45</v>
      </c>
      <c r="G910" s="6"/>
      <c r="H910" s="10">
        <f t="shared" si="29"/>
        <v>20</v>
      </c>
    </row>
    <row r="911" spans="1:8" x14ac:dyDescent="0.35">
      <c r="A911" s="8">
        <v>46979</v>
      </c>
      <c r="B911" s="8">
        <f t="shared" si="28"/>
        <v>46966</v>
      </c>
      <c r="C911" t="s">
        <v>29</v>
      </c>
      <c r="D911" s="5" t="s">
        <v>44</v>
      </c>
      <c r="E911" s="10">
        <f>IFERROR(VLOOKUP(C911,Assets!$A:$G,7,FALSE),0)</f>
        <v>20</v>
      </c>
      <c r="F911" s="11" t="s">
        <v>45</v>
      </c>
      <c r="G911" s="6"/>
      <c r="H911" s="10">
        <f t="shared" si="29"/>
        <v>20</v>
      </c>
    </row>
    <row r="912" spans="1:8" x14ac:dyDescent="0.35">
      <c r="A912" s="8">
        <v>46986</v>
      </c>
      <c r="B912" s="8">
        <f t="shared" si="28"/>
        <v>46966</v>
      </c>
      <c r="C912" t="s">
        <v>29</v>
      </c>
      <c r="D912" s="5" t="s">
        <v>44</v>
      </c>
      <c r="E912" s="10">
        <f>IFERROR(VLOOKUP(C912,Assets!$A:$G,7,FALSE),0)</f>
        <v>20</v>
      </c>
      <c r="F912" s="11" t="s">
        <v>45</v>
      </c>
      <c r="G912" s="6"/>
      <c r="H912" s="10">
        <f t="shared" si="29"/>
        <v>20</v>
      </c>
    </row>
    <row r="913" spans="1:8" x14ac:dyDescent="0.35">
      <c r="A913" s="8">
        <v>46993</v>
      </c>
      <c r="B913" s="8">
        <f t="shared" si="28"/>
        <v>46966</v>
      </c>
      <c r="C913" t="s">
        <v>29</v>
      </c>
      <c r="D913" s="5" t="s">
        <v>44</v>
      </c>
      <c r="E913" s="10">
        <f>IFERROR(VLOOKUP(C913,Assets!$A:$G,7,FALSE),0)</f>
        <v>20</v>
      </c>
      <c r="F913" s="11" t="s">
        <v>45</v>
      </c>
      <c r="G913" s="6"/>
      <c r="H913" s="10">
        <f t="shared" si="29"/>
        <v>20</v>
      </c>
    </row>
    <row r="914" spans="1:8" x14ac:dyDescent="0.35">
      <c r="A914" s="8">
        <v>46972</v>
      </c>
      <c r="B914" s="8">
        <f t="shared" si="28"/>
        <v>46966</v>
      </c>
      <c r="C914" t="s">
        <v>31</v>
      </c>
      <c r="D914" s="5" t="s">
        <v>44</v>
      </c>
      <c r="E914" s="10">
        <f>IFERROR(VLOOKUP(C914,Assets!$A:$G,7,FALSE),0)</f>
        <v>27</v>
      </c>
      <c r="F914" s="11" t="s">
        <v>45</v>
      </c>
      <c r="G914" s="6"/>
      <c r="H914" s="10">
        <f t="shared" si="29"/>
        <v>27</v>
      </c>
    </row>
    <row r="915" spans="1:8" x14ac:dyDescent="0.35">
      <c r="A915" s="8">
        <v>46979</v>
      </c>
      <c r="B915" s="8">
        <f t="shared" si="28"/>
        <v>46966</v>
      </c>
      <c r="C915" t="s">
        <v>31</v>
      </c>
      <c r="D915" s="5" t="s">
        <v>44</v>
      </c>
      <c r="E915" s="10">
        <f>IFERROR(VLOOKUP(C915,Assets!$A:$G,7,FALSE),0)</f>
        <v>27</v>
      </c>
      <c r="F915" s="11" t="s">
        <v>45</v>
      </c>
      <c r="G915" s="6"/>
      <c r="H915" s="10">
        <f t="shared" si="29"/>
        <v>27</v>
      </c>
    </row>
    <row r="916" spans="1:8" x14ac:dyDescent="0.35">
      <c r="A916" s="8">
        <v>46986</v>
      </c>
      <c r="B916" s="8">
        <f t="shared" si="28"/>
        <v>46966</v>
      </c>
      <c r="C916" t="s">
        <v>31</v>
      </c>
      <c r="D916" s="5" t="s">
        <v>44</v>
      </c>
      <c r="E916" s="10">
        <f>IFERROR(VLOOKUP(C916,Assets!$A:$G,7,FALSE),0)</f>
        <v>27</v>
      </c>
      <c r="F916" s="11" t="s">
        <v>45</v>
      </c>
      <c r="G916" s="6"/>
      <c r="H916" s="10">
        <f t="shared" si="29"/>
        <v>27</v>
      </c>
    </row>
    <row r="917" spans="1:8" x14ac:dyDescent="0.35">
      <c r="A917" s="8">
        <v>46993</v>
      </c>
      <c r="B917" s="8">
        <f t="shared" si="28"/>
        <v>46966</v>
      </c>
      <c r="C917" t="s">
        <v>31</v>
      </c>
      <c r="D917" s="5" t="s">
        <v>44</v>
      </c>
      <c r="E917" s="10">
        <f>IFERROR(VLOOKUP(C917,Assets!$A:$G,7,FALSE),0)</f>
        <v>27</v>
      </c>
      <c r="F917" s="11" t="s">
        <v>45</v>
      </c>
      <c r="G917" s="6"/>
      <c r="H917" s="10">
        <f t="shared" si="29"/>
        <v>27</v>
      </c>
    </row>
    <row r="918" spans="1:8" x14ac:dyDescent="0.35">
      <c r="A918" s="8">
        <v>46972</v>
      </c>
      <c r="B918" s="8">
        <f t="shared" si="28"/>
        <v>46966</v>
      </c>
      <c r="C918" t="s">
        <v>32</v>
      </c>
      <c r="D918" s="5" t="s">
        <v>44</v>
      </c>
      <c r="E918" s="10">
        <f>IFERROR(VLOOKUP(C918,Assets!$A:$G,7,FALSE),0)</f>
        <v>45</v>
      </c>
      <c r="F918" s="11" t="s">
        <v>45</v>
      </c>
      <c r="G918" s="6"/>
      <c r="H918" s="10">
        <f t="shared" si="29"/>
        <v>45</v>
      </c>
    </row>
    <row r="919" spans="1:8" x14ac:dyDescent="0.35">
      <c r="A919" s="8">
        <v>46979</v>
      </c>
      <c r="B919" s="8">
        <f t="shared" si="28"/>
        <v>46966</v>
      </c>
      <c r="C919" t="s">
        <v>32</v>
      </c>
      <c r="D919" s="5" t="s">
        <v>44</v>
      </c>
      <c r="E919" s="10">
        <f>IFERROR(VLOOKUP(C919,Assets!$A:$G,7,FALSE),0)</f>
        <v>45</v>
      </c>
      <c r="F919" s="11" t="s">
        <v>45</v>
      </c>
      <c r="G919" s="6"/>
      <c r="H919" s="10">
        <f t="shared" si="29"/>
        <v>45</v>
      </c>
    </row>
    <row r="920" spans="1:8" x14ac:dyDescent="0.35">
      <c r="A920" s="8">
        <v>46986</v>
      </c>
      <c r="B920" s="8">
        <f t="shared" si="28"/>
        <v>46966</v>
      </c>
      <c r="C920" t="s">
        <v>32</v>
      </c>
      <c r="D920" s="5" t="s">
        <v>44</v>
      </c>
      <c r="E920" s="10">
        <f>IFERROR(VLOOKUP(C920,Assets!$A:$G,7,FALSE),0)</f>
        <v>45</v>
      </c>
      <c r="F920" s="11" t="s">
        <v>45</v>
      </c>
      <c r="G920" s="6"/>
      <c r="H920" s="10">
        <f t="shared" si="29"/>
        <v>45</v>
      </c>
    </row>
    <row r="921" spans="1:8" x14ac:dyDescent="0.35">
      <c r="A921" s="8">
        <v>46993</v>
      </c>
      <c r="B921" s="8">
        <f t="shared" si="28"/>
        <v>46966</v>
      </c>
      <c r="C921" t="s">
        <v>32</v>
      </c>
      <c r="D921" s="5" t="s">
        <v>44</v>
      </c>
      <c r="E921" s="10">
        <f>IFERROR(VLOOKUP(C921,Assets!$A:$G,7,FALSE),0)</f>
        <v>45</v>
      </c>
      <c r="F921" s="11" t="s">
        <v>45</v>
      </c>
      <c r="G921" s="6"/>
      <c r="H921" s="10">
        <f t="shared" si="29"/>
        <v>45</v>
      </c>
    </row>
    <row r="922" spans="1:8" x14ac:dyDescent="0.35">
      <c r="A922" s="8">
        <v>46972</v>
      </c>
      <c r="B922" s="8">
        <f t="shared" si="28"/>
        <v>46966</v>
      </c>
      <c r="C922" t="s">
        <v>33</v>
      </c>
      <c r="D922" s="5" t="s">
        <v>44</v>
      </c>
      <c r="E922" s="10">
        <f>IFERROR(VLOOKUP(C922,Assets!$A:$G,7,FALSE),0)</f>
        <v>41</v>
      </c>
      <c r="F922" s="11" t="s">
        <v>45</v>
      </c>
      <c r="G922" s="6"/>
      <c r="H922" s="10">
        <f t="shared" si="29"/>
        <v>41</v>
      </c>
    </row>
    <row r="923" spans="1:8" x14ac:dyDescent="0.35">
      <c r="A923" s="8">
        <v>46979</v>
      </c>
      <c r="B923" s="8">
        <f t="shared" si="28"/>
        <v>46966</v>
      </c>
      <c r="C923" t="s">
        <v>33</v>
      </c>
      <c r="D923" s="5" t="s">
        <v>44</v>
      </c>
      <c r="E923" s="10">
        <f>IFERROR(VLOOKUP(C923,Assets!$A:$G,7,FALSE),0)</f>
        <v>41</v>
      </c>
      <c r="F923" s="11" t="s">
        <v>45</v>
      </c>
      <c r="G923" s="6"/>
      <c r="H923" s="10">
        <f t="shared" si="29"/>
        <v>41</v>
      </c>
    </row>
    <row r="924" spans="1:8" x14ac:dyDescent="0.35">
      <c r="A924" s="8">
        <v>46986</v>
      </c>
      <c r="B924" s="8">
        <f t="shared" si="28"/>
        <v>46966</v>
      </c>
      <c r="C924" t="s">
        <v>33</v>
      </c>
      <c r="D924" s="5" t="s">
        <v>44</v>
      </c>
      <c r="E924" s="10">
        <f>IFERROR(VLOOKUP(C924,Assets!$A:$G,7,FALSE),0)</f>
        <v>41</v>
      </c>
      <c r="F924" s="11" t="s">
        <v>45</v>
      </c>
      <c r="G924" s="6"/>
      <c r="H924" s="10">
        <f t="shared" si="29"/>
        <v>41</v>
      </c>
    </row>
    <row r="925" spans="1:8" x14ac:dyDescent="0.35">
      <c r="A925" s="8">
        <v>46993</v>
      </c>
      <c r="B925" s="8">
        <f t="shared" si="28"/>
        <v>46966</v>
      </c>
      <c r="C925" t="s">
        <v>33</v>
      </c>
      <c r="D925" s="5" t="s">
        <v>44</v>
      </c>
      <c r="E925" s="10">
        <f>IFERROR(VLOOKUP(C925,Assets!$A:$G,7,FALSE),0)</f>
        <v>41</v>
      </c>
      <c r="F925" s="11" t="s">
        <v>45</v>
      </c>
      <c r="G925" s="6"/>
      <c r="H925" s="10">
        <f t="shared" si="29"/>
        <v>41</v>
      </c>
    </row>
    <row r="926" spans="1:8" x14ac:dyDescent="0.35">
      <c r="A926" s="8">
        <v>46972</v>
      </c>
      <c r="B926" s="8">
        <f t="shared" si="28"/>
        <v>46966</v>
      </c>
      <c r="C926" t="s">
        <v>34</v>
      </c>
      <c r="D926" s="5" t="s">
        <v>44</v>
      </c>
      <c r="E926" s="10">
        <f>IFERROR(VLOOKUP(C926,Assets!$A:$G,7,FALSE),0)</f>
        <v>15</v>
      </c>
      <c r="F926" s="11" t="s">
        <v>45</v>
      </c>
      <c r="G926" s="6"/>
      <c r="H926" s="10">
        <f t="shared" si="29"/>
        <v>15</v>
      </c>
    </row>
    <row r="927" spans="1:8" x14ac:dyDescent="0.35">
      <c r="A927" s="8">
        <v>46979</v>
      </c>
      <c r="B927" s="8">
        <f t="shared" si="28"/>
        <v>46966</v>
      </c>
      <c r="C927" t="s">
        <v>34</v>
      </c>
      <c r="D927" s="5" t="s">
        <v>44</v>
      </c>
      <c r="E927" s="10">
        <f>IFERROR(VLOOKUP(C927,Assets!$A:$G,7,FALSE),0)</f>
        <v>15</v>
      </c>
      <c r="F927" s="11" t="s">
        <v>45</v>
      </c>
      <c r="G927" s="6"/>
      <c r="H927" s="10">
        <f t="shared" si="29"/>
        <v>15</v>
      </c>
    </row>
    <row r="928" spans="1:8" x14ac:dyDescent="0.35">
      <c r="A928" s="8">
        <v>46986</v>
      </c>
      <c r="B928" s="8">
        <f t="shared" si="28"/>
        <v>46966</v>
      </c>
      <c r="C928" t="s">
        <v>34</v>
      </c>
      <c r="D928" s="5" t="s">
        <v>44</v>
      </c>
      <c r="E928" s="10">
        <f>IFERROR(VLOOKUP(C928,Assets!$A:$G,7,FALSE),0)</f>
        <v>15</v>
      </c>
      <c r="F928" s="11" t="s">
        <v>45</v>
      </c>
      <c r="G928" s="6"/>
      <c r="H928" s="10">
        <f t="shared" si="29"/>
        <v>15</v>
      </c>
    </row>
    <row r="929" spans="1:8" x14ac:dyDescent="0.35">
      <c r="A929" s="8">
        <v>46993</v>
      </c>
      <c r="B929" s="8">
        <f t="shared" si="28"/>
        <v>46966</v>
      </c>
      <c r="C929" t="s">
        <v>34</v>
      </c>
      <c r="D929" s="5" t="s">
        <v>44</v>
      </c>
      <c r="E929" s="10">
        <f>IFERROR(VLOOKUP(C929,Assets!$A:$G,7,FALSE),0)</f>
        <v>15</v>
      </c>
      <c r="F929" s="11" t="s">
        <v>45</v>
      </c>
      <c r="G929" s="6"/>
      <c r="H929" s="10">
        <f t="shared" si="29"/>
        <v>15</v>
      </c>
    </row>
    <row r="930" spans="1:8" x14ac:dyDescent="0.35">
      <c r="A930" s="8">
        <v>47003</v>
      </c>
      <c r="B930" s="8">
        <f t="shared" si="28"/>
        <v>46997</v>
      </c>
      <c r="C930" t="s">
        <v>20</v>
      </c>
      <c r="D930" s="5" t="s">
        <v>44</v>
      </c>
      <c r="E930" s="10">
        <f>IFERROR(VLOOKUP(C930,Assets!$A:$G,7,FALSE),0)</f>
        <v>160</v>
      </c>
      <c r="F930" s="11" t="s">
        <v>45</v>
      </c>
      <c r="G930" s="6"/>
      <c r="H930" s="10">
        <f t="shared" si="29"/>
        <v>160</v>
      </c>
    </row>
    <row r="931" spans="1:8" x14ac:dyDescent="0.35">
      <c r="A931" s="8">
        <v>47010</v>
      </c>
      <c r="B931" s="8">
        <f t="shared" si="28"/>
        <v>46997</v>
      </c>
      <c r="C931" t="s">
        <v>20</v>
      </c>
      <c r="D931" s="5" t="s">
        <v>44</v>
      </c>
      <c r="E931" s="10">
        <f>IFERROR(VLOOKUP(C931,Assets!$A:$G,7,FALSE),0)</f>
        <v>160</v>
      </c>
      <c r="F931" s="11" t="s">
        <v>45</v>
      </c>
      <c r="G931" s="6"/>
      <c r="H931" s="10">
        <f t="shared" si="29"/>
        <v>160</v>
      </c>
    </row>
    <row r="932" spans="1:8" x14ac:dyDescent="0.35">
      <c r="A932" s="8">
        <v>47017</v>
      </c>
      <c r="B932" s="8">
        <f t="shared" si="28"/>
        <v>46997</v>
      </c>
      <c r="C932" t="s">
        <v>20</v>
      </c>
      <c r="D932" s="5" t="s">
        <v>44</v>
      </c>
      <c r="E932" s="10">
        <f>IFERROR(VLOOKUP(C932,Assets!$A:$G,7,FALSE),0)</f>
        <v>160</v>
      </c>
      <c r="F932" s="11" t="s">
        <v>45</v>
      </c>
      <c r="G932" s="6"/>
      <c r="H932" s="10">
        <f t="shared" si="29"/>
        <v>160</v>
      </c>
    </row>
    <row r="933" spans="1:8" x14ac:dyDescent="0.35">
      <c r="A933" s="8">
        <v>47024</v>
      </c>
      <c r="B933" s="8">
        <f t="shared" si="28"/>
        <v>46997</v>
      </c>
      <c r="C933" t="s">
        <v>20</v>
      </c>
      <c r="D933" s="5" t="s">
        <v>44</v>
      </c>
      <c r="E933" s="10">
        <f>IFERROR(VLOOKUP(C933,Assets!$A:$G,7,FALSE),0)</f>
        <v>160</v>
      </c>
      <c r="F933" s="11" t="s">
        <v>45</v>
      </c>
      <c r="G933" s="6"/>
      <c r="H933" s="10">
        <f t="shared" si="29"/>
        <v>160</v>
      </c>
    </row>
    <row r="934" spans="1:8" x14ac:dyDescent="0.35">
      <c r="A934" s="8">
        <v>47003</v>
      </c>
      <c r="B934" s="8">
        <f t="shared" si="28"/>
        <v>46997</v>
      </c>
      <c r="C934" t="s">
        <v>25</v>
      </c>
      <c r="D934" s="5" t="s">
        <v>44</v>
      </c>
      <c r="E934" s="10">
        <f>IFERROR(VLOOKUP(C934,Assets!$A:$G,7,FALSE),0)</f>
        <v>40</v>
      </c>
      <c r="F934" s="11" t="s">
        <v>45</v>
      </c>
      <c r="G934" s="6"/>
      <c r="H934" s="10">
        <f t="shared" si="29"/>
        <v>40</v>
      </c>
    </row>
    <row r="935" spans="1:8" x14ac:dyDescent="0.35">
      <c r="A935" s="8">
        <v>47010</v>
      </c>
      <c r="B935" s="8">
        <f t="shared" si="28"/>
        <v>46997</v>
      </c>
      <c r="C935" t="s">
        <v>25</v>
      </c>
      <c r="D935" s="5" t="s">
        <v>44</v>
      </c>
      <c r="E935" s="10">
        <f>IFERROR(VLOOKUP(C935,Assets!$A:$G,7,FALSE),0)</f>
        <v>40</v>
      </c>
      <c r="F935" s="11" t="s">
        <v>45</v>
      </c>
      <c r="G935" s="6"/>
      <c r="H935" s="10">
        <f t="shared" si="29"/>
        <v>40</v>
      </c>
    </row>
    <row r="936" spans="1:8" x14ac:dyDescent="0.35">
      <c r="A936" s="8">
        <v>47017</v>
      </c>
      <c r="B936" s="8">
        <f t="shared" si="28"/>
        <v>46997</v>
      </c>
      <c r="C936" t="s">
        <v>25</v>
      </c>
      <c r="D936" s="5" t="s">
        <v>44</v>
      </c>
      <c r="E936" s="10">
        <f>IFERROR(VLOOKUP(C936,Assets!$A:$G,7,FALSE),0)</f>
        <v>40</v>
      </c>
      <c r="F936" s="11" t="s">
        <v>45</v>
      </c>
      <c r="G936" s="6"/>
      <c r="H936" s="10">
        <f t="shared" si="29"/>
        <v>40</v>
      </c>
    </row>
    <row r="937" spans="1:8" x14ac:dyDescent="0.35">
      <c r="A937" s="8">
        <v>47024</v>
      </c>
      <c r="B937" s="8">
        <f t="shared" si="28"/>
        <v>46997</v>
      </c>
      <c r="C937" t="s">
        <v>25</v>
      </c>
      <c r="D937" s="5" t="s">
        <v>44</v>
      </c>
      <c r="E937" s="10">
        <f>IFERROR(VLOOKUP(C937,Assets!$A:$G,7,FALSE),0)</f>
        <v>40</v>
      </c>
      <c r="F937" s="11" t="s">
        <v>45</v>
      </c>
      <c r="G937" s="6"/>
      <c r="H937" s="10">
        <f t="shared" si="29"/>
        <v>40</v>
      </c>
    </row>
    <row r="938" spans="1:8" x14ac:dyDescent="0.35">
      <c r="A938" s="8">
        <v>47003</v>
      </c>
      <c r="B938" s="8">
        <f t="shared" si="28"/>
        <v>46997</v>
      </c>
      <c r="C938" t="s">
        <v>26</v>
      </c>
      <c r="D938" s="5" t="s">
        <v>44</v>
      </c>
      <c r="E938" s="10">
        <f>IFERROR(VLOOKUP(C938,Assets!$A:$G,7,FALSE),0)</f>
        <v>27</v>
      </c>
      <c r="F938" s="11" t="s">
        <v>45</v>
      </c>
      <c r="G938" s="6"/>
      <c r="H938" s="10">
        <f t="shared" si="29"/>
        <v>27</v>
      </c>
    </row>
    <row r="939" spans="1:8" x14ac:dyDescent="0.35">
      <c r="A939" s="8">
        <v>47010</v>
      </c>
      <c r="B939" s="8">
        <f t="shared" si="28"/>
        <v>46997</v>
      </c>
      <c r="C939" t="s">
        <v>26</v>
      </c>
      <c r="D939" s="5" t="s">
        <v>44</v>
      </c>
      <c r="E939" s="10">
        <f>IFERROR(VLOOKUP(C939,Assets!$A:$G,7,FALSE),0)</f>
        <v>27</v>
      </c>
      <c r="F939" s="11" t="s">
        <v>45</v>
      </c>
      <c r="G939" s="6"/>
      <c r="H939" s="10">
        <f t="shared" si="29"/>
        <v>27</v>
      </c>
    </row>
    <row r="940" spans="1:8" x14ac:dyDescent="0.35">
      <c r="A940" s="8">
        <v>47017</v>
      </c>
      <c r="B940" s="8">
        <f t="shared" si="28"/>
        <v>46997</v>
      </c>
      <c r="C940" t="s">
        <v>26</v>
      </c>
      <c r="D940" s="5" t="s">
        <v>44</v>
      </c>
      <c r="E940" s="10">
        <f>IFERROR(VLOOKUP(C940,Assets!$A:$G,7,FALSE),0)</f>
        <v>27</v>
      </c>
      <c r="F940" s="11" t="s">
        <v>45</v>
      </c>
      <c r="G940" s="6"/>
      <c r="H940" s="10">
        <f t="shared" si="29"/>
        <v>27</v>
      </c>
    </row>
    <row r="941" spans="1:8" x14ac:dyDescent="0.35">
      <c r="A941" s="8">
        <v>47024</v>
      </c>
      <c r="B941" s="8">
        <f t="shared" si="28"/>
        <v>46997</v>
      </c>
      <c r="C941" t="s">
        <v>26</v>
      </c>
      <c r="D941" s="5" t="s">
        <v>44</v>
      </c>
      <c r="E941" s="10">
        <f>IFERROR(VLOOKUP(C941,Assets!$A:$G,7,FALSE),0)</f>
        <v>27</v>
      </c>
      <c r="F941" s="11" t="s">
        <v>45</v>
      </c>
      <c r="G941" s="6"/>
      <c r="H941" s="10">
        <f t="shared" si="29"/>
        <v>27</v>
      </c>
    </row>
    <row r="942" spans="1:8" x14ac:dyDescent="0.35">
      <c r="A942" s="8">
        <v>47003</v>
      </c>
      <c r="B942" s="8">
        <f t="shared" si="28"/>
        <v>46997</v>
      </c>
      <c r="C942" t="s">
        <v>29</v>
      </c>
      <c r="D942" s="5" t="s">
        <v>44</v>
      </c>
      <c r="E942" s="10">
        <f>IFERROR(VLOOKUP(C942,Assets!$A:$G,7,FALSE),0)</f>
        <v>20</v>
      </c>
      <c r="F942" s="11" t="s">
        <v>45</v>
      </c>
      <c r="G942" s="6"/>
      <c r="H942" s="10">
        <f t="shared" si="29"/>
        <v>20</v>
      </c>
    </row>
    <row r="943" spans="1:8" x14ac:dyDescent="0.35">
      <c r="A943" s="8">
        <v>47010</v>
      </c>
      <c r="B943" s="8">
        <f t="shared" si="28"/>
        <v>46997</v>
      </c>
      <c r="C943" t="s">
        <v>29</v>
      </c>
      <c r="D943" s="5" t="s">
        <v>44</v>
      </c>
      <c r="E943" s="10">
        <f>IFERROR(VLOOKUP(C943,Assets!$A:$G,7,FALSE),0)</f>
        <v>20</v>
      </c>
      <c r="F943" s="11" t="s">
        <v>45</v>
      </c>
      <c r="G943" s="6"/>
      <c r="H943" s="10">
        <f t="shared" si="29"/>
        <v>20</v>
      </c>
    </row>
    <row r="944" spans="1:8" x14ac:dyDescent="0.35">
      <c r="A944" s="8">
        <v>47017</v>
      </c>
      <c r="B944" s="8">
        <f t="shared" si="28"/>
        <v>46997</v>
      </c>
      <c r="C944" t="s">
        <v>29</v>
      </c>
      <c r="D944" s="5" t="s">
        <v>44</v>
      </c>
      <c r="E944" s="10">
        <f>IFERROR(VLOOKUP(C944,Assets!$A:$G,7,FALSE),0)</f>
        <v>20</v>
      </c>
      <c r="F944" s="11" t="s">
        <v>45</v>
      </c>
      <c r="G944" s="6"/>
      <c r="H944" s="10">
        <f t="shared" si="29"/>
        <v>20</v>
      </c>
    </row>
    <row r="945" spans="1:8" x14ac:dyDescent="0.35">
      <c r="A945" s="8">
        <v>47024</v>
      </c>
      <c r="B945" s="8">
        <f t="shared" si="28"/>
        <v>46997</v>
      </c>
      <c r="C945" t="s">
        <v>29</v>
      </c>
      <c r="D945" s="5" t="s">
        <v>44</v>
      </c>
      <c r="E945" s="10">
        <f>IFERROR(VLOOKUP(C945,Assets!$A:$G,7,FALSE),0)</f>
        <v>20</v>
      </c>
      <c r="F945" s="11" t="s">
        <v>45</v>
      </c>
      <c r="G945" s="6"/>
      <c r="H945" s="10">
        <f t="shared" si="29"/>
        <v>20</v>
      </c>
    </row>
    <row r="946" spans="1:8" x14ac:dyDescent="0.35">
      <c r="A946" s="8">
        <v>47003</v>
      </c>
      <c r="B946" s="8">
        <f t="shared" si="28"/>
        <v>46997</v>
      </c>
      <c r="C946" t="s">
        <v>31</v>
      </c>
      <c r="D946" s="5" t="s">
        <v>44</v>
      </c>
      <c r="E946" s="10">
        <f>IFERROR(VLOOKUP(C946,Assets!$A:$G,7,FALSE),0)</f>
        <v>27</v>
      </c>
      <c r="F946" s="11" t="s">
        <v>45</v>
      </c>
      <c r="G946" s="6"/>
      <c r="H946" s="10">
        <f t="shared" si="29"/>
        <v>27</v>
      </c>
    </row>
    <row r="947" spans="1:8" x14ac:dyDescent="0.35">
      <c r="A947" s="8">
        <v>47010</v>
      </c>
      <c r="B947" s="8">
        <f t="shared" si="28"/>
        <v>46997</v>
      </c>
      <c r="C947" t="s">
        <v>31</v>
      </c>
      <c r="D947" s="5" t="s">
        <v>44</v>
      </c>
      <c r="E947" s="10">
        <f>IFERROR(VLOOKUP(C947,Assets!$A:$G,7,FALSE),0)</f>
        <v>27</v>
      </c>
      <c r="F947" s="11" t="s">
        <v>45</v>
      </c>
      <c r="G947" s="6"/>
      <c r="H947" s="10">
        <f t="shared" si="29"/>
        <v>27</v>
      </c>
    </row>
    <row r="948" spans="1:8" x14ac:dyDescent="0.35">
      <c r="A948" s="8">
        <v>47017</v>
      </c>
      <c r="B948" s="8">
        <f t="shared" si="28"/>
        <v>46997</v>
      </c>
      <c r="C948" t="s">
        <v>31</v>
      </c>
      <c r="D948" s="5" t="s">
        <v>44</v>
      </c>
      <c r="E948" s="10">
        <f>IFERROR(VLOOKUP(C948,Assets!$A:$G,7,FALSE),0)</f>
        <v>27</v>
      </c>
      <c r="F948" s="11" t="s">
        <v>45</v>
      </c>
      <c r="G948" s="6"/>
      <c r="H948" s="10">
        <f t="shared" si="29"/>
        <v>27</v>
      </c>
    </row>
    <row r="949" spans="1:8" x14ac:dyDescent="0.35">
      <c r="A949" s="8">
        <v>47024</v>
      </c>
      <c r="B949" s="8">
        <f t="shared" si="28"/>
        <v>46997</v>
      </c>
      <c r="C949" t="s">
        <v>31</v>
      </c>
      <c r="D949" s="5" t="s">
        <v>44</v>
      </c>
      <c r="E949" s="10">
        <f>IFERROR(VLOOKUP(C949,Assets!$A:$G,7,FALSE),0)</f>
        <v>27</v>
      </c>
      <c r="F949" s="11" t="s">
        <v>45</v>
      </c>
      <c r="G949" s="6"/>
      <c r="H949" s="10">
        <f t="shared" si="29"/>
        <v>27</v>
      </c>
    </row>
    <row r="950" spans="1:8" x14ac:dyDescent="0.35">
      <c r="A950" s="8">
        <v>47003</v>
      </c>
      <c r="B950" s="8">
        <f t="shared" si="28"/>
        <v>46997</v>
      </c>
      <c r="C950" t="s">
        <v>32</v>
      </c>
      <c r="D950" s="5" t="s">
        <v>44</v>
      </c>
      <c r="E950" s="10">
        <f>IFERROR(VLOOKUP(C950,Assets!$A:$G,7,FALSE),0)</f>
        <v>45</v>
      </c>
      <c r="F950" s="11" t="s">
        <v>45</v>
      </c>
      <c r="G950" s="6"/>
      <c r="H950" s="10">
        <f t="shared" si="29"/>
        <v>45</v>
      </c>
    </row>
    <row r="951" spans="1:8" x14ac:dyDescent="0.35">
      <c r="A951" s="8">
        <v>47010</v>
      </c>
      <c r="B951" s="8">
        <f t="shared" si="28"/>
        <v>46997</v>
      </c>
      <c r="C951" t="s">
        <v>32</v>
      </c>
      <c r="D951" s="5" t="s">
        <v>44</v>
      </c>
      <c r="E951" s="10">
        <f>IFERROR(VLOOKUP(C951,Assets!$A:$G,7,FALSE),0)</f>
        <v>45</v>
      </c>
      <c r="F951" s="11" t="s">
        <v>45</v>
      </c>
      <c r="G951" s="6"/>
      <c r="H951" s="10">
        <f t="shared" si="29"/>
        <v>45</v>
      </c>
    </row>
    <row r="952" spans="1:8" x14ac:dyDescent="0.35">
      <c r="A952" s="8">
        <v>47017</v>
      </c>
      <c r="B952" s="8">
        <f t="shared" si="28"/>
        <v>46997</v>
      </c>
      <c r="C952" t="s">
        <v>32</v>
      </c>
      <c r="D952" s="5" t="s">
        <v>44</v>
      </c>
      <c r="E952" s="10">
        <f>IFERROR(VLOOKUP(C952,Assets!$A:$G,7,FALSE),0)</f>
        <v>45</v>
      </c>
      <c r="F952" s="11" t="s">
        <v>45</v>
      </c>
      <c r="G952" s="6"/>
      <c r="H952" s="10">
        <f t="shared" si="29"/>
        <v>45</v>
      </c>
    </row>
    <row r="953" spans="1:8" x14ac:dyDescent="0.35">
      <c r="A953" s="8">
        <v>47024</v>
      </c>
      <c r="B953" s="8">
        <f t="shared" si="28"/>
        <v>46997</v>
      </c>
      <c r="C953" t="s">
        <v>32</v>
      </c>
      <c r="D953" s="5" t="s">
        <v>44</v>
      </c>
      <c r="E953" s="10">
        <f>IFERROR(VLOOKUP(C953,Assets!$A:$G,7,FALSE),0)</f>
        <v>45</v>
      </c>
      <c r="F953" s="11" t="s">
        <v>45</v>
      </c>
      <c r="G953" s="6"/>
      <c r="H953" s="10">
        <f t="shared" si="29"/>
        <v>45</v>
      </c>
    </row>
    <row r="954" spans="1:8" x14ac:dyDescent="0.35">
      <c r="A954" s="8">
        <v>47003</v>
      </c>
      <c r="B954" s="8">
        <f t="shared" si="28"/>
        <v>46997</v>
      </c>
      <c r="C954" t="s">
        <v>33</v>
      </c>
      <c r="D954" s="5" t="s">
        <v>44</v>
      </c>
      <c r="E954" s="10">
        <f>IFERROR(VLOOKUP(C954,Assets!$A:$G,7,FALSE),0)</f>
        <v>41</v>
      </c>
      <c r="F954" s="11" t="s">
        <v>45</v>
      </c>
      <c r="G954" s="6"/>
      <c r="H954" s="10">
        <f t="shared" si="29"/>
        <v>41</v>
      </c>
    </row>
    <row r="955" spans="1:8" x14ac:dyDescent="0.35">
      <c r="A955" s="8">
        <v>47010</v>
      </c>
      <c r="B955" s="8">
        <f t="shared" si="28"/>
        <v>46997</v>
      </c>
      <c r="C955" t="s">
        <v>33</v>
      </c>
      <c r="D955" s="5" t="s">
        <v>44</v>
      </c>
      <c r="E955" s="10">
        <f>IFERROR(VLOOKUP(C955,Assets!$A:$G,7,FALSE),0)</f>
        <v>41</v>
      </c>
      <c r="F955" s="11" t="s">
        <v>45</v>
      </c>
      <c r="G955" s="6"/>
      <c r="H955" s="10">
        <f t="shared" si="29"/>
        <v>41</v>
      </c>
    </row>
    <row r="956" spans="1:8" x14ac:dyDescent="0.35">
      <c r="A956" s="8">
        <v>47017</v>
      </c>
      <c r="B956" s="8">
        <f t="shared" si="28"/>
        <v>46997</v>
      </c>
      <c r="C956" t="s">
        <v>33</v>
      </c>
      <c r="D956" s="5" t="s">
        <v>44</v>
      </c>
      <c r="E956" s="10">
        <f>IFERROR(VLOOKUP(C956,Assets!$A:$G,7,FALSE),0)</f>
        <v>41</v>
      </c>
      <c r="F956" s="11" t="s">
        <v>45</v>
      </c>
      <c r="G956" s="6"/>
      <c r="H956" s="10">
        <f t="shared" si="29"/>
        <v>41</v>
      </c>
    </row>
    <row r="957" spans="1:8" x14ac:dyDescent="0.35">
      <c r="A957" s="8">
        <v>47024</v>
      </c>
      <c r="B957" s="8">
        <f t="shared" si="28"/>
        <v>46997</v>
      </c>
      <c r="C957" t="s">
        <v>33</v>
      </c>
      <c r="D957" s="5" t="s">
        <v>44</v>
      </c>
      <c r="E957" s="10">
        <f>IFERROR(VLOOKUP(C957,Assets!$A:$G,7,FALSE),0)</f>
        <v>41</v>
      </c>
      <c r="F957" s="11" t="s">
        <v>45</v>
      </c>
      <c r="G957" s="6"/>
      <c r="H957" s="10">
        <f t="shared" si="29"/>
        <v>41</v>
      </c>
    </row>
    <row r="958" spans="1:8" x14ac:dyDescent="0.35">
      <c r="A958" s="8">
        <v>47003</v>
      </c>
      <c r="B958" s="8">
        <f t="shared" si="28"/>
        <v>46997</v>
      </c>
      <c r="C958" t="s">
        <v>34</v>
      </c>
      <c r="D958" s="5" t="s">
        <v>44</v>
      </c>
      <c r="E958" s="10">
        <f>IFERROR(VLOOKUP(C958,Assets!$A:$G,7,FALSE),0)</f>
        <v>15</v>
      </c>
      <c r="F958" s="11" t="s">
        <v>45</v>
      </c>
      <c r="G958" s="6"/>
      <c r="H958" s="10">
        <f t="shared" si="29"/>
        <v>15</v>
      </c>
    </row>
    <row r="959" spans="1:8" x14ac:dyDescent="0.35">
      <c r="A959" s="8">
        <v>47010</v>
      </c>
      <c r="B959" s="8">
        <f t="shared" si="28"/>
        <v>46997</v>
      </c>
      <c r="C959" t="s">
        <v>34</v>
      </c>
      <c r="D959" s="5" t="s">
        <v>44</v>
      </c>
      <c r="E959" s="10">
        <f>IFERROR(VLOOKUP(C959,Assets!$A:$G,7,FALSE),0)</f>
        <v>15</v>
      </c>
      <c r="F959" s="11" t="s">
        <v>45</v>
      </c>
      <c r="G959" s="6"/>
      <c r="H959" s="10">
        <f t="shared" si="29"/>
        <v>15</v>
      </c>
    </row>
    <row r="960" spans="1:8" x14ac:dyDescent="0.35">
      <c r="A960" s="8">
        <v>47017</v>
      </c>
      <c r="B960" s="8">
        <f t="shared" si="28"/>
        <v>46997</v>
      </c>
      <c r="C960" t="s">
        <v>34</v>
      </c>
      <c r="D960" s="5" t="s">
        <v>44</v>
      </c>
      <c r="E960" s="10">
        <f>IFERROR(VLOOKUP(C960,Assets!$A:$G,7,FALSE),0)</f>
        <v>15</v>
      </c>
      <c r="F960" s="11" t="s">
        <v>45</v>
      </c>
      <c r="G960" s="6"/>
      <c r="H960" s="10">
        <f t="shared" si="29"/>
        <v>15</v>
      </c>
    </row>
    <row r="961" spans="1:8" x14ac:dyDescent="0.35">
      <c r="A961" s="8">
        <v>47024</v>
      </c>
      <c r="B961" s="8">
        <f t="shared" si="28"/>
        <v>46997</v>
      </c>
      <c r="C961" t="s">
        <v>34</v>
      </c>
      <c r="D961" s="5" t="s">
        <v>44</v>
      </c>
      <c r="E961" s="10">
        <f>IFERROR(VLOOKUP(C961,Assets!$A:$G,7,FALSE),0)</f>
        <v>15</v>
      </c>
      <c r="F961" s="11" t="s">
        <v>45</v>
      </c>
      <c r="G961" s="6"/>
      <c r="H961" s="10">
        <f t="shared" si="29"/>
        <v>15</v>
      </c>
    </row>
    <row r="962" spans="1:8" x14ac:dyDescent="0.35">
      <c r="A962" s="8">
        <v>47033</v>
      </c>
      <c r="B962" s="8">
        <f t="shared" ref="B962:B1025" si="30">DATE(YEAR(A962),MONTH(A962),1)</f>
        <v>47027</v>
      </c>
      <c r="C962" t="s">
        <v>20</v>
      </c>
      <c r="D962" s="5" t="s">
        <v>44</v>
      </c>
      <c r="E962" s="10">
        <f>IFERROR(VLOOKUP(C962,Assets!$A:$G,7,FALSE),0)</f>
        <v>160</v>
      </c>
      <c r="F962" s="11" t="s">
        <v>45</v>
      </c>
      <c r="G962" s="6"/>
      <c r="H962" s="10">
        <f t="shared" ref="H962:H1025" si="31">IF(F962="No",0,IF(F962="Edited",IF(G962="",E962,G962),E962))</f>
        <v>160</v>
      </c>
    </row>
    <row r="963" spans="1:8" x14ac:dyDescent="0.35">
      <c r="A963" s="8">
        <v>47040</v>
      </c>
      <c r="B963" s="8">
        <f t="shared" si="30"/>
        <v>47027</v>
      </c>
      <c r="C963" t="s">
        <v>20</v>
      </c>
      <c r="D963" s="5" t="s">
        <v>44</v>
      </c>
      <c r="E963" s="10">
        <f>IFERROR(VLOOKUP(C963,Assets!$A:$G,7,FALSE),0)</f>
        <v>160</v>
      </c>
      <c r="F963" s="11" t="s">
        <v>45</v>
      </c>
      <c r="G963" s="6"/>
      <c r="H963" s="10">
        <f t="shared" si="31"/>
        <v>160</v>
      </c>
    </row>
    <row r="964" spans="1:8" x14ac:dyDescent="0.35">
      <c r="A964" s="8">
        <v>47047</v>
      </c>
      <c r="B964" s="8">
        <f t="shared" si="30"/>
        <v>47027</v>
      </c>
      <c r="C964" t="s">
        <v>20</v>
      </c>
      <c r="D964" s="5" t="s">
        <v>44</v>
      </c>
      <c r="E964" s="10">
        <f>IFERROR(VLOOKUP(C964,Assets!$A:$G,7,FALSE),0)</f>
        <v>160</v>
      </c>
      <c r="F964" s="11" t="s">
        <v>45</v>
      </c>
      <c r="G964" s="6"/>
      <c r="H964" s="10">
        <f t="shared" si="31"/>
        <v>160</v>
      </c>
    </row>
    <row r="965" spans="1:8" x14ac:dyDescent="0.35">
      <c r="A965" s="8">
        <v>47054</v>
      </c>
      <c r="B965" s="8">
        <f t="shared" si="30"/>
        <v>47027</v>
      </c>
      <c r="C965" t="s">
        <v>20</v>
      </c>
      <c r="D965" s="5" t="s">
        <v>44</v>
      </c>
      <c r="E965" s="10">
        <f>IFERROR(VLOOKUP(C965,Assets!$A:$G,7,FALSE),0)</f>
        <v>160</v>
      </c>
      <c r="F965" s="11" t="s">
        <v>45</v>
      </c>
      <c r="G965" s="6"/>
      <c r="H965" s="10">
        <f t="shared" si="31"/>
        <v>160</v>
      </c>
    </row>
    <row r="966" spans="1:8" x14ac:dyDescent="0.35">
      <c r="A966" s="8">
        <v>47033</v>
      </c>
      <c r="B966" s="8">
        <f t="shared" si="30"/>
        <v>47027</v>
      </c>
      <c r="C966" t="s">
        <v>25</v>
      </c>
      <c r="D966" s="5" t="s">
        <v>44</v>
      </c>
      <c r="E966" s="10">
        <f>IFERROR(VLOOKUP(C966,Assets!$A:$G,7,FALSE),0)</f>
        <v>40</v>
      </c>
      <c r="F966" s="11" t="s">
        <v>45</v>
      </c>
      <c r="G966" s="6"/>
      <c r="H966" s="10">
        <f t="shared" si="31"/>
        <v>40</v>
      </c>
    </row>
    <row r="967" spans="1:8" x14ac:dyDescent="0.35">
      <c r="A967" s="8">
        <v>47040</v>
      </c>
      <c r="B967" s="8">
        <f t="shared" si="30"/>
        <v>47027</v>
      </c>
      <c r="C967" t="s">
        <v>25</v>
      </c>
      <c r="D967" s="5" t="s">
        <v>44</v>
      </c>
      <c r="E967" s="10">
        <f>IFERROR(VLOOKUP(C967,Assets!$A:$G,7,FALSE),0)</f>
        <v>40</v>
      </c>
      <c r="F967" s="11" t="s">
        <v>45</v>
      </c>
      <c r="G967" s="6"/>
      <c r="H967" s="10">
        <f t="shared" si="31"/>
        <v>40</v>
      </c>
    </row>
    <row r="968" spans="1:8" x14ac:dyDescent="0.35">
      <c r="A968" s="8">
        <v>47047</v>
      </c>
      <c r="B968" s="8">
        <f t="shared" si="30"/>
        <v>47027</v>
      </c>
      <c r="C968" t="s">
        <v>25</v>
      </c>
      <c r="D968" s="5" t="s">
        <v>44</v>
      </c>
      <c r="E968" s="10">
        <f>IFERROR(VLOOKUP(C968,Assets!$A:$G,7,FALSE),0)</f>
        <v>40</v>
      </c>
      <c r="F968" s="11" t="s">
        <v>45</v>
      </c>
      <c r="G968" s="6"/>
      <c r="H968" s="10">
        <f t="shared" si="31"/>
        <v>40</v>
      </c>
    </row>
    <row r="969" spans="1:8" x14ac:dyDescent="0.35">
      <c r="A969" s="8">
        <v>47054</v>
      </c>
      <c r="B969" s="8">
        <f t="shared" si="30"/>
        <v>47027</v>
      </c>
      <c r="C969" t="s">
        <v>25</v>
      </c>
      <c r="D969" s="5" t="s">
        <v>44</v>
      </c>
      <c r="E969" s="10">
        <f>IFERROR(VLOOKUP(C969,Assets!$A:$G,7,FALSE),0)</f>
        <v>40</v>
      </c>
      <c r="F969" s="11" t="s">
        <v>45</v>
      </c>
      <c r="G969" s="6"/>
      <c r="H969" s="10">
        <f t="shared" si="31"/>
        <v>40</v>
      </c>
    </row>
    <row r="970" spans="1:8" x14ac:dyDescent="0.35">
      <c r="A970" s="8">
        <v>47033</v>
      </c>
      <c r="B970" s="8">
        <f t="shared" si="30"/>
        <v>47027</v>
      </c>
      <c r="C970" t="s">
        <v>26</v>
      </c>
      <c r="D970" s="5" t="s">
        <v>44</v>
      </c>
      <c r="E970" s="10">
        <f>IFERROR(VLOOKUP(C970,Assets!$A:$G,7,FALSE),0)</f>
        <v>27</v>
      </c>
      <c r="F970" s="11" t="s">
        <v>45</v>
      </c>
      <c r="G970" s="6"/>
      <c r="H970" s="10">
        <f t="shared" si="31"/>
        <v>27</v>
      </c>
    </row>
    <row r="971" spans="1:8" x14ac:dyDescent="0.35">
      <c r="A971" s="8">
        <v>47040</v>
      </c>
      <c r="B971" s="8">
        <f t="shared" si="30"/>
        <v>47027</v>
      </c>
      <c r="C971" t="s">
        <v>26</v>
      </c>
      <c r="D971" s="5" t="s">
        <v>44</v>
      </c>
      <c r="E971" s="10">
        <f>IFERROR(VLOOKUP(C971,Assets!$A:$G,7,FALSE),0)</f>
        <v>27</v>
      </c>
      <c r="F971" s="11" t="s">
        <v>45</v>
      </c>
      <c r="G971" s="6"/>
      <c r="H971" s="10">
        <f t="shared" si="31"/>
        <v>27</v>
      </c>
    </row>
    <row r="972" spans="1:8" x14ac:dyDescent="0.35">
      <c r="A972" s="8">
        <v>47047</v>
      </c>
      <c r="B972" s="8">
        <f t="shared" si="30"/>
        <v>47027</v>
      </c>
      <c r="C972" t="s">
        <v>26</v>
      </c>
      <c r="D972" s="5" t="s">
        <v>44</v>
      </c>
      <c r="E972" s="10">
        <f>IFERROR(VLOOKUP(C972,Assets!$A:$G,7,FALSE),0)</f>
        <v>27</v>
      </c>
      <c r="F972" s="11" t="s">
        <v>45</v>
      </c>
      <c r="G972" s="6"/>
      <c r="H972" s="10">
        <f t="shared" si="31"/>
        <v>27</v>
      </c>
    </row>
    <row r="973" spans="1:8" x14ac:dyDescent="0.35">
      <c r="A973" s="8">
        <v>47054</v>
      </c>
      <c r="B973" s="8">
        <f t="shared" si="30"/>
        <v>47027</v>
      </c>
      <c r="C973" t="s">
        <v>26</v>
      </c>
      <c r="D973" s="5" t="s">
        <v>44</v>
      </c>
      <c r="E973" s="10">
        <f>IFERROR(VLOOKUP(C973,Assets!$A:$G,7,FALSE),0)</f>
        <v>27</v>
      </c>
      <c r="F973" s="11" t="s">
        <v>45</v>
      </c>
      <c r="G973" s="6"/>
      <c r="H973" s="10">
        <f t="shared" si="31"/>
        <v>27</v>
      </c>
    </row>
    <row r="974" spans="1:8" x14ac:dyDescent="0.35">
      <c r="A974" s="8">
        <v>47033</v>
      </c>
      <c r="B974" s="8">
        <f t="shared" si="30"/>
        <v>47027</v>
      </c>
      <c r="C974" t="s">
        <v>29</v>
      </c>
      <c r="D974" s="5" t="s">
        <v>44</v>
      </c>
      <c r="E974" s="10">
        <f>IFERROR(VLOOKUP(C974,Assets!$A:$G,7,FALSE),0)</f>
        <v>20</v>
      </c>
      <c r="F974" s="11" t="s">
        <v>45</v>
      </c>
      <c r="G974" s="6"/>
      <c r="H974" s="10">
        <f t="shared" si="31"/>
        <v>20</v>
      </c>
    </row>
    <row r="975" spans="1:8" x14ac:dyDescent="0.35">
      <c r="A975" s="8">
        <v>47040</v>
      </c>
      <c r="B975" s="8">
        <f t="shared" si="30"/>
        <v>47027</v>
      </c>
      <c r="C975" t="s">
        <v>29</v>
      </c>
      <c r="D975" s="5" t="s">
        <v>44</v>
      </c>
      <c r="E975" s="10">
        <f>IFERROR(VLOOKUP(C975,Assets!$A:$G,7,FALSE),0)</f>
        <v>20</v>
      </c>
      <c r="F975" s="11" t="s">
        <v>45</v>
      </c>
      <c r="G975" s="6"/>
      <c r="H975" s="10">
        <f t="shared" si="31"/>
        <v>20</v>
      </c>
    </row>
    <row r="976" spans="1:8" x14ac:dyDescent="0.35">
      <c r="A976" s="8">
        <v>47047</v>
      </c>
      <c r="B976" s="8">
        <f t="shared" si="30"/>
        <v>47027</v>
      </c>
      <c r="C976" t="s">
        <v>29</v>
      </c>
      <c r="D976" s="5" t="s">
        <v>44</v>
      </c>
      <c r="E976" s="10">
        <f>IFERROR(VLOOKUP(C976,Assets!$A:$G,7,FALSE),0)</f>
        <v>20</v>
      </c>
      <c r="F976" s="11" t="s">
        <v>45</v>
      </c>
      <c r="G976" s="6"/>
      <c r="H976" s="10">
        <f t="shared" si="31"/>
        <v>20</v>
      </c>
    </row>
    <row r="977" spans="1:8" x14ac:dyDescent="0.35">
      <c r="A977" s="8">
        <v>47054</v>
      </c>
      <c r="B977" s="8">
        <f t="shared" si="30"/>
        <v>47027</v>
      </c>
      <c r="C977" t="s">
        <v>29</v>
      </c>
      <c r="D977" s="5" t="s">
        <v>44</v>
      </c>
      <c r="E977" s="10">
        <f>IFERROR(VLOOKUP(C977,Assets!$A:$G,7,FALSE),0)</f>
        <v>20</v>
      </c>
      <c r="F977" s="11" t="s">
        <v>45</v>
      </c>
      <c r="G977" s="6"/>
      <c r="H977" s="10">
        <f t="shared" si="31"/>
        <v>20</v>
      </c>
    </row>
    <row r="978" spans="1:8" x14ac:dyDescent="0.35">
      <c r="A978" s="8">
        <v>47033</v>
      </c>
      <c r="B978" s="8">
        <f t="shared" si="30"/>
        <v>47027</v>
      </c>
      <c r="C978" t="s">
        <v>31</v>
      </c>
      <c r="D978" s="5" t="s">
        <v>44</v>
      </c>
      <c r="E978" s="10">
        <f>IFERROR(VLOOKUP(C978,Assets!$A:$G,7,FALSE),0)</f>
        <v>27</v>
      </c>
      <c r="F978" s="11" t="s">
        <v>45</v>
      </c>
      <c r="G978" s="6"/>
      <c r="H978" s="10">
        <f t="shared" si="31"/>
        <v>27</v>
      </c>
    </row>
    <row r="979" spans="1:8" x14ac:dyDescent="0.35">
      <c r="A979" s="8">
        <v>47040</v>
      </c>
      <c r="B979" s="8">
        <f t="shared" si="30"/>
        <v>47027</v>
      </c>
      <c r="C979" t="s">
        <v>31</v>
      </c>
      <c r="D979" s="5" t="s">
        <v>44</v>
      </c>
      <c r="E979" s="10">
        <f>IFERROR(VLOOKUP(C979,Assets!$A:$G,7,FALSE),0)</f>
        <v>27</v>
      </c>
      <c r="F979" s="11" t="s">
        <v>45</v>
      </c>
      <c r="G979" s="6"/>
      <c r="H979" s="10">
        <f t="shared" si="31"/>
        <v>27</v>
      </c>
    </row>
    <row r="980" spans="1:8" x14ac:dyDescent="0.35">
      <c r="A980" s="8">
        <v>47047</v>
      </c>
      <c r="B980" s="8">
        <f t="shared" si="30"/>
        <v>47027</v>
      </c>
      <c r="C980" t="s">
        <v>31</v>
      </c>
      <c r="D980" s="5" t="s">
        <v>44</v>
      </c>
      <c r="E980" s="10">
        <f>IFERROR(VLOOKUP(C980,Assets!$A:$G,7,FALSE),0)</f>
        <v>27</v>
      </c>
      <c r="F980" s="11" t="s">
        <v>45</v>
      </c>
      <c r="G980" s="6"/>
      <c r="H980" s="10">
        <f t="shared" si="31"/>
        <v>27</v>
      </c>
    </row>
    <row r="981" spans="1:8" x14ac:dyDescent="0.35">
      <c r="A981" s="8">
        <v>47054</v>
      </c>
      <c r="B981" s="8">
        <f t="shared" si="30"/>
        <v>47027</v>
      </c>
      <c r="C981" t="s">
        <v>31</v>
      </c>
      <c r="D981" s="5" t="s">
        <v>44</v>
      </c>
      <c r="E981" s="10">
        <f>IFERROR(VLOOKUP(C981,Assets!$A:$G,7,FALSE),0)</f>
        <v>27</v>
      </c>
      <c r="F981" s="11" t="s">
        <v>45</v>
      </c>
      <c r="G981" s="6"/>
      <c r="H981" s="10">
        <f t="shared" si="31"/>
        <v>27</v>
      </c>
    </row>
    <row r="982" spans="1:8" x14ac:dyDescent="0.35">
      <c r="A982" s="8">
        <v>47033</v>
      </c>
      <c r="B982" s="8">
        <f t="shared" si="30"/>
        <v>47027</v>
      </c>
      <c r="C982" t="s">
        <v>32</v>
      </c>
      <c r="D982" s="5" t="s">
        <v>44</v>
      </c>
      <c r="E982" s="10">
        <f>IFERROR(VLOOKUP(C982,Assets!$A:$G,7,FALSE),0)</f>
        <v>45</v>
      </c>
      <c r="F982" s="11" t="s">
        <v>45</v>
      </c>
      <c r="G982" s="6"/>
      <c r="H982" s="10">
        <f t="shared" si="31"/>
        <v>45</v>
      </c>
    </row>
    <row r="983" spans="1:8" x14ac:dyDescent="0.35">
      <c r="A983" s="8">
        <v>47040</v>
      </c>
      <c r="B983" s="8">
        <f t="shared" si="30"/>
        <v>47027</v>
      </c>
      <c r="C983" t="s">
        <v>32</v>
      </c>
      <c r="D983" s="5" t="s">
        <v>44</v>
      </c>
      <c r="E983" s="10">
        <f>IFERROR(VLOOKUP(C983,Assets!$A:$G,7,FALSE),0)</f>
        <v>45</v>
      </c>
      <c r="F983" s="11" t="s">
        <v>45</v>
      </c>
      <c r="G983" s="6"/>
      <c r="H983" s="10">
        <f t="shared" si="31"/>
        <v>45</v>
      </c>
    </row>
    <row r="984" spans="1:8" x14ac:dyDescent="0.35">
      <c r="A984" s="8">
        <v>47047</v>
      </c>
      <c r="B984" s="8">
        <f t="shared" si="30"/>
        <v>47027</v>
      </c>
      <c r="C984" t="s">
        <v>32</v>
      </c>
      <c r="D984" s="5" t="s">
        <v>44</v>
      </c>
      <c r="E984" s="10">
        <f>IFERROR(VLOOKUP(C984,Assets!$A:$G,7,FALSE),0)</f>
        <v>45</v>
      </c>
      <c r="F984" s="11" t="s">
        <v>45</v>
      </c>
      <c r="G984" s="6"/>
      <c r="H984" s="10">
        <f t="shared" si="31"/>
        <v>45</v>
      </c>
    </row>
    <row r="985" spans="1:8" x14ac:dyDescent="0.35">
      <c r="A985" s="8">
        <v>47054</v>
      </c>
      <c r="B985" s="8">
        <f t="shared" si="30"/>
        <v>47027</v>
      </c>
      <c r="C985" t="s">
        <v>32</v>
      </c>
      <c r="D985" s="5" t="s">
        <v>44</v>
      </c>
      <c r="E985" s="10">
        <f>IFERROR(VLOOKUP(C985,Assets!$A:$G,7,FALSE),0)</f>
        <v>45</v>
      </c>
      <c r="F985" s="11" t="s">
        <v>45</v>
      </c>
      <c r="G985" s="6"/>
      <c r="H985" s="10">
        <f t="shared" si="31"/>
        <v>45</v>
      </c>
    </row>
    <row r="986" spans="1:8" x14ac:dyDescent="0.35">
      <c r="A986" s="8">
        <v>47033</v>
      </c>
      <c r="B986" s="8">
        <f t="shared" si="30"/>
        <v>47027</v>
      </c>
      <c r="C986" t="s">
        <v>33</v>
      </c>
      <c r="D986" s="5" t="s">
        <v>44</v>
      </c>
      <c r="E986" s="10">
        <f>IFERROR(VLOOKUP(C986,Assets!$A:$G,7,FALSE),0)</f>
        <v>41</v>
      </c>
      <c r="F986" s="11" t="s">
        <v>45</v>
      </c>
      <c r="G986" s="6"/>
      <c r="H986" s="10">
        <f t="shared" si="31"/>
        <v>41</v>
      </c>
    </row>
    <row r="987" spans="1:8" x14ac:dyDescent="0.35">
      <c r="A987" s="8">
        <v>47040</v>
      </c>
      <c r="B987" s="8">
        <f t="shared" si="30"/>
        <v>47027</v>
      </c>
      <c r="C987" t="s">
        <v>33</v>
      </c>
      <c r="D987" s="5" t="s">
        <v>44</v>
      </c>
      <c r="E987" s="10">
        <f>IFERROR(VLOOKUP(C987,Assets!$A:$G,7,FALSE),0)</f>
        <v>41</v>
      </c>
      <c r="F987" s="11" t="s">
        <v>45</v>
      </c>
      <c r="G987" s="6"/>
      <c r="H987" s="10">
        <f t="shared" si="31"/>
        <v>41</v>
      </c>
    </row>
    <row r="988" spans="1:8" x14ac:dyDescent="0.35">
      <c r="A988" s="8">
        <v>47047</v>
      </c>
      <c r="B988" s="8">
        <f t="shared" si="30"/>
        <v>47027</v>
      </c>
      <c r="C988" t="s">
        <v>33</v>
      </c>
      <c r="D988" s="5" t="s">
        <v>44</v>
      </c>
      <c r="E988" s="10">
        <f>IFERROR(VLOOKUP(C988,Assets!$A:$G,7,FALSE),0)</f>
        <v>41</v>
      </c>
      <c r="F988" s="11" t="s">
        <v>45</v>
      </c>
      <c r="G988" s="6"/>
      <c r="H988" s="10">
        <f t="shared" si="31"/>
        <v>41</v>
      </c>
    </row>
    <row r="989" spans="1:8" x14ac:dyDescent="0.35">
      <c r="A989" s="8">
        <v>47054</v>
      </c>
      <c r="B989" s="8">
        <f t="shared" si="30"/>
        <v>47027</v>
      </c>
      <c r="C989" t="s">
        <v>33</v>
      </c>
      <c r="D989" s="5" t="s">
        <v>44</v>
      </c>
      <c r="E989" s="10">
        <f>IFERROR(VLOOKUP(C989,Assets!$A:$G,7,FALSE),0)</f>
        <v>41</v>
      </c>
      <c r="F989" s="11" t="s">
        <v>45</v>
      </c>
      <c r="G989" s="6"/>
      <c r="H989" s="10">
        <f t="shared" si="31"/>
        <v>41</v>
      </c>
    </row>
    <row r="990" spans="1:8" x14ac:dyDescent="0.35">
      <c r="A990" s="8">
        <v>47033</v>
      </c>
      <c r="B990" s="8">
        <f t="shared" si="30"/>
        <v>47027</v>
      </c>
      <c r="C990" t="s">
        <v>34</v>
      </c>
      <c r="D990" s="5" t="s">
        <v>44</v>
      </c>
      <c r="E990" s="10">
        <f>IFERROR(VLOOKUP(C990,Assets!$A:$G,7,FALSE),0)</f>
        <v>15</v>
      </c>
      <c r="F990" s="11" t="s">
        <v>45</v>
      </c>
      <c r="G990" s="6"/>
      <c r="H990" s="10">
        <f t="shared" si="31"/>
        <v>15</v>
      </c>
    </row>
    <row r="991" spans="1:8" x14ac:dyDescent="0.35">
      <c r="A991" s="8">
        <v>47040</v>
      </c>
      <c r="B991" s="8">
        <f t="shared" si="30"/>
        <v>47027</v>
      </c>
      <c r="C991" t="s">
        <v>34</v>
      </c>
      <c r="D991" s="5" t="s">
        <v>44</v>
      </c>
      <c r="E991" s="10">
        <f>IFERROR(VLOOKUP(C991,Assets!$A:$G,7,FALSE),0)</f>
        <v>15</v>
      </c>
      <c r="F991" s="11" t="s">
        <v>45</v>
      </c>
      <c r="G991" s="6"/>
      <c r="H991" s="10">
        <f t="shared" si="31"/>
        <v>15</v>
      </c>
    </row>
    <row r="992" spans="1:8" x14ac:dyDescent="0.35">
      <c r="A992" s="8">
        <v>47047</v>
      </c>
      <c r="B992" s="8">
        <f t="shared" si="30"/>
        <v>47027</v>
      </c>
      <c r="C992" t="s">
        <v>34</v>
      </c>
      <c r="D992" s="5" t="s">
        <v>44</v>
      </c>
      <c r="E992" s="10">
        <f>IFERROR(VLOOKUP(C992,Assets!$A:$G,7,FALSE),0)</f>
        <v>15</v>
      </c>
      <c r="F992" s="11" t="s">
        <v>45</v>
      </c>
      <c r="G992" s="6"/>
      <c r="H992" s="10">
        <f t="shared" si="31"/>
        <v>15</v>
      </c>
    </row>
    <row r="993" spans="1:8" x14ac:dyDescent="0.35">
      <c r="A993" s="8">
        <v>47054</v>
      </c>
      <c r="B993" s="8">
        <f t="shared" si="30"/>
        <v>47027</v>
      </c>
      <c r="C993" t="s">
        <v>34</v>
      </c>
      <c r="D993" s="5" t="s">
        <v>44</v>
      </c>
      <c r="E993" s="10">
        <f>IFERROR(VLOOKUP(C993,Assets!$A:$G,7,FALSE),0)</f>
        <v>15</v>
      </c>
      <c r="F993" s="11" t="s">
        <v>45</v>
      </c>
      <c r="G993" s="6"/>
      <c r="H993" s="10">
        <f t="shared" si="31"/>
        <v>15</v>
      </c>
    </row>
    <row r="994" spans="1:8" x14ac:dyDescent="0.35">
      <c r="A994" s="8">
        <v>47064</v>
      </c>
      <c r="B994" s="8">
        <f t="shared" si="30"/>
        <v>47058</v>
      </c>
      <c r="C994" t="s">
        <v>20</v>
      </c>
      <c r="D994" s="5" t="s">
        <v>44</v>
      </c>
      <c r="E994" s="10">
        <f>IFERROR(VLOOKUP(C994,Assets!$A:$G,7,FALSE),0)</f>
        <v>160</v>
      </c>
      <c r="F994" s="11" t="s">
        <v>45</v>
      </c>
      <c r="G994" s="6"/>
      <c r="H994" s="10">
        <f t="shared" si="31"/>
        <v>160</v>
      </c>
    </row>
    <row r="995" spans="1:8" x14ac:dyDescent="0.35">
      <c r="A995" s="8">
        <v>47071</v>
      </c>
      <c r="B995" s="8">
        <f t="shared" si="30"/>
        <v>47058</v>
      </c>
      <c r="C995" t="s">
        <v>20</v>
      </c>
      <c r="D995" s="5" t="s">
        <v>44</v>
      </c>
      <c r="E995" s="10">
        <f>IFERROR(VLOOKUP(C995,Assets!$A:$G,7,FALSE),0)</f>
        <v>160</v>
      </c>
      <c r="F995" s="11" t="s">
        <v>45</v>
      </c>
      <c r="G995" s="6"/>
      <c r="H995" s="10">
        <f t="shared" si="31"/>
        <v>160</v>
      </c>
    </row>
    <row r="996" spans="1:8" x14ac:dyDescent="0.35">
      <c r="A996" s="8">
        <v>47078</v>
      </c>
      <c r="B996" s="8">
        <f t="shared" si="30"/>
        <v>47058</v>
      </c>
      <c r="C996" t="s">
        <v>20</v>
      </c>
      <c r="D996" s="5" t="s">
        <v>44</v>
      </c>
      <c r="E996" s="10">
        <f>IFERROR(VLOOKUP(C996,Assets!$A:$G,7,FALSE),0)</f>
        <v>160</v>
      </c>
      <c r="F996" s="11" t="s">
        <v>45</v>
      </c>
      <c r="G996" s="6"/>
      <c r="H996" s="10">
        <f t="shared" si="31"/>
        <v>160</v>
      </c>
    </row>
    <row r="997" spans="1:8" x14ac:dyDescent="0.35">
      <c r="A997" s="8">
        <v>47085</v>
      </c>
      <c r="B997" s="8">
        <f t="shared" si="30"/>
        <v>47058</v>
      </c>
      <c r="C997" t="s">
        <v>20</v>
      </c>
      <c r="D997" s="5" t="s">
        <v>44</v>
      </c>
      <c r="E997" s="10">
        <f>IFERROR(VLOOKUP(C997,Assets!$A:$G,7,FALSE),0)</f>
        <v>160</v>
      </c>
      <c r="F997" s="11" t="s">
        <v>45</v>
      </c>
      <c r="G997" s="6"/>
      <c r="H997" s="10">
        <f t="shared" si="31"/>
        <v>160</v>
      </c>
    </row>
    <row r="998" spans="1:8" x14ac:dyDescent="0.35">
      <c r="A998" s="8">
        <v>47064</v>
      </c>
      <c r="B998" s="8">
        <f t="shared" si="30"/>
        <v>47058</v>
      </c>
      <c r="C998" t="s">
        <v>25</v>
      </c>
      <c r="D998" s="5" t="s">
        <v>44</v>
      </c>
      <c r="E998" s="10">
        <f>IFERROR(VLOOKUP(C998,Assets!$A:$G,7,FALSE),0)</f>
        <v>40</v>
      </c>
      <c r="F998" s="11" t="s">
        <v>45</v>
      </c>
      <c r="G998" s="6"/>
      <c r="H998" s="10">
        <f t="shared" si="31"/>
        <v>40</v>
      </c>
    </row>
    <row r="999" spans="1:8" x14ac:dyDescent="0.35">
      <c r="A999" s="8">
        <v>47071</v>
      </c>
      <c r="B999" s="8">
        <f t="shared" si="30"/>
        <v>47058</v>
      </c>
      <c r="C999" t="s">
        <v>25</v>
      </c>
      <c r="D999" s="5" t="s">
        <v>44</v>
      </c>
      <c r="E999" s="10">
        <f>IFERROR(VLOOKUP(C999,Assets!$A:$G,7,FALSE),0)</f>
        <v>40</v>
      </c>
      <c r="F999" s="11" t="s">
        <v>45</v>
      </c>
      <c r="G999" s="6"/>
      <c r="H999" s="10">
        <f t="shared" si="31"/>
        <v>40</v>
      </c>
    </row>
    <row r="1000" spans="1:8" x14ac:dyDescent="0.35">
      <c r="A1000" s="8">
        <v>47078</v>
      </c>
      <c r="B1000" s="8">
        <f t="shared" si="30"/>
        <v>47058</v>
      </c>
      <c r="C1000" t="s">
        <v>25</v>
      </c>
      <c r="D1000" s="5" t="s">
        <v>44</v>
      </c>
      <c r="E1000" s="10">
        <f>IFERROR(VLOOKUP(C1000,Assets!$A:$G,7,FALSE),0)</f>
        <v>40</v>
      </c>
      <c r="F1000" s="11" t="s">
        <v>45</v>
      </c>
      <c r="G1000" s="6"/>
      <c r="H1000" s="10">
        <f t="shared" si="31"/>
        <v>40</v>
      </c>
    </row>
    <row r="1001" spans="1:8" x14ac:dyDescent="0.35">
      <c r="A1001" s="8">
        <v>47085</v>
      </c>
      <c r="B1001" s="8">
        <f t="shared" si="30"/>
        <v>47058</v>
      </c>
      <c r="C1001" t="s">
        <v>25</v>
      </c>
      <c r="D1001" s="5" t="s">
        <v>44</v>
      </c>
      <c r="E1001" s="10">
        <f>IFERROR(VLOOKUP(C1001,Assets!$A:$G,7,FALSE),0)</f>
        <v>40</v>
      </c>
      <c r="F1001" s="11" t="s">
        <v>45</v>
      </c>
      <c r="G1001" s="6"/>
      <c r="H1001" s="10">
        <f t="shared" si="31"/>
        <v>40</v>
      </c>
    </row>
    <row r="1002" spans="1:8" x14ac:dyDescent="0.35">
      <c r="A1002" s="8">
        <v>47064</v>
      </c>
      <c r="B1002" s="8">
        <f t="shared" si="30"/>
        <v>47058</v>
      </c>
      <c r="C1002" t="s">
        <v>26</v>
      </c>
      <c r="D1002" s="5" t="s">
        <v>44</v>
      </c>
      <c r="E1002" s="10">
        <f>IFERROR(VLOOKUP(C1002,Assets!$A:$G,7,FALSE),0)</f>
        <v>27</v>
      </c>
      <c r="F1002" s="11" t="s">
        <v>45</v>
      </c>
      <c r="G1002" s="6"/>
      <c r="H1002" s="10">
        <f t="shared" si="31"/>
        <v>27</v>
      </c>
    </row>
    <row r="1003" spans="1:8" x14ac:dyDescent="0.35">
      <c r="A1003" s="8">
        <v>47071</v>
      </c>
      <c r="B1003" s="8">
        <f t="shared" si="30"/>
        <v>47058</v>
      </c>
      <c r="C1003" t="s">
        <v>26</v>
      </c>
      <c r="D1003" s="5" t="s">
        <v>44</v>
      </c>
      <c r="E1003" s="10">
        <f>IFERROR(VLOOKUP(C1003,Assets!$A:$G,7,FALSE),0)</f>
        <v>27</v>
      </c>
      <c r="F1003" s="11" t="s">
        <v>45</v>
      </c>
      <c r="G1003" s="6"/>
      <c r="H1003" s="10">
        <f t="shared" si="31"/>
        <v>27</v>
      </c>
    </row>
    <row r="1004" spans="1:8" x14ac:dyDescent="0.35">
      <c r="A1004" s="8">
        <v>47078</v>
      </c>
      <c r="B1004" s="8">
        <f t="shared" si="30"/>
        <v>47058</v>
      </c>
      <c r="C1004" t="s">
        <v>26</v>
      </c>
      <c r="D1004" s="5" t="s">
        <v>44</v>
      </c>
      <c r="E1004" s="10">
        <f>IFERROR(VLOOKUP(C1004,Assets!$A:$G,7,FALSE),0)</f>
        <v>27</v>
      </c>
      <c r="F1004" s="11" t="s">
        <v>45</v>
      </c>
      <c r="G1004" s="6"/>
      <c r="H1004" s="10">
        <f t="shared" si="31"/>
        <v>27</v>
      </c>
    </row>
    <row r="1005" spans="1:8" x14ac:dyDescent="0.35">
      <c r="A1005" s="8">
        <v>47085</v>
      </c>
      <c r="B1005" s="8">
        <f t="shared" si="30"/>
        <v>47058</v>
      </c>
      <c r="C1005" t="s">
        <v>26</v>
      </c>
      <c r="D1005" s="5" t="s">
        <v>44</v>
      </c>
      <c r="E1005" s="10">
        <f>IFERROR(VLOOKUP(C1005,Assets!$A:$G,7,FALSE),0)</f>
        <v>27</v>
      </c>
      <c r="F1005" s="11" t="s">
        <v>45</v>
      </c>
      <c r="G1005" s="6"/>
      <c r="H1005" s="10">
        <f t="shared" si="31"/>
        <v>27</v>
      </c>
    </row>
    <row r="1006" spans="1:8" x14ac:dyDescent="0.35">
      <c r="A1006" s="8">
        <v>47064</v>
      </c>
      <c r="B1006" s="8">
        <f t="shared" si="30"/>
        <v>47058</v>
      </c>
      <c r="C1006" t="s">
        <v>29</v>
      </c>
      <c r="D1006" s="5" t="s">
        <v>44</v>
      </c>
      <c r="E1006" s="10">
        <f>IFERROR(VLOOKUP(C1006,Assets!$A:$G,7,FALSE),0)</f>
        <v>20</v>
      </c>
      <c r="F1006" s="11" t="s">
        <v>45</v>
      </c>
      <c r="G1006" s="6"/>
      <c r="H1006" s="10">
        <f t="shared" si="31"/>
        <v>20</v>
      </c>
    </row>
    <row r="1007" spans="1:8" x14ac:dyDescent="0.35">
      <c r="A1007" s="8">
        <v>47071</v>
      </c>
      <c r="B1007" s="8">
        <f t="shared" si="30"/>
        <v>47058</v>
      </c>
      <c r="C1007" t="s">
        <v>29</v>
      </c>
      <c r="D1007" s="5" t="s">
        <v>44</v>
      </c>
      <c r="E1007" s="10">
        <f>IFERROR(VLOOKUP(C1007,Assets!$A:$G,7,FALSE),0)</f>
        <v>20</v>
      </c>
      <c r="F1007" s="11" t="s">
        <v>45</v>
      </c>
      <c r="G1007" s="6"/>
      <c r="H1007" s="10">
        <f t="shared" si="31"/>
        <v>20</v>
      </c>
    </row>
    <row r="1008" spans="1:8" x14ac:dyDescent="0.35">
      <c r="A1008" s="8">
        <v>47078</v>
      </c>
      <c r="B1008" s="8">
        <f t="shared" si="30"/>
        <v>47058</v>
      </c>
      <c r="C1008" t="s">
        <v>29</v>
      </c>
      <c r="D1008" s="5" t="s">
        <v>44</v>
      </c>
      <c r="E1008" s="10">
        <f>IFERROR(VLOOKUP(C1008,Assets!$A:$G,7,FALSE),0)</f>
        <v>20</v>
      </c>
      <c r="F1008" s="11" t="s">
        <v>45</v>
      </c>
      <c r="G1008" s="6"/>
      <c r="H1008" s="10">
        <f t="shared" si="31"/>
        <v>20</v>
      </c>
    </row>
    <row r="1009" spans="1:8" x14ac:dyDescent="0.35">
      <c r="A1009" s="8">
        <v>47085</v>
      </c>
      <c r="B1009" s="8">
        <f t="shared" si="30"/>
        <v>47058</v>
      </c>
      <c r="C1009" t="s">
        <v>29</v>
      </c>
      <c r="D1009" s="5" t="s">
        <v>44</v>
      </c>
      <c r="E1009" s="10">
        <f>IFERROR(VLOOKUP(C1009,Assets!$A:$G,7,FALSE),0)</f>
        <v>20</v>
      </c>
      <c r="F1009" s="11" t="s">
        <v>45</v>
      </c>
      <c r="G1009" s="6"/>
      <c r="H1009" s="10">
        <f t="shared" si="31"/>
        <v>20</v>
      </c>
    </row>
    <row r="1010" spans="1:8" x14ac:dyDescent="0.35">
      <c r="A1010" s="8">
        <v>47064</v>
      </c>
      <c r="B1010" s="8">
        <f t="shared" si="30"/>
        <v>47058</v>
      </c>
      <c r="C1010" t="s">
        <v>31</v>
      </c>
      <c r="D1010" s="5" t="s">
        <v>44</v>
      </c>
      <c r="E1010" s="10">
        <f>IFERROR(VLOOKUP(C1010,Assets!$A:$G,7,FALSE),0)</f>
        <v>27</v>
      </c>
      <c r="F1010" s="11" t="s">
        <v>45</v>
      </c>
      <c r="G1010" s="6"/>
      <c r="H1010" s="10">
        <f t="shared" si="31"/>
        <v>27</v>
      </c>
    </row>
    <row r="1011" spans="1:8" x14ac:dyDescent="0.35">
      <c r="A1011" s="8">
        <v>47071</v>
      </c>
      <c r="B1011" s="8">
        <f t="shared" si="30"/>
        <v>47058</v>
      </c>
      <c r="C1011" t="s">
        <v>31</v>
      </c>
      <c r="D1011" s="5" t="s">
        <v>44</v>
      </c>
      <c r="E1011" s="10">
        <f>IFERROR(VLOOKUP(C1011,Assets!$A:$G,7,FALSE),0)</f>
        <v>27</v>
      </c>
      <c r="F1011" s="11" t="s">
        <v>45</v>
      </c>
      <c r="G1011" s="6"/>
      <c r="H1011" s="10">
        <f t="shared" si="31"/>
        <v>27</v>
      </c>
    </row>
    <row r="1012" spans="1:8" x14ac:dyDescent="0.35">
      <c r="A1012" s="8">
        <v>47078</v>
      </c>
      <c r="B1012" s="8">
        <f t="shared" si="30"/>
        <v>47058</v>
      </c>
      <c r="C1012" t="s">
        <v>31</v>
      </c>
      <c r="D1012" s="5" t="s">
        <v>44</v>
      </c>
      <c r="E1012" s="10">
        <f>IFERROR(VLOOKUP(C1012,Assets!$A:$G,7,FALSE),0)</f>
        <v>27</v>
      </c>
      <c r="F1012" s="11" t="s">
        <v>45</v>
      </c>
      <c r="G1012" s="6"/>
      <c r="H1012" s="10">
        <f t="shared" si="31"/>
        <v>27</v>
      </c>
    </row>
    <row r="1013" spans="1:8" x14ac:dyDescent="0.35">
      <c r="A1013" s="8">
        <v>47085</v>
      </c>
      <c r="B1013" s="8">
        <f t="shared" si="30"/>
        <v>47058</v>
      </c>
      <c r="C1013" t="s">
        <v>31</v>
      </c>
      <c r="D1013" s="5" t="s">
        <v>44</v>
      </c>
      <c r="E1013" s="10">
        <f>IFERROR(VLOOKUP(C1013,Assets!$A:$G,7,FALSE),0)</f>
        <v>27</v>
      </c>
      <c r="F1013" s="11" t="s">
        <v>45</v>
      </c>
      <c r="G1013" s="6"/>
      <c r="H1013" s="10">
        <f t="shared" si="31"/>
        <v>27</v>
      </c>
    </row>
    <row r="1014" spans="1:8" x14ac:dyDescent="0.35">
      <c r="A1014" s="8">
        <v>47064</v>
      </c>
      <c r="B1014" s="8">
        <f t="shared" si="30"/>
        <v>47058</v>
      </c>
      <c r="C1014" t="s">
        <v>32</v>
      </c>
      <c r="D1014" s="5" t="s">
        <v>44</v>
      </c>
      <c r="E1014" s="10">
        <f>IFERROR(VLOOKUP(C1014,Assets!$A:$G,7,FALSE),0)</f>
        <v>45</v>
      </c>
      <c r="F1014" s="11" t="s">
        <v>45</v>
      </c>
      <c r="G1014" s="6"/>
      <c r="H1014" s="10">
        <f t="shared" si="31"/>
        <v>45</v>
      </c>
    </row>
    <row r="1015" spans="1:8" x14ac:dyDescent="0.35">
      <c r="A1015" s="8">
        <v>47071</v>
      </c>
      <c r="B1015" s="8">
        <f t="shared" si="30"/>
        <v>47058</v>
      </c>
      <c r="C1015" t="s">
        <v>32</v>
      </c>
      <c r="D1015" s="5" t="s">
        <v>44</v>
      </c>
      <c r="E1015" s="10">
        <f>IFERROR(VLOOKUP(C1015,Assets!$A:$G,7,FALSE),0)</f>
        <v>45</v>
      </c>
      <c r="F1015" s="11" t="s">
        <v>45</v>
      </c>
      <c r="G1015" s="6"/>
      <c r="H1015" s="10">
        <f t="shared" si="31"/>
        <v>45</v>
      </c>
    </row>
    <row r="1016" spans="1:8" x14ac:dyDescent="0.35">
      <c r="A1016" s="8">
        <v>47078</v>
      </c>
      <c r="B1016" s="8">
        <f t="shared" si="30"/>
        <v>47058</v>
      </c>
      <c r="C1016" t="s">
        <v>32</v>
      </c>
      <c r="D1016" s="5" t="s">
        <v>44</v>
      </c>
      <c r="E1016" s="10">
        <f>IFERROR(VLOOKUP(C1016,Assets!$A:$G,7,FALSE),0)</f>
        <v>45</v>
      </c>
      <c r="F1016" s="11" t="s">
        <v>45</v>
      </c>
      <c r="G1016" s="6"/>
      <c r="H1016" s="10">
        <f t="shared" si="31"/>
        <v>45</v>
      </c>
    </row>
    <row r="1017" spans="1:8" x14ac:dyDescent="0.35">
      <c r="A1017" s="8">
        <v>47085</v>
      </c>
      <c r="B1017" s="8">
        <f t="shared" si="30"/>
        <v>47058</v>
      </c>
      <c r="C1017" t="s">
        <v>32</v>
      </c>
      <c r="D1017" s="5" t="s">
        <v>44</v>
      </c>
      <c r="E1017" s="10">
        <f>IFERROR(VLOOKUP(C1017,Assets!$A:$G,7,FALSE),0)</f>
        <v>45</v>
      </c>
      <c r="F1017" s="11" t="s">
        <v>45</v>
      </c>
      <c r="G1017" s="6"/>
      <c r="H1017" s="10">
        <f t="shared" si="31"/>
        <v>45</v>
      </c>
    </row>
    <row r="1018" spans="1:8" x14ac:dyDescent="0.35">
      <c r="A1018" s="8">
        <v>47064</v>
      </c>
      <c r="B1018" s="8">
        <f t="shared" si="30"/>
        <v>47058</v>
      </c>
      <c r="C1018" t="s">
        <v>33</v>
      </c>
      <c r="D1018" s="5" t="s">
        <v>44</v>
      </c>
      <c r="E1018" s="10">
        <f>IFERROR(VLOOKUP(C1018,Assets!$A:$G,7,FALSE),0)</f>
        <v>41</v>
      </c>
      <c r="F1018" s="11" t="s">
        <v>45</v>
      </c>
      <c r="G1018" s="6"/>
      <c r="H1018" s="10">
        <f t="shared" si="31"/>
        <v>41</v>
      </c>
    </row>
    <row r="1019" spans="1:8" x14ac:dyDescent="0.35">
      <c r="A1019" s="8">
        <v>47071</v>
      </c>
      <c r="B1019" s="8">
        <f t="shared" si="30"/>
        <v>47058</v>
      </c>
      <c r="C1019" t="s">
        <v>33</v>
      </c>
      <c r="D1019" s="5" t="s">
        <v>44</v>
      </c>
      <c r="E1019" s="10">
        <f>IFERROR(VLOOKUP(C1019,Assets!$A:$G,7,FALSE),0)</f>
        <v>41</v>
      </c>
      <c r="F1019" s="11" t="s">
        <v>45</v>
      </c>
      <c r="G1019" s="6"/>
      <c r="H1019" s="10">
        <f t="shared" si="31"/>
        <v>41</v>
      </c>
    </row>
    <row r="1020" spans="1:8" x14ac:dyDescent="0.35">
      <c r="A1020" s="8">
        <v>47078</v>
      </c>
      <c r="B1020" s="8">
        <f t="shared" si="30"/>
        <v>47058</v>
      </c>
      <c r="C1020" t="s">
        <v>33</v>
      </c>
      <c r="D1020" s="5" t="s">
        <v>44</v>
      </c>
      <c r="E1020" s="10">
        <f>IFERROR(VLOOKUP(C1020,Assets!$A:$G,7,FALSE),0)</f>
        <v>41</v>
      </c>
      <c r="F1020" s="11" t="s">
        <v>45</v>
      </c>
      <c r="G1020" s="6"/>
      <c r="H1020" s="10">
        <f t="shared" si="31"/>
        <v>41</v>
      </c>
    </row>
    <row r="1021" spans="1:8" x14ac:dyDescent="0.35">
      <c r="A1021" s="8">
        <v>47085</v>
      </c>
      <c r="B1021" s="8">
        <f t="shared" si="30"/>
        <v>47058</v>
      </c>
      <c r="C1021" t="s">
        <v>33</v>
      </c>
      <c r="D1021" s="5" t="s">
        <v>44</v>
      </c>
      <c r="E1021" s="10">
        <f>IFERROR(VLOOKUP(C1021,Assets!$A:$G,7,FALSE),0)</f>
        <v>41</v>
      </c>
      <c r="F1021" s="11" t="s">
        <v>45</v>
      </c>
      <c r="G1021" s="6"/>
      <c r="H1021" s="10">
        <f t="shared" si="31"/>
        <v>41</v>
      </c>
    </row>
    <row r="1022" spans="1:8" x14ac:dyDescent="0.35">
      <c r="A1022" s="8">
        <v>47064</v>
      </c>
      <c r="B1022" s="8">
        <f t="shared" si="30"/>
        <v>47058</v>
      </c>
      <c r="C1022" t="s">
        <v>34</v>
      </c>
      <c r="D1022" s="5" t="s">
        <v>44</v>
      </c>
      <c r="E1022" s="10">
        <f>IFERROR(VLOOKUP(C1022,Assets!$A:$G,7,FALSE),0)</f>
        <v>15</v>
      </c>
      <c r="F1022" s="11" t="s">
        <v>45</v>
      </c>
      <c r="G1022" s="6"/>
      <c r="H1022" s="10">
        <f t="shared" si="31"/>
        <v>15</v>
      </c>
    </row>
    <row r="1023" spans="1:8" x14ac:dyDescent="0.35">
      <c r="A1023" s="8">
        <v>47071</v>
      </c>
      <c r="B1023" s="8">
        <f t="shared" si="30"/>
        <v>47058</v>
      </c>
      <c r="C1023" t="s">
        <v>34</v>
      </c>
      <c r="D1023" s="5" t="s">
        <v>44</v>
      </c>
      <c r="E1023" s="10">
        <f>IFERROR(VLOOKUP(C1023,Assets!$A:$G,7,FALSE),0)</f>
        <v>15</v>
      </c>
      <c r="F1023" s="11" t="s">
        <v>45</v>
      </c>
      <c r="G1023" s="6"/>
      <c r="H1023" s="10">
        <f t="shared" si="31"/>
        <v>15</v>
      </c>
    </row>
    <row r="1024" spans="1:8" x14ac:dyDescent="0.35">
      <c r="A1024" s="8">
        <v>47078</v>
      </c>
      <c r="B1024" s="8">
        <f t="shared" si="30"/>
        <v>47058</v>
      </c>
      <c r="C1024" t="s">
        <v>34</v>
      </c>
      <c r="D1024" s="5" t="s">
        <v>44</v>
      </c>
      <c r="E1024" s="10">
        <f>IFERROR(VLOOKUP(C1024,Assets!$A:$G,7,FALSE),0)</f>
        <v>15</v>
      </c>
      <c r="F1024" s="11" t="s">
        <v>45</v>
      </c>
      <c r="G1024" s="6"/>
      <c r="H1024" s="10">
        <f t="shared" si="31"/>
        <v>15</v>
      </c>
    </row>
    <row r="1025" spans="1:8" x14ac:dyDescent="0.35">
      <c r="A1025" s="8">
        <v>47085</v>
      </c>
      <c r="B1025" s="8">
        <f t="shared" si="30"/>
        <v>47058</v>
      </c>
      <c r="C1025" t="s">
        <v>34</v>
      </c>
      <c r="D1025" s="5" t="s">
        <v>44</v>
      </c>
      <c r="E1025" s="10">
        <f>IFERROR(VLOOKUP(C1025,Assets!$A:$G,7,FALSE),0)</f>
        <v>15</v>
      </c>
      <c r="F1025" s="11" t="s">
        <v>45</v>
      </c>
      <c r="G1025" s="6"/>
      <c r="H1025" s="10">
        <f t="shared" si="31"/>
        <v>15</v>
      </c>
    </row>
    <row r="1026" spans="1:8" x14ac:dyDescent="0.35">
      <c r="A1026" s="8">
        <v>47094</v>
      </c>
      <c r="B1026" s="8">
        <f t="shared" ref="B1026:B1089" si="32">DATE(YEAR(A1026),MONTH(A1026),1)</f>
        <v>47088</v>
      </c>
      <c r="C1026" t="s">
        <v>20</v>
      </c>
      <c r="D1026" s="5" t="s">
        <v>44</v>
      </c>
      <c r="E1026" s="10">
        <f>IFERROR(VLOOKUP(C1026,Assets!$A:$G,7,FALSE),0)</f>
        <v>160</v>
      </c>
      <c r="F1026" s="11" t="s">
        <v>45</v>
      </c>
      <c r="G1026" s="6"/>
      <c r="H1026" s="10">
        <f t="shared" ref="H1026:H1089" si="33">IF(F1026="No",0,IF(F1026="Edited",IF(G1026="",E1026,G1026),E1026))</f>
        <v>160</v>
      </c>
    </row>
    <row r="1027" spans="1:8" x14ac:dyDescent="0.35">
      <c r="A1027" s="8">
        <v>47101</v>
      </c>
      <c r="B1027" s="8">
        <f t="shared" si="32"/>
        <v>47088</v>
      </c>
      <c r="C1027" t="s">
        <v>20</v>
      </c>
      <c r="D1027" s="5" t="s">
        <v>44</v>
      </c>
      <c r="E1027" s="10">
        <f>IFERROR(VLOOKUP(C1027,Assets!$A:$G,7,FALSE),0)</f>
        <v>160</v>
      </c>
      <c r="F1027" s="11" t="s">
        <v>45</v>
      </c>
      <c r="G1027" s="6"/>
      <c r="H1027" s="10">
        <f t="shared" si="33"/>
        <v>160</v>
      </c>
    </row>
    <row r="1028" spans="1:8" x14ac:dyDescent="0.35">
      <c r="A1028" s="8">
        <v>47108</v>
      </c>
      <c r="B1028" s="8">
        <f t="shared" si="32"/>
        <v>47088</v>
      </c>
      <c r="C1028" t="s">
        <v>20</v>
      </c>
      <c r="D1028" s="5" t="s">
        <v>44</v>
      </c>
      <c r="E1028" s="10">
        <f>IFERROR(VLOOKUP(C1028,Assets!$A:$G,7,FALSE),0)</f>
        <v>160</v>
      </c>
      <c r="F1028" s="11" t="s">
        <v>45</v>
      </c>
      <c r="G1028" s="6"/>
      <c r="H1028" s="10">
        <f t="shared" si="33"/>
        <v>160</v>
      </c>
    </row>
    <row r="1029" spans="1:8" x14ac:dyDescent="0.35">
      <c r="A1029" s="8">
        <v>47115</v>
      </c>
      <c r="B1029" s="8">
        <f t="shared" si="32"/>
        <v>47088</v>
      </c>
      <c r="C1029" t="s">
        <v>20</v>
      </c>
      <c r="D1029" s="5" t="s">
        <v>44</v>
      </c>
      <c r="E1029" s="10">
        <f>IFERROR(VLOOKUP(C1029,Assets!$A:$G,7,FALSE),0)</f>
        <v>160</v>
      </c>
      <c r="F1029" s="11" t="s">
        <v>45</v>
      </c>
      <c r="G1029" s="6"/>
      <c r="H1029" s="10">
        <f t="shared" si="33"/>
        <v>160</v>
      </c>
    </row>
    <row r="1030" spans="1:8" x14ac:dyDescent="0.35">
      <c r="A1030" s="8">
        <v>47094</v>
      </c>
      <c r="B1030" s="8">
        <f t="shared" si="32"/>
        <v>47088</v>
      </c>
      <c r="C1030" t="s">
        <v>25</v>
      </c>
      <c r="D1030" s="5" t="s">
        <v>44</v>
      </c>
      <c r="E1030" s="10">
        <f>IFERROR(VLOOKUP(C1030,Assets!$A:$G,7,FALSE),0)</f>
        <v>40</v>
      </c>
      <c r="F1030" s="11" t="s">
        <v>45</v>
      </c>
      <c r="G1030" s="6"/>
      <c r="H1030" s="10">
        <f t="shared" si="33"/>
        <v>40</v>
      </c>
    </row>
    <row r="1031" spans="1:8" x14ac:dyDescent="0.35">
      <c r="A1031" s="8">
        <v>47101</v>
      </c>
      <c r="B1031" s="8">
        <f t="shared" si="32"/>
        <v>47088</v>
      </c>
      <c r="C1031" t="s">
        <v>25</v>
      </c>
      <c r="D1031" s="5" t="s">
        <v>44</v>
      </c>
      <c r="E1031" s="10">
        <f>IFERROR(VLOOKUP(C1031,Assets!$A:$G,7,FALSE),0)</f>
        <v>40</v>
      </c>
      <c r="F1031" s="11" t="s">
        <v>45</v>
      </c>
      <c r="G1031" s="6"/>
      <c r="H1031" s="10">
        <f t="shared" si="33"/>
        <v>40</v>
      </c>
    </row>
    <row r="1032" spans="1:8" x14ac:dyDescent="0.35">
      <c r="A1032" s="8">
        <v>47108</v>
      </c>
      <c r="B1032" s="8">
        <f t="shared" si="32"/>
        <v>47088</v>
      </c>
      <c r="C1032" t="s">
        <v>25</v>
      </c>
      <c r="D1032" s="5" t="s">
        <v>44</v>
      </c>
      <c r="E1032" s="10">
        <f>IFERROR(VLOOKUP(C1032,Assets!$A:$G,7,FALSE),0)</f>
        <v>40</v>
      </c>
      <c r="F1032" s="11" t="s">
        <v>45</v>
      </c>
      <c r="G1032" s="6"/>
      <c r="H1032" s="10">
        <f t="shared" si="33"/>
        <v>40</v>
      </c>
    </row>
    <row r="1033" spans="1:8" x14ac:dyDescent="0.35">
      <c r="A1033" s="8">
        <v>47115</v>
      </c>
      <c r="B1033" s="8">
        <f t="shared" si="32"/>
        <v>47088</v>
      </c>
      <c r="C1033" t="s">
        <v>25</v>
      </c>
      <c r="D1033" s="5" t="s">
        <v>44</v>
      </c>
      <c r="E1033" s="10">
        <f>IFERROR(VLOOKUP(C1033,Assets!$A:$G,7,FALSE),0)</f>
        <v>40</v>
      </c>
      <c r="F1033" s="11" t="s">
        <v>45</v>
      </c>
      <c r="G1033" s="6"/>
      <c r="H1033" s="10">
        <f t="shared" si="33"/>
        <v>40</v>
      </c>
    </row>
    <row r="1034" spans="1:8" x14ac:dyDescent="0.35">
      <c r="A1034" s="8">
        <v>47094</v>
      </c>
      <c r="B1034" s="8">
        <f t="shared" si="32"/>
        <v>47088</v>
      </c>
      <c r="C1034" t="s">
        <v>26</v>
      </c>
      <c r="D1034" s="5" t="s">
        <v>44</v>
      </c>
      <c r="E1034" s="10">
        <f>IFERROR(VLOOKUP(C1034,Assets!$A:$G,7,FALSE),0)</f>
        <v>27</v>
      </c>
      <c r="F1034" s="11" t="s">
        <v>45</v>
      </c>
      <c r="G1034" s="6"/>
      <c r="H1034" s="10">
        <f t="shared" si="33"/>
        <v>27</v>
      </c>
    </row>
    <row r="1035" spans="1:8" x14ac:dyDescent="0.35">
      <c r="A1035" s="8">
        <v>47101</v>
      </c>
      <c r="B1035" s="8">
        <f t="shared" si="32"/>
        <v>47088</v>
      </c>
      <c r="C1035" t="s">
        <v>26</v>
      </c>
      <c r="D1035" s="5" t="s">
        <v>44</v>
      </c>
      <c r="E1035" s="10">
        <f>IFERROR(VLOOKUP(C1035,Assets!$A:$G,7,FALSE),0)</f>
        <v>27</v>
      </c>
      <c r="F1035" s="11" t="s">
        <v>45</v>
      </c>
      <c r="G1035" s="6"/>
      <c r="H1035" s="10">
        <f t="shared" si="33"/>
        <v>27</v>
      </c>
    </row>
    <row r="1036" spans="1:8" x14ac:dyDescent="0.35">
      <c r="A1036" s="8">
        <v>47108</v>
      </c>
      <c r="B1036" s="8">
        <f t="shared" si="32"/>
        <v>47088</v>
      </c>
      <c r="C1036" t="s">
        <v>26</v>
      </c>
      <c r="D1036" s="5" t="s">
        <v>44</v>
      </c>
      <c r="E1036" s="10">
        <f>IFERROR(VLOOKUP(C1036,Assets!$A:$G,7,FALSE),0)</f>
        <v>27</v>
      </c>
      <c r="F1036" s="11" t="s">
        <v>45</v>
      </c>
      <c r="G1036" s="6"/>
      <c r="H1036" s="10">
        <f t="shared" si="33"/>
        <v>27</v>
      </c>
    </row>
    <row r="1037" spans="1:8" x14ac:dyDescent="0.35">
      <c r="A1037" s="8">
        <v>47115</v>
      </c>
      <c r="B1037" s="8">
        <f t="shared" si="32"/>
        <v>47088</v>
      </c>
      <c r="C1037" t="s">
        <v>26</v>
      </c>
      <c r="D1037" s="5" t="s">
        <v>44</v>
      </c>
      <c r="E1037" s="10">
        <f>IFERROR(VLOOKUP(C1037,Assets!$A:$G,7,FALSE),0)</f>
        <v>27</v>
      </c>
      <c r="F1037" s="11" t="s">
        <v>45</v>
      </c>
      <c r="G1037" s="6"/>
      <c r="H1037" s="10">
        <f t="shared" si="33"/>
        <v>27</v>
      </c>
    </row>
    <row r="1038" spans="1:8" x14ac:dyDescent="0.35">
      <c r="A1038" s="8">
        <v>47094</v>
      </c>
      <c r="B1038" s="8">
        <f t="shared" si="32"/>
        <v>47088</v>
      </c>
      <c r="C1038" t="s">
        <v>29</v>
      </c>
      <c r="D1038" s="5" t="s">
        <v>44</v>
      </c>
      <c r="E1038" s="10">
        <f>IFERROR(VLOOKUP(C1038,Assets!$A:$G,7,FALSE),0)</f>
        <v>20</v>
      </c>
      <c r="F1038" s="11" t="s">
        <v>45</v>
      </c>
      <c r="G1038" s="6"/>
      <c r="H1038" s="10">
        <f t="shared" si="33"/>
        <v>20</v>
      </c>
    </row>
    <row r="1039" spans="1:8" x14ac:dyDescent="0.35">
      <c r="A1039" s="8">
        <v>47101</v>
      </c>
      <c r="B1039" s="8">
        <f t="shared" si="32"/>
        <v>47088</v>
      </c>
      <c r="C1039" t="s">
        <v>29</v>
      </c>
      <c r="D1039" s="5" t="s">
        <v>44</v>
      </c>
      <c r="E1039" s="10">
        <f>IFERROR(VLOOKUP(C1039,Assets!$A:$G,7,FALSE),0)</f>
        <v>20</v>
      </c>
      <c r="F1039" s="11" t="s">
        <v>45</v>
      </c>
      <c r="G1039" s="6"/>
      <c r="H1039" s="10">
        <f t="shared" si="33"/>
        <v>20</v>
      </c>
    </row>
    <row r="1040" spans="1:8" x14ac:dyDescent="0.35">
      <c r="A1040" s="8">
        <v>47108</v>
      </c>
      <c r="B1040" s="8">
        <f t="shared" si="32"/>
        <v>47088</v>
      </c>
      <c r="C1040" t="s">
        <v>29</v>
      </c>
      <c r="D1040" s="5" t="s">
        <v>44</v>
      </c>
      <c r="E1040" s="10">
        <f>IFERROR(VLOOKUP(C1040,Assets!$A:$G,7,FALSE),0)</f>
        <v>20</v>
      </c>
      <c r="F1040" s="11" t="s">
        <v>45</v>
      </c>
      <c r="G1040" s="6"/>
      <c r="H1040" s="10">
        <f t="shared" si="33"/>
        <v>20</v>
      </c>
    </row>
    <row r="1041" spans="1:8" x14ac:dyDescent="0.35">
      <c r="A1041" s="8">
        <v>47115</v>
      </c>
      <c r="B1041" s="8">
        <f t="shared" si="32"/>
        <v>47088</v>
      </c>
      <c r="C1041" t="s">
        <v>29</v>
      </c>
      <c r="D1041" s="5" t="s">
        <v>44</v>
      </c>
      <c r="E1041" s="10">
        <f>IFERROR(VLOOKUP(C1041,Assets!$A:$G,7,FALSE),0)</f>
        <v>20</v>
      </c>
      <c r="F1041" s="11" t="s">
        <v>45</v>
      </c>
      <c r="G1041" s="6"/>
      <c r="H1041" s="10">
        <f t="shared" si="33"/>
        <v>20</v>
      </c>
    </row>
    <row r="1042" spans="1:8" x14ac:dyDescent="0.35">
      <c r="A1042" s="8">
        <v>47094</v>
      </c>
      <c r="B1042" s="8">
        <f t="shared" si="32"/>
        <v>47088</v>
      </c>
      <c r="C1042" t="s">
        <v>31</v>
      </c>
      <c r="D1042" s="5" t="s">
        <v>44</v>
      </c>
      <c r="E1042" s="10">
        <f>IFERROR(VLOOKUP(C1042,Assets!$A:$G,7,FALSE),0)</f>
        <v>27</v>
      </c>
      <c r="F1042" s="11" t="s">
        <v>45</v>
      </c>
      <c r="G1042" s="6"/>
      <c r="H1042" s="10">
        <f t="shared" si="33"/>
        <v>27</v>
      </c>
    </row>
    <row r="1043" spans="1:8" x14ac:dyDescent="0.35">
      <c r="A1043" s="8">
        <v>47101</v>
      </c>
      <c r="B1043" s="8">
        <f t="shared" si="32"/>
        <v>47088</v>
      </c>
      <c r="C1043" t="s">
        <v>31</v>
      </c>
      <c r="D1043" s="5" t="s">
        <v>44</v>
      </c>
      <c r="E1043" s="10">
        <f>IFERROR(VLOOKUP(C1043,Assets!$A:$G,7,FALSE),0)</f>
        <v>27</v>
      </c>
      <c r="F1043" s="11" t="s">
        <v>45</v>
      </c>
      <c r="G1043" s="6"/>
      <c r="H1043" s="10">
        <f t="shared" si="33"/>
        <v>27</v>
      </c>
    </row>
    <row r="1044" spans="1:8" x14ac:dyDescent="0.35">
      <c r="A1044" s="8">
        <v>47108</v>
      </c>
      <c r="B1044" s="8">
        <f t="shared" si="32"/>
        <v>47088</v>
      </c>
      <c r="C1044" t="s">
        <v>31</v>
      </c>
      <c r="D1044" s="5" t="s">
        <v>44</v>
      </c>
      <c r="E1044" s="10">
        <f>IFERROR(VLOOKUP(C1044,Assets!$A:$G,7,FALSE),0)</f>
        <v>27</v>
      </c>
      <c r="F1044" s="11" t="s">
        <v>45</v>
      </c>
      <c r="G1044" s="6"/>
      <c r="H1044" s="10">
        <f t="shared" si="33"/>
        <v>27</v>
      </c>
    </row>
    <row r="1045" spans="1:8" x14ac:dyDescent="0.35">
      <c r="A1045" s="8">
        <v>47115</v>
      </c>
      <c r="B1045" s="8">
        <f t="shared" si="32"/>
        <v>47088</v>
      </c>
      <c r="C1045" t="s">
        <v>31</v>
      </c>
      <c r="D1045" s="5" t="s">
        <v>44</v>
      </c>
      <c r="E1045" s="10">
        <f>IFERROR(VLOOKUP(C1045,Assets!$A:$G,7,FALSE),0)</f>
        <v>27</v>
      </c>
      <c r="F1045" s="11" t="s">
        <v>45</v>
      </c>
      <c r="G1045" s="6"/>
      <c r="H1045" s="10">
        <f t="shared" si="33"/>
        <v>27</v>
      </c>
    </row>
    <row r="1046" spans="1:8" x14ac:dyDescent="0.35">
      <c r="A1046" s="8">
        <v>47094</v>
      </c>
      <c r="B1046" s="8">
        <f t="shared" si="32"/>
        <v>47088</v>
      </c>
      <c r="C1046" t="s">
        <v>32</v>
      </c>
      <c r="D1046" s="5" t="s">
        <v>44</v>
      </c>
      <c r="E1046" s="10">
        <f>IFERROR(VLOOKUP(C1046,Assets!$A:$G,7,FALSE),0)</f>
        <v>45</v>
      </c>
      <c r="F1046" s="11" t="s">
        <v>45</v>
      </c>
      <c r="G1046" s="6"/>
      <c r="H1046" s="10">
        <f t="shared" si="33"/>
        <v>45</v>
      </c>
    </row>
    <row r="1047" spans="1:8" x14ac:dyDescent="0.35">
      <c r="A1047" s="8">
        <v>47101</v>
      </c>
      <c r="B1047" s="8">
        <f t="shared" si="32"/>
        <v>47088</v>
      </c>
      <c r="C1047" t="s">
        <v>32</v>
      </c>
      <c r="D1047" s="5" t="s">
        <v>44</v>
      </c>
      <c r="E1047" s="10">
        <f>IFERROR(VLOOKUP(C1047,Assets!$A:$G,7,FALSE),0)</f>
        <v>45</v>
      </c>
      <c r="F1047" s="11" t="s">
        <v>45</v>
      </c>
      <c r="G1047" s="6"/>
      <c r="H1047" s="10">
        <f t="shared" si="33"/>
        <v>45</v>
      </c>
    </row>
    <row r="1048" spans="1:8" x14ac:dyDescent="0.35">
      <c r="A1048" s="8">
        <v>47108</v>
      </c>
      <c r="B1048" s="8">
        <f t="shared" si="32"/>
        <v>47088</v>
      </c>
      <c r="C1048" t="s">
        <v>32</v>
      </c>
      <c r="D1048" s="5" t="s">
        <v>44</v>
      </c>
      <c r="E1048" s="10">
        <f>IFERROR(VLOOKUP(C1048,Assets!$A:$G,7,FALSE),0)</f>
        <v>45</v>
      </c>
      <c r="F1048" s="11" t="s">
        <v>45</v>
      </c>
      <c r="G1048" s="6"/>
      <c r="H1048" s="10">
        <f t="shared" si="33"/>
        <v>45</v>
      </c>
    </row>
    <row r="1049" spans="1:8" x14ac:dyDescent="0.35">
      <c r="A1049" s="8">
        <v>47115</v>
      </c>
      <c r="B1049" s="8">
        <f t="shared" si="32"/>
        <v>47088</v>
      </c>
      <c r="C1049" t="s">
        <v>32</v>
      </c>
      <c r="D1049" s="5" t="s">
        <v>44</v>
      </c>
      <c r="E1049" s="10">
        <f>IFERROR(VLOOKUP(C1049,Assets!$A:$G,7,FALSE),0)</f>
        <v>45</v>
      </c>
      <c r="F1049" s="11" t="s">
        <v>45</v>
      </c>
      <c r="G1049" s="6"/>
      <c r="H1049" s="10">
        <f t="shared" si="33"/>
        <v>45</v>
      </c>
    </row>
    <row r="1050" spans="1:8" x14ac:dyDescent="0.35">
      <c r="A1050" s="8">
        <v>47094</v>
      </c>
      <c r="B1050" s="8">
        <f t="shared" si="32"/>
        <v>47088</v>
      </c>
      <c r="C1050" t="s">
        <v>33</v>
      </c>
      <c r="D1050" s="5" t="s">
        <v>44</v>
      </c>
      <c r="E1050" s="10">
        <f>IFERROR(VLOOKUP(C1050,Assets!$A:$G,7,FALSE),0)</f>
        <v>41</v>
      </c>
      <c r="F1050" s="11" t="s">
        <v>45</v>
      </c>
      <c r="G1050" s="6"/>
      <c r="H1050" s="10">
        <f t="shared" si="33"/>
        <v>41</v>
      </c>
    </row>
    <row r="1051" spans="1:8" x14ac:dyDescent="0.35">
      <c r="A1051" s="8">
        <v>47101</v>
      </c>
      <c r="B1051" s="8">
        <f t="shared" si="32"/>
        <v>47088</v>
      </c>
      <c r="C1051" t="s">
        <v>33</v>
      </c>
      <c r="D1051" s="5" t="s">
        <v>44</v>
      </c>
      <c r="E1051" s="10">
        <f>IFERROR(VLOOKUP(C1051,Assets!$A:$G,7,FALSE),0)</f>
        <v>41</v>
      </c>
      <c r="F1051" s="11" t="s">
        <v>45</v>
      </c>
      <c r="G1051" s="6"/>
      <c r="H1051" s="10">
        <f t="shared" si="33"/>
        <v>41</v>
      </c>
    </row>
    <row r="1052" spans="1:8" x14ac:dyDescent="0.35">
      <c r="A1052" s="8">
        <v>47108</v>
      </c>
      <c r="B1052" s="8">
        <f t="shared" si="32"/>
        <v>47088</v>
      </c>
      <c r="C1052" t="s">
        <v>33</v>
      </c>
      <c r="D1052" s="5" t="s">
        <v>44</v>
      </c>
      <c r="E1052" s="10">
        <f>IFERROR(VLOOKUP(C1052,Assets!$A:$G,7,FALSE),0)</f>
        <v>41</v>
      </c>
      <c r="F1052" s="11" t="s">
        <v>45</v>
      </c>
      <c r="G1052" s="6"/>
      <c r="H1052" s="10">
        <f t="shared" si="33"/>
        <v>41</v>
      </c>
    </row>
    <row r="1053" spans="1:8" x14ac:dyDescent="0.35">
      <c r="A1053" s="8">
        <v>47115</v>
      </c>
      <c r="B1053" s="8">
        <f t="shared" si="32"/>
        <v>47088</v>
      </c>
      <c r="C1053" t="s">
        <v>33</v>
      </c>
      <c r="D1053" s="5" t="s">
        <v>44</v>
      </c>
      <c r="E1053" s="10">
        <f>IFERROR(VLOOKUP(C1053,Assets!$A:$G,7,FALSE),0)</f>
        <v>41</v>
      </c>
      <c r="F1053" s="11" t="s">
        <v>45</v>
      </c>
      <c r="G1053" s="6"/>
      <c r="H1053" s="10">
        <f t="shared" si="33"/>
        <v>41</v>
      </c>
    </row>
    <row r="1054" spans="1:8" x14ac:dyDescent="0.35">
      <c r="A1054" s="8">
        <v>47094</v>
      </c>
      <c r="B1054" s="8">
        <f t="shared" si="32"/>
        <v>47088</v>
      </c>
      <c r="C1054" t="s">
        <v>34</v>
      </c>
      <c r="D1054" s="5" t="s">
        <v>44</v>
      </c>
      <c r="E1054" s="10">
        <f>IFERROR(VLOOKUP(C1054,Assets!$A:$G,7,FALSE),0)</f>
        <v>15</v>
      </c>
      <c r="F1054" s="11" t="s">
        <v>45</v>
      </c>
      <c r="G1054" s="6"/>
      <c r="H1054" s="10">
        <f t="shared" si="33"/>
        <v>15</v>
      </c>
    </row>
    <row r="1055" spans="1:8" x14ac:dyDescent="0.35">
      <c r="A1055" s="8">
        <v>47101</v>
      </c>
      <c r="B1055" s="8">
        <f t="shared" si="32"/>
        <v>47088</v>
      </c>
      <c r="C1055" t="s">
        <v>34</v>
      </c>
      <c r="D1055" s="5" t="s">
        <v>44</v>
      </c>
      <c r="E1055" s="10">
        <f>IFERROR(VLOOKUP(C1055,Assets!$A:$G,7,FALSE),0)</f>
        <v>15</v>
      </c>
      <c r="F1055" s="11" t="s">
        <v>45</v>
      </c>
      <c r="G1055" s="6"/>
      <c r="H1055" s="10">
        <f t="shared" si="33"/>
        <v>15</v>
      </c>
    </row>
    <row r="1056" spans="1:8" x14ac:dyDescent="0.35">
      <c r="A1056" s="8">
        <v>47108</v>
      </c>
      <c r="B1056" s="8">
        <f t="shared" si="32"/>
        <v>47088</v>
      </c>
      <c r="C1056" t="s">
        <v>34</v>
      </c>
      <c r="D1056" s="5" t="s">
        <v>44</v>
      </c>
      <c r="E1056" s="10">
        <f>IFERROR(VLOOKUP(C1056,Assets!$A:$G,7,FALSE),0)</f>
        <v>15</v>
      </c>
      <c r="F1056" s="11" t="s">
        <v>45</v>
      </c>
      <c r="G1056" s="6"/>
      <c r="H1056" s="10">
        <f t="shared" si="33"/>
        <v>15</v>
      </c>
    </row>
    <row r="1057" spans="1:8" x14ac:dyDescent="0.35">
      <c r="A1057" s="8">
        <v>47115</v>
      </c>
      <c r="B1057" s="8">
        <f t="shared" si="32"/>
        <v>47088</v>
      </c>
      <c r="C1057" t="s">
        <v>34</v>
      </c>
      <c r="D1057" s="5" t="s">
        <v>44</v>
      </c>
      <c r="E1057" s="10">
        <f>IFERROR(VLOOKUP(C1057,Assets!$A:$G,7,FALSE),0)</f>
        <v>15</v>
      </c>
      <c r="F1057" s="11" t="s">
        <v>45</v>
      </c>
      <c r="G1057" s="6"/>
      <c r="H1057" s="10">
        <f t="shared" si="33"/>
        <v>15</v>
      </c>
    </row>
    <row r="1058" spans="1:8" x14ac:dyDescent="0.35">
      <c r="A1058" s="8"/>
      <c r="B1058" s="9"/>
      <c r="D1058" s="5" t="s">
        <v>44</v>
      </c>
      <c r="E1058" s="10"/>
      <c r="F1058" s="11"/>
      <c r="G1058" s="6"/>
      <c r="H1058" s="10"/>
    </row>
    <row r="1059" spans="1:8" x14ac:dyDescent="0.35">
      <c r="A1059" s="8"/>
      <c r="B1059" s="9"/>
      <c r="D1059" s="5" t="s">
        <v>44</v>
      </c>
      <c r="E1059" s="10"/>
      <c r="F1059" s="11"/>
      <c r="G1059" s="6"/>
      <c r="H1059" s="10"/>
    </row>
    <row r="1060" spans="1:8" x14ac:dyDescent="0.35">
      <c r="A1060" s="8"/>
      <c r="B1060" s="9"/>
      <c r="D1060" s="5" t="s">
        <v>44</v>
      </c>
      <c r="E1060" s="10"/>
      <c r="F1060" s="11"/>
      <c r="G1060" s="6"/>
      <c r="H1060" s="10"/>
    </row>
    <row r="1061" spans="1:8" x14ac:dyDescent="0.35">
      <c r="A1061" s="8"/>
      <c r="B1061" s="9"/>
      <c r="D1061" s="5" t="s">
        <v>44</v>
      </c>
      <c r="E1061" s="10"/>
      <c r="F1061" s="11"/>
      <c r="G1061" s="6"/>
      <c r="H1061" s="10"/>
    </row>
    <row r="1062" spans="1:8" x14ac:dyDescent="0.35">
      <c r="A1062" s="8"/>
      <c r="B1062" s="9"/>
      <c r="D1062" s="5" t="s">
        <v>44</v>
      </c>
      <c r="E1062" s="10"/>
      <c r="F1062" s="11"/>
      <c r="G1062" s="6"/>
      <c r="H1062" s="10"/>
    </row>
    <row r="1063" spans="1:8" x14ac:dyDescent="0.35">
      <c r="A1063" s="8"/>
      <c r="B1063" s="9"/>
      <c r="D1063" s="5" t="s">
        <v>44</v>
      </c>
      <c r="E1063" s="10"/>
      <c r="F1063" s="11"/>
      <c r="G1063" s="6"/>
      <c r="H1063" s="10"/>
    </row>
    <row r="1064" spans="1:8" x14ac:dyDescent="0.35">
      <c r="A1064" s="8"/>
      <c r="B1064" s="9"/>
      <c r="D1064" s="5" t="s">
        <v>44</v>
      </c>
      <c r="E1064" s="10"/>
      <c r="F1064" s="11"/>
      <c r="G1064" s="6"/>
      <c r="H1064" s="10"/>
    </row>
    <row r="1065" spans="1:8" x14ac:dyDescent="0.35">
      <c r="A1065" s="8"/>
      <c r="B1065" s="9"/>
      <c r="D1065" s="5" t="s">
        <v>44</v>
      </c>
      <c r="E1065" s="10"/>
      <c r="F1065" s="11"/>
      <c r="G1065" s="6"/>
      <c r="H1065" s="10"/>
    </row>
    <row r="1066" spans="1:8" x14ac:dyDescent="0.35">
      <c r="A1066" s="8"/>
      <c r="B1066" s="9"/>
      <c r="D1066" s="5" t="s">
        <v>44</v>
      </c>
      <c r="E1066" s="10"/>
      <c r="F1066" s="11"/>
      <c r="G1066" s="6"/>
      <c r="H1066" s="10"/>
    </row>
    <row r="1067" spans="1:8" x14ac:dyDescent="0.35">
      <c r="A1067" s="8"/>
      <c r="B1067" s="9"/>
      <c r="D1067" s="5" t="s">
        <v>44</v>
      </c>
      <c r="E1067" s="10"/>
      <c r="F1067" s="11"/>
      <c r="G1067" s="6"/>
      <c r="H1067" s="10"/>
    </row>
    <row r="1068" spans="1:8" x14ac:dyDescent="0.35">
      <c r="A1068" s="8"/>
      <c r="B1068" s="9"/>
      <c r="D1068" s="5" t="s">
        <v>44</v>
      </c>
      <c r="E1068" s="10"/>
      <c r="F1068" s="11"/>
      <c r="G1068" s="6"/>
      <c r="H1068" s="10"/>
    </row>
    <row r="1069" spans="1:8" x14ac:dyDescent="0.35">
      <c r="A1069" s="8"/>
      <c r="B1069" s="9"/>
      <c r="D1069" s="5" t="s">
        <v>44</v>
      </c>
      <c r="E1069" s="10"/>
      <c r="F1069" s="11"/>
      <c r="G1069" s="6"/>
      <c r="H1069" s="10"/>
    </row>
    <row r="1070" spans="1:8" x14ac:dyDescent="0.35">
      <c r="A1070" s="8"/>
      <c r="B1070" s="9"/>
      <c r="D1070" s="5" t="s">
        <v>44</v>
      </c>
      <c r="E1070" s="10"/>
      <c r="F1070" s="11"/>
      <c r="G1070" s="6"/>
      <c r="H1070" s="10"/>
    </row>
    <row r="1071" spans="1:8" x14ac:dyDescent="0.35">
      <c r="A1071" s="8"/>
      <c r="B1071" s="9"/>
      <c r="D1071" s="5" t="s">
        <v>44</v>
      </c>
      <c r="E1071" s="10"/>
      <c r="F1071" s="11"/>
      <c r="G1071" s="6"/>
      <c r="H1071" s="10"/>
    </row>
    <row r="1072" spans="1:8" x14ac:dyDescent="0.35">
      <c r="A1072" s="8"/>
      <c r="B1072" s="9"/>
      <c r="D1072" s="5" t="s">
        <v>44</v>
      </c>
      <c r="E1072" s="10"/>
      <c r="F1072" s="11"/>
      <c r="G1072" s="6"/>
      <c r="H1072" s="10"/>
    </row>
    <row r="1073" spans="1:8" x14ac:dyDescent="0.35">
      <c r="A1073" s="8"/>
      <c r="B1073" s="9"/>
      <c r="D1073" s="5" t="s">
        <v>44</v>
      </c>
      <c r="E1073" s="10"/>
      <c r="F1073" s="11"/>
      <c r="G1073" s="6"/>
      <c r="H1073" s="10"/>
    </row>
    <row r="1074" spans="1:8" x14ac:dyDescent="0.35">
      <c r="A1074" s="8"/>
      <c r="B1074" s="9"/>
      <c r="D1074" s="5" t="s">
        <v>44</v>
      </c>
      <c r="E1074" s="10"/>
      <c r="F1074" s="11"/>
      <c r="G1074" s="6"/>
      <c r="H1074" s="10"/>
    </row>
    <row r="1075" spans="1:8" x14ac:dyDescent="0.35">
      <c r="A1075" s="8"/>
      <c r="B1075" s="9"/>
      <c r="D1075" s="5" t="s">
        <v>44</v>
      </c>
      <c r="E1075" s="10"/>
      <c r="F1075" s="11"/>
      <c r="G1075" s="6"/>
      <c r="H1075" s="10"/>
    </row>
    <row r="1076" spans="1:8" x14ac:dyDescent="0.35">
      <c r="A1076" s="8"/>
      <c r="B1076" s="9"/>
      <c r="D1076" s="5" t="s">
        <v>44</v>
      </c>
      <c r="E1076" s="10"/>
      <c r="F1076" s="11"/>
      <c r="G1076" s="6"/>
      <c r="H1076" s="10"/>
    </row>
    <row r="1077" spans="1:8" x14ac:dyDescent="0.35">
      <c r="A1077" s="8"/>
      <c r="B1077" s="9"/>
      <c r="D1077" s="5" t="s">
        <v>44</v>
      </c>
      <c r="E1077" s="10"/>
      <c r="F1077" s="11"/>
      <c r="G1077" s="6"/>
      <c r="H1077" s="10"/>
    </row>
    <row r="1078" spans="1:8" x14ac:dyDescent="0.35">
      <c r="A1078" s="8"/>
      <c r="B1078" s="9"/>
      <c r="D1078" s="5" t="s">
        <v>44</v>
      </c>
      <c r="E1078" s="10"/>
      <c r="F1078" s="11"/>
      <c r="G1078" s="6"/>
      <c r="H1078" s="10"/>
    </row>
    <row r="1079" spans="1:8" x14ac:dyDescent="0.35">
      <c r="A1079" s="8"/>
      <c r="B1079" s="9"/>
      <c r="D1079" s="5" t="s">
        <v>44</v>
      </c>
      <c r="E1079" s="10"/>
      <c r="F1079" s="11"/>
      <c r="G1079" s="6"/>
      <c r="H1079" s="10"/>
    </row>
    <row r="1080" spans="1:8" x14ac:dyDescent="0.35">
      <c r="A1080" s="8"/>
      <c r="B1080" s="9"/>
      <c r="D1080" s="5" t="s">
        <v>44</v>
      </c>
      <c r="E1080" s="10"/>
      <c r="F1080" s="11"/>
      <c r="G1080" s="6"/>
      <c r="H1080" s="10"/>
    </row>
    <row r="1081" spans="1:8" x14ac:dyDescent="0.35">
      <c r="A1081" s="8"/>
      <c r="B1081" s="9"/>
      <c r="D1081" s="5" t="s">
        <v>44</v>
      </c>
      <c r="E1081" s="10"/>
      <c r="F1081" s="11"/>
      <c r="G1081" s="6"/>
      <c r="H1081" s="10"/>
    </row>
    <row r="1082" spans="1:8" x14ac:dyDescent="0.35">
      <c r="A1082" s="8"/>
      <c r="B1082" s="9"/>
      <c r="D1082" s="5" t="s">
        <v>44</v>
      </c>
      <c r="E1082" s="10"/>
      <c r="F1082" s="11"/>
      <c r="G1082" s="6"/>
      <c r="H1082" s="10"/>
    </row>
    <row r="1083" spans="1:8" x14ac:dyDescent="0.35">
      <c r="A1083" s="8"/>
      <c r="B1083" s="9"/>
      <c r="D1083" s="5" t="s">
        <v>44</v>
      </c>
      <c r="E1083" s="10"/>
      <c r="F1083" s="11"/>
      <c r="G1083" s="6"/>
      <c r="H1083" s="10"/>
    </row>
    <row r="1084" spans="1:8" x14ac:dyDescent="0.35">
      <c r="A1084" s="8"/>
      <c r="B1084" s="9"/>
      <c r="D1084" s="5" t="s">
        <v>44</v>
      </c>
      <c r="E1084" s="10"/>
      <c r="F1084" s="11"/>
      <c r="G1084" s="6"/>
      <c r="H1084" s="10"/>
    </row>
    <row r="1085" spans="1:8" x14ac:dyDescent="0.35">
      <c r="A1085" s="8"/>
      <c r="B1085" s="9"/>
      <c r="D1085" s="5" t="s">
        <v>44</v>
      </c>
      <c r="E1085" s="10"/>
      <c r="F1085" s="11"/>
      <c r="G1085" s="6"/>
      <c r="H1085" s="10"/>
    </row>
    <row r="1086" spans="1:8" x14ac:dyDescent="0.35">
      <c r="A1086" s="8"/>
      <c r="B1086" s="9"/>
      <c r="D1086" s="5" t="s">
        <v>44</v>
      </c>
      <c r="E1086" s="10"/>
      <c r="F1086" s="11"/>
      <c r="G1086" s="6"/>
      <c r="H1086" s="10"/>
    </row>
    <row r="1087" spans="1:8" x14ac:dyDescent="0.35">
      <c r="A1087" s="8"/>
      <c r="B1087" s="9"/>
      <c r="D1087" s="5" t="s">
        <v>44</v>
      </c>
      <c r="E1087" s="10"/>
      <c r="F1087" s="11"/>
      <c r="G1087" s="6"/>
      <c r="H1087" s="10"/>
    </row>
    <row r="1088" spans="1:8" x14ac:dyDescent="0.35">
      <c r="A1088" s="8"/>
      <c r="B1088" s="9"/>
      <c r="D1088" s="5" t="s">
        <v>44</v>
      </c>
      <c r="E1088" s="10"/>
      <c r="F1088" s="11"/>
      <c r="G1088" s="6"/>
      <c r="H1088" s="10"/>
    </row>
    <row r="1089" spans="1:8" x14ac:dyDescent="0.35">
      <c r="A1089" s="8"/>
      <c r="B1089" s="9"/>
      <c r="D1089" s="5" t="s">
        <v>44</v>
      </c>
      <c r="E1089" s="10"/>
      <c r="F1089" s="11"/>
      <c r="G1089" s="6"/>
      <c r="H1089" s="10"/>
    </row>
    <row r="1090" spans="1:8" x14ac:dyDescent="0.35">
      <c r="A1090" s="8"/>
      <c r="B1090" s="9"/>
      <c r="D1090" s="5" t="s">
        <v>44</v>
      </c>
      <c r="E1090" s="10"/>
      <c r="F1090" s="11"/>
      <c r="G1090" s="6"/>
      <c r="H1090" s="10"/>
    </row>
    <row r="1091" spans="1:8" x14ac:dyDescent="0.35">
      <c r="A1091" s="8"/>
      <c r="B1091" s="9"/>
      <c r="D1091" s="5" t="s">
        <v>44</v>
      </c>
      <c r="E1091" s="10"/>
      <c r="F1091" s="11"/>
      <c r="G1091" s="6"/>
      <c r="H1091" s="10"/>
    </row>
    <row r="1092" spans="1:8" x14ac:dyDescent="0.35">
      <c r="A1092" s="8"/>
      <c r="B1092" s="9"/>
      <c r="D1092" s="5" t="s">
        <v>44</v>
      </c>
      <c r="E1092" s="10"/>
      <c r="F1092" s="11"/>
      <c r="G1092" s="6"/>
      <c r="H1092" s="10"/>
    </row>
    <row r="1093" spans="1:8" x14ac:dyDescent="0.35">
      <c r="A1093" s="8"/>
      <c r="B1093" s="9"/>
      <c r="D1093" s="5" t="s">
        <v>44</v>
      </c>
      <c r="E1093" s="10"/>
      <c r="F1093" s="11"/>
      <c r="G1093" s="6"/>
      <c r="H1093" s="10"/>
    </row>
    <row r="1094" spans="1:8" x14ac:dyDescent="0.35">
      <c r="A1094" s="8"/>
      <c r="B1094" s="9"/>
      <c r="D1094" s="5" t="s">
        <v>44</v>
      </c>
      <c r="E1094" s="10"/>
      <c r="F1094" s="11"/>
      <c r="G1094" s="6"/>
      <c r="H1094" s="10"/>
    </row>
    <row r="1095" spans="1:8" x14ac:dyDescent="0.35">
      <c r="A1095" s="8"/>
      <c r="B1095" s="9"/>
      <c r="D1095" s="5" t="s">
        <v>44</v>
      </c>
      <c r="E1095" s="10"/>
      <c r="F1095" s="11"/>
      <c r="G1095" s="6"/>
      <c r="H1095" s="10"/>
    </row>
    <row r="1096" spans="1:8" x14ac:dyDescent="0.35">
      <c r="A1096" s="8"/>
      <c r="B1096" s="9"/>
      <c r="D1096" s="5" t="s">
        <v>44</v>
      </c>
      <c r="E1096" s="10"/>
      <c r="F1096" s="11"/>
      <c r="G1096" s="6"/>
      <c r="H1096" s="10"/>
    </row>
    <row r="1097" spans="1:8" x14ac:dyDescent="0.35">
      <c r="A1097" s="8"/>
      <c r="B1097" s="9"/>
      <c r="D1097" s="5" t="s">
        <v>44</v>
      </c>
      <c r="E1097" s="10"/>
      <c r="F1097" s="11"/>
      <c r="G1097" s="6"/>
      <c r="H1097" s="10"/>
    </row>
    <row r="1098" spans="1:8" x14ac:dyDescent="0.35">
      <c r="A1098" s="8"/>
      <c r="B1098" s="9"/>
      <c r="D1098" s="5" t="s">
        <v>44</v>
      </c>
      <c r="E1098" s="10"/>
      <c r="F1098" s="11"/>
      <c r="G1098" s="6"/>
      <c r="H1098" s="10"/>
    </row>
    <row r="1099" spans="1:8" x14ac:dyDescent="0.35">
      <c r="A1099" s="8"/>
      <c r="B1099" s="9"/>
      <c r="D1099" s="5" t="s">
        <v>44</v>
      </c>
      <c r="E1099" s="10"/>
      <c r="F1099" s="11"/>
      <c r="G1099" s="6"/>
      <c r="H1099" s="10"/>
    </row>
    <row r="1100" spans="1:8" x14ac:dyDescent="0.35">
      <c r="A1100" s="8"/>
      <c r="B1100" s="9"/>
      <c r="D1100" s="5" t="s">
        <v>44</v>
      </c>
      <c r="E1100" s="10"/>
      <c r="F1100" s="11"/>
      <c r="G1100" s="6"/>
      <c r="H1100" s="10"/>
    </row>
    <row r="1101" spans="1:8" x14ac:dyDescent="0.35">
      <c r="A1101" s="8"/>
      <c r="B1101" s="9"/>
      <c r="D1101" s="5" t="s">
        <v>44</v>
      </c>
      <c r="E1101" s="10"/>
      <c r="F1101" s="11"/>
      <c r="G1101" s="6"/>
      <c r="H1101" s="10"/>
    </row>
    <row r="1102" spans="1:8" x14ac:dyDescent="0.35">
      <c r="A1102" s="8"/>
      <c r="B1102" s="9"/>
      <c r="D1102" s="5" t="s">
        <v>44</v>
      </c>
      <c r="E1102" s="10"/>
      <c r="F1102" s="11"/>
      <c r="G1102" s="6"/>
      <c r="H1102" s="10"/>
    </row>
    <row r="1103" spans="1:8" x14ac:dyDescent="0.35">
      <c r="A1103" s="8"/>
      <c r="B1103" s="9"/>
      <c r="D1103" s="5" t="s">
        <v>44</v>
      </c>
      <c r="E1103" s="10"/>
      <c r="F1103" s="11"/>
      <c r="G1103" s="6"/>
      <c r="H1103" s="10"/>
    </row>
    <row r="1104" spans="1:8" x14ac:dyDescent="0.35">
      <c r="A1104" s="8"/>
      <c r="B1104" s="9"/>
      <c r="D1104" s="5" t="s">
        <v>44</v>
      </c>
      <c r="E1104" s="10"/>
      <c r="F1104" s="11"/>
      <c r="G1104" s="6"/>
      <c r="H1104" s="10"/>
    </row>
    <row r="1105" spans="1:8" x14ac:dyDescent="0.35">
      <c r="A1105" s="8"/>
      <c r="B1105" s="9"/>
      <c r="D1105" s="5" t="s">
        <v>44</v>
      </c>
      <c r="E1105" s="10"/>
      <c r="F1105" s="11"/>
      <c r="G1105" s="6"/>
      <c r="H1105" s="10"/>
    </row>
    <row r="1106" spans="1:8" x14ac:dyDescent="0.35">
      <c r="A1106" s="8"/>
      <c r="B1106" s="9"/>
      <c r="D1106" s="5" t="s">
        <v>44</v>
      </c>
      <c r="E1106" s="10"/>
      <c r="F1106" s="11"/>
      <c r="G1106" s="6"/>
      <c r="H1106" s="10"/>
    </row>
    <row r="1107" spans="1:8" x14ac:dyDescent="0.35">
      <c r="A1107" s="8"/>
      <c r="B1107" s="9"/>
      <c r="D1107" s="5" t="s">
        <v>44</v>
      </c>
      <c r="E1107" s="10"/>
      <c r="F1107" s="11"/>
      <c r="G1107" s="6"/>
      <c r="H1107" s="10"/>
    </row>
    <row r="1108" spans="1:8" x14ac:dyDescent="0.35">
      <c r="A1108" s="8"/>
      <c r="B1108" s="9"/>
      <c r="D1108" s="5" t="s">
        <v>44</v>
      </c>
      <c r="E1108" s="10"/>
      <c r="F1108" s="11"/>
      <c r="G1108" s="6"/>
      <c r="H1108" s="10"/>
    </row>
    <row r="1109" spans="1:8" x14ac:dyDescent="0.35">
      <c r="A1109" s="8"/>
      <c r="B1109" s="9"/>
      <c r="D1109" s="5" t="s">
        <v>44</v>
      </c>
      <c r="E1109" s="10"/>
      <c r="F1109" s="11"/>
      <c r="G1109" s="6"/>
      <c r="H1109" s="10"/>
    </row>
    <row r="1110" spans="1:8" x14ac:dyDescent="0.35">
      <c r="A1110" s="8"/>
      <c r="B1110" s="9"/>
      <c r="D1110" s="5" t="s">
        <v>44</v>
      </c>
      <c r="E1110" s="10"/>
      <c r="F1110" s="11"/>
      <c r="G1110" s="6"/>
      <c r="H1110" s="10"/>
    </row>
    <row r="1111" spans="1:8" x14ac:dyDescent="0.35">
      <c r="A1111" s="8"/>
      <c r="B1111" s="9"/>
      <c r="D1111" s="5" t="s">
        <v>44</v>
      </c>
      <c r="E1111" s="10"/>
      <c r="F1111" s="11"/>
      <c r="G1111" s="6"/>
      <c r="H1111" s="10"/>
    </row>
    <row r="1112" spans="1:8" x14ac:dyDescent="0.35">
      <c r="A1112" s="8"/>
      <c r="B1112" s="9"/>
      <c r="D1112" s="5" t="s">
        <v>44</v>
      </c>
      <c r="E1112" s="10"/>
      <c r="F1112" s="11"/>
      <c r="G1112" s="6"/>
      <c r="H1112" s="10"/>
    </row>
    <row r="1113" spans="1:8" x14ac:dyDescent="0.35">
      <c r="A1113" s="8"/>
      <c r="B1113" s="9"/>
      <c r="D1113" s="5" t="s">
        <v>44</v>
      </c>
      <c r="E1113" s="10"/>
      <c r="F1113" s="11"/>
      <c r="G1113" s="6"/>
      <c r="H1113" s="10"/>
    </row>
    <row r="1114" spans="1:8" x14ac:dyDescent="0.35">
      <c r="A1114" s="8"/>
      <c r="B1114" s="9"/>
      <c r="D1114" s="5" t="s">
        <v>44</v>
      </c>
      <c r="E1114" s="10"/>
      <c r="F1114" s="11"/>
      <c r="G1114" s="6"/>
      <c r="H1114" s="10"/>
    </row>
    <row r="1115" spans="1:8" x14ac:dyDescent="0.35">
      <c r="A1115" s="8"/>
      <c r="B1115" s="9"/>
      <c r="D1115" s="5" t="s">
        <v>44</v>
      </c>
      <c r="E1115" s="10"/>
      <c r="F1115" s="11"/>
      <c r="G1115" s="6"/>
      <c r="H1115" s="10"/>
    </row>
    <row r="1116" spans="1:8" x14ac:dyDescent="0.35">
      <c r="A1116" s="8"/>
      <c r="B1116" s="9"/>
      <c r="D1116" s="5" t="s">
        <v>44</v>
      </c>
      <c r="E1116" s="10"/>
      <c r="F1116" s="11"/>
      <c r="G1116" s="6"/>
      <c r="H1116" s="10"/>
    </row>
    <row r="1117" spans="1:8" x14ac:dyDescent="0.35">
      <c r="A1117" s="8"/>
      <c r="B1117" s="9"/>
      <c r="D1117" s="5" t="s">
        <v>44</v>
      </c>
      <c r="E1117" s="10"/>
      <c r="F1117" s="11"/>
      <c r="G1117" s="6"/>
      <c r="H1117" s="10"/>
    </row>
    <row r="1118" spans="1:8" x14ac:dyDescent="0.35">
      <c r="A1118" s="8"/>
      <c r="B1118" s="9"/>
      <c r="D1118" s="5" t="s">
        <v>44</v>
      </c>
      <c r="E1118" s="10"/>
      <c r="F1118" s="11"/>
      <c r="G1118" s="6"/>
      <c r="H1118" s="10"/>
    </row>
    <row r="1119" spans="1:8" x14ac:dyDescent="0.35">
      <c r="A1119" s="8"/>
      <c r="B1119" s="9"/>
      <c r="D1119" s="5" t="s">
        <v>44</v>
      </c>
      <c r="E1119" s="10"/>
      <c r="F1119" s="11"/>
      <c r="G1119" s="6"/>
      <c r="H1119" s="10"/>
    </row>
    <row r="1120" spans="1:8" x14ac:dyDescent="0.35">
      <c r="A1120" s="8"/>
      <c r="B1120" s="9"/>
      <c r="D1120" s="5" t="s">
        <v>44</v>
      </c>
      <c r="E1120" s="10"/>
      <c r="F1120" s="11"/>
      <c r="G1120" s="6"/>
      <c r="H1120" s="10"/>
    </row>
    <row r="1121" spans="1:8" x14ac:dyDescent="0.35">
      <c r="A1121" s="8"/>
      <c r="B1121" s="9"/>
      <c r="D1121" s="5" t="s">
        <v>44</v>
      </c>
      <c r="E1121" s="10"/>
      <c r="F1121" s="11"/>
      <c r="G1121" s="6"/>
      <c r="H1121" s="10"/>
    </row>
    <row r="1122" spans="1:8" x14ac:dyDescent="0.35">
      <c r="A1122" s="8"/>
      <c r="B1122" s="9"/>
      <c r="D1122" s="5" t="s">
        <v>44</v>
      </c>
      <c r="E1122" s="10"/>
      <c r="F1122" s="11"/>
      <c r="G1122" s="6"/>
      <c r="H1122" s="10"/>
    </row>
    <row r="1123" spans="1:8" x14ac:dyDescent="0.35">
      <c r="A1123" s="8"/>
      <c r="B1123" s="9"/>
      <c r="D1123" s="5" t="s">
        <v>44</v>
      </c>
      <c r="E1123" s="10"/>
      <c r="F1123" s="11"/>
      <c r="G1123" s="6"/>
      <c r="H1123" s="10"/>
    </row>
    <row r="1124" spans="1:8" x14ac:dyDescent="0.35">
      <c r="A1124" s="8"/>
      <c r="B1124" s="9"/>
      <c r="D1124" s="5" t="s">
        <v>44</v>
      </c>
      <c r="E1124" s="10"/>
      <c r="F1124" s="11"/>
      <c r="G1124" s="6"/>
      <c r="H1124" s="10"/>
    </row>
    <row r="1125" spans="1:8" x14ac:dyDescent="0.35">
      <c r="A1125" s="8"/>
      <c r="B1125" s="9"/>
      <c r="D1125" s="5" t="s">
        <v>44</v>
      </c>
      <c r="E1125" s="10"/>
      <c r="F1125" s="11"/>
      <c r="G1125" s="6"/>
      <c r="H1125" s="10"/>
    </row>
    <row r="1126" spans="1:8" x14ac:dyDescent="0.35">
      <c r="A1126" s="8"/>
      <c r="B1126" s="9"/>
      <c r="D1126" s="5" t="s">
        <v>44</v>
      </c>
      <c r="E1126" s="10"/>
      <c r="F1126" s="11"/>
      <c r="G1126" s="6"/>
      <c r="H1126" s="10"/>
    </row>
    <row r="1127" spans="1:8" x14ac:dyDescent="0.35">
      <c r="A1127" s="8"/>
      <c r="B1127" s="9"/>
      <c r="D1127" s="5" t="s">
        <v>44</v>
      </c>
      <c r="E1127" s="10"/>
      <c r="F1127" s="11"/>
      <c r="G1127" s="6"/>
      <c r="H1127" s="10"/>
    </row>
    <row r="1128" spans="1:8" x14ac:dyDescent="0.35">
      <c r="A1128" s="8"/>
      <c r="B1128" s="9"/>
      <c r="D1128" s="5" t="s">
        <v>44</v>
      </c>
      <c r="E1128" s="10"/>
      <c r="F1128" s="11"/>
      <c r="G1128" s="6"/>
      <c r="H1128" s="10"/>
    </row>
    <row r="1129" spans="1:8" x14ac:dyDescent="0.35">
      <c r="A1129" s="8"/>
      <c r="B1129" s="9"/>
      <c r="D1129" s="5" t="s">
        <v>44</v>
      </c>
      <c r="E1129" s="10"/>
      <c r="F1129" s="11"/>
      <c r="G1129" s="6"/>
      <c r="H1129" s="10"/>
    </row>
    <row r="1130" spans="1:8" x14ac:dyDescent="0.35">
      <c r="A1130" s="8"/>
      <c r="B1130" s="9"/>
      <c r="D1130" s="5" t="s">
        <v>44</v>
      </c>
      <c r="E1130" s="10"/>
      <c r="F1130" s="11"/>
      <c r="G1130" s="6"/>
      <c r="H1130" s="10"/>
    </row>
    <row r="1131" spans="1:8" x14ac:dyDescent="0.35">
      <c r="A1131" s="8"/>
      <c r="B1131" s="9"/>
      <c r="D1131" s="5" t="s">
        <v>44</v>
      </c>
      <c r="E1131" s="10"/>
      <c r="F1131" s="11"/>
      <c r="G1131" s="6"/>
      <c r="H1131" s="10"/>
    </row>
    <row r="1132" spans="1:8" x14ac:dyDescent="0.35">
      <c r="A1132" s="8"/>
      <c r="B1132" s="9"/>
      <c r="D1132" s="5" t="s">
        <v>44</v>
      </c>
      <c r="E1132" s="10"/>
      <c r="F1132" s="11"/>
      <c r="G1132" s="6"/>
      <c r="H1132" s="10"/>
    </row>
    <row r="1133" spans="1:8" x14ac:dyDescent="0.35">
      <c r="A1133" s="8"/>
      <c r="B1133" s="9"/>
      <c r="D1133" s="5" t="s">
        <v>44</v>
      </c>
      <c r="E1133" s="10"/>
      <c r="F1133" s="11"/>
      <c r="G1133" s="6"/>
      <c r="H1133" s="10"/>
    </row>
    <row r="1134" spans="1:8" x14ac:dyDescent="0.35">
      <c r="A1134" s="8"/>
      <c r="B1134" s="9"/>
      <c r="D1134" s="5" t="s">
        <v>44</v>
      </c>
      <c r="E1134" s="10"/>
      <c r="F1134" s="11"/>
      <c r="G1134" s="6"/>
      <c r="H1134" s="10"/>
    </row>
    <row r="1135" spans="1:8" x14ac:dyDescent="0.35">
      <c r="A1135" s="8"/>
      <c r="B1135" s="9"/>
      <c r="D1135" s="5" t="s">
        <v>44</v>
      </c>
      <c r="E1135" s="10"/>
      <c r="F1135" s="11"/>
      <c r="G1135" s="6"/>
      <c r="H1135" s="10"/>
    </row>
    <row r="1136" spans="1:8" x14ac:dyDescent="0.35">
      <c r="A1136" s="8"/>
      <c r="B1136" s="9"/>
      <c r="D1136" s="5" t="s">
        <v>44</v>
      </c>
      <c r="E1136" s="10"/>
      <c r="F1136" s="11"/>
      <c r="G1136" s="6"/>
      <c r="H1136" s="10"/>
    </row>
    <row r="1137" spans="1:8" x14ac:dyDescent="0.35">
      <c r="A1137" s="8"/>
      <c r="B1137" s="9"/>
      <c r="D1137" s="5" t="s">
        <v>44</v>
      </c>
      <c r="E1137" s="10"/>
      <c r="F1137" s="11"/>
      <c r="G1137" s="6"/>
      <c r="H1137" s="10"/>
    </row>
    <row r="1138" spans="1:8" x14ac:dyDescent="0.35">
      <c r="A1138" s="8"/>
      <c r="B1138" s="9"/>
      <c r="D1138" s="5" t="s">
        <v>44</v>
      </c>
      <c r="E1138" s="10"/>
      <c r="F1138" s="11"/>
      <c r="G1138" s="6"/>
      <c r="H1138" s="10"/>
    </row>
    <row r="1139" spans="1:8" x14ac:dyDescent="0.35">
      <c r="A1139" s="8"/>
      <c r="B1139" s="9"/>
      <c r="D1139" s="5" t="s">
        <v>44</v>
      </c>
      <c r="E1139" s="10"/>
      <c r="F1139" s="11"/>
      <c r="G1139" s="6"/>
      <c r="H1139" s="10"/>
    </row>
    <row r="1140" spans="1:8" x14ac:dyDescent="0.35">
      <c r="A1140" s="8"/>
      <c r="B1140" s="9"/>
      <c r="D1140" s="5" t="s">
        <v>44</v>
      </c>
      <c r="E1140" s="10"/>
      <c r="F1140" s="11"/>
      <c r="G1140" s="6"/>
      <c r="H1140" s="10"/>
    </row>
    <row r="1141" spans="1:8" x14ac:dyDescent="0.35">
      <c r="A1141" s="8"/>
      <c r="B1141" s="9"/>
      <c r="D1141" s="5" t="s">
        <v>44</v>
      </c>
      <c r="E1141" s="10"/>
      <c r="F1141" s="11"/>
      <c r="G1141" s="6"/>
      <c r="H1141" s="10"/>
    </row>
    <row r="1142" spans="1:8" x14ac:dyDescent="0.35">
      <c r="A1142" s="8"/>
      <c r="B1142" s="9"/>
      <c r="D1142" s="5" t="s">
        <v>44</v>
      </c>
      <c r="E1142" s="10"/>
      <c r="F1142" s="11"/>
      <c r="G1142" s="6"/>
      <c r="H1142" s="10"/>
    </row>
    <row r="1143" spans="1:8" x14ac:dyDescent="0.35">
      <c r="A1143" s="8"/>
      <c r="B1143" s="9"/>
      <c r="D1143" s="5" t="s">
        <v>44</v>
      </c>
      <c r="E1143" s="10"/>
      <c r="F1143" s="11"/>
      <c r="G1143" s="6"/>
      <c r="H1143" s="10"/>
    </row>
    <row r="1144" spans="1:8" x14ac:dyDescent="0.35">
      <c r="A1144" s="8"/>
      <c r="B1144" s="9"/>
      <c r="D1144" s="5" t="s">
        <v>44</v>
      </c>
      <c r="E1144" s="10"/>
      <c r="F1144" s="11"/>
      <c r="G1144" s="6"/>
      <c r="H1144" s="10"/>
    </row>
    <row r="1145" spans="1:8" x14ac:dyDescent="0.35">
      <c r="A1145" s="8"/>
      <c r="B1145" s="9"/>
      <c r="D1145" s="5" t="s">
        <v>44</v>
      </c>
      <c r="E1145" s="10"/>
      <c r="F1145" s="11"/>
      <c r="G1145" s="6"/>
      <c r="H1145" s="10"/>
    </row>
    <row r="1146" spans="1:8" x14ac:dyDescent="0.35">
      <c r="A1146" s="8"/>
      <c r="B1146" s="9"/>
      <c r="D1146" s="5" t="s">
        <v>44</v>
      </c>
      <c r="E1146" s="10"/>
      <c r="F1146" s="11"/>
      <c r="G1146" s="6"/>
      <c r="H1146" s="10"/>
    </row>
    <row r="1147" spans="1:8" x14ac:dyDescent="0.35">
      <c r="A1147" s="8"/>
      <c r="B1147" s="9"/>
      <c r="D1147" s="5" t="s">
        <v>44</v>
      </c>
      <c r="E1147" s="10"/>
      <c r="F1147" s="11"/>
      <c r="G1147" s="6"/>
      <c r="H1147" s="10"/>
    </row>
    <row r="1148" spans="1:8" x14ac:dyDescent="0.35">
      <c r="A1148" s="8"/>
      <c r="B1148" s="9"/>
      <c r="D1148" s="5" t="s">
        <v>44</v>
      </c>
      <c r="E1148" s="10"/>
      <c r="F1148" s="11"/>
      <c r="G1148" s="6"/>
      <c r="H1148" s="10"/>
    </row>
    <row r="1149" spans="1:8" x14ac:dyDescent="0.35">
      <c r="A1149" s="8"/>
      <c r="B1149" s="9"/>
      <c r="D1149" s="5" t="s">
        <v>44</v>
      </c>
      <c r="E1149" s="10"/>
      <c r="F1149" s="11"/>
      <c r="G1149" s="6"/>
      <c r="H1149" s="10"/>
    </row>
    <row r="1150" spans="1:8" x14ac:dyDescent="0.35">
      <c r="A1150" s="8"/>
      <c r="B1150" s="9"/>
      <c r="D1150" s="5" t="s">
        <v>44</v>
      </c>
      <c r="E1150" s="10"/>
      <c r="F1150" s="11"/>
      <c r="G1150" s="6"/>
      <c r="H1150" s="10"/>
    </row>
    <row r="1151" spans="1:8" x14ac:dyDescent="0.35">
      <c r="A1151" s="8"/>
      <c r="B1151" s="9"/>
      <c r="D1151" s="5" t="s">
        <v>44</v>
      </c>
      <c r="E1151" s="10"/>
      <c r="F1151" s="11"/>
      <c r="G1151" s="6"/>
      <c r="H1151" s="10"/>
    </row>
    <row r="1152" spans="1:8" x14ac:dyDescent="0.35">
      <c r="A1152" s="8"/>
      <c r="B1152" s="9"/>
      <c r="D1152" s="5" t="s">
        <v>44</v>
      </c>
      <c r="E1152" s="10"/>
      <c r="F1152" s="11"/>
      <c r="G1152" s="6"/>
      <c r="H1152" s="10"/>
    </row>
    <row r="1153" spans="1:8" x14ac:dyDescent="0.35">
      <c r="A1153" s="8"/>
      <c r="B1153" s="9"/>
      <c r="D1153" s="5" t="s">
        <v>44</v>
      </c>
      <c r="E1153" s="10"/>
      <c r="F1153" s="11"/>
      <c r="G1153" s="6"/>
      <c r="H1153" s="10"/>
    </row>
    <row r="1154" spans="1:8" x14ac:dyDescent="0.35">
      <c r="A1154" s="8"/>
      <c r="B1154" s="9"/>
      <c r="D1154" s="5" t="s">
        <v>44</v>
      </c>
      <c r="E1154" s="10"/>
      <c r="F1154" s="11"/>
      <c r="G1154" s="6"/>
      <c r="H1154" s="10"/>
    </row>
    <row r="1155" spans="1:8" x14ac:dyDescent="0.35">
      <c r="A1155" s="8"/>
      <c r="B1155" s="9"/>
      <c r="D1155" s="5" t="s">
        <v>44</v>
      </c>
      <c r="E1155" s="10"/>
      <c r="F1155" s="11"/>
      <c r="G1155" s="6"/>
      <c r="H1155" s="10"/>
    </row>
    <row r="1156" spans="1:8" x14ac:dyDescent="0.35">
      <c r="A1156" s="8"/>
      <c r="B1156" s="9"/>
      <c r="D1156" s="5" t="s">
        <v>44</v>
      </c>
      <c r="E1156" s="10"/>
      <c r="F1156" s="11"/>
      <c r="G1156" s="6"/>
      <c r="H1156" s="10"/>
    </row>
    <row r="1157" spans="1:8" x14ac:dyDescent="0.35">
      <c r="A1157" s="8"/>
      <c r="B1157" s="9"/>
      <c r="D1157" s="5" t="s">
        <v>44</v>
      </c>
      <c r="E1157" s="10"/>
      <c r="F1157" s="11"/>
      <c r="G1157" s="6"/>
      <c r="H1157" s="10"/>
    </row>
    <row r="1158" spans="1:8" x14ac:dyDescent="0.35">
      <c r="A1158" s="8"/>
      <c r="B1158" s="9"/>
      <c r="D1158" s="5" t="s">
        <v>44</v>
      </c>
      <c r="E1158" s="10"/>
      <c r="F1158" s="11"/>
      <c r="G1158" s="6"/>
      <c r="H1158" s="10"/>
    </row>
    <row r="1159" spans="1:8" x14ac:dyDescent="0.35">
      <c r="A1159" s="8"/>
      <c r="B1159" s="9"/>
      <c r="D1159" s="5" t="s">
        <v>44</v>
      </c>
      <c r="E1159" s="10"/>
      <c r="F1159" s="11"/>
      <c r="G1159" s="6"/>
      <c r="H1159" s="10"/>
    </row>
    <row r="1160" spans="1:8" x14ac:dyDescent="0.35">
      <c r="A1160" s="8"/>
      <c r="B1160" s="9"/>
      <c r="D1160" s="5" t="s">
        <v>44</v>
      </c>
      <c r="E1160" s="10"/>
      <c r="F1160" s="11"/>
      <c r="G1160" s="6"/>
      <c r="H1160" s="10"/>
    </row>
    <row r="1161" spans="1:8" x14ac:dyDescent="0.35">
      <c r="A1161" s="8"/>
      <c r="B1161" s="9"/>
      <c r="D1161" s="5" t="s">
        <v>44</v>
      </c>
      <c r="E1161" s="10"/>
      <c r="F1161" s="11"/>
      <c r="G1161" s="6"/>
      <c r="H1161" s="10"/>
    </row>
    <row r="1162" spans="1:8" x14ac:dyDescent="0.35">
      <c r="A1162" s="8"/>
      <c r="B1162" s="9"/>
      <c r="D1162" s="5" t="s">
        <v>44</v>
      </c>
      <c r="E1162" s="10"/>
      <c r="F1162" s="11"/>
      <c r="G1162" s="6"/>
      <c r="H1162" s="10"/>
    </row>
    <row r="1163" spans="1:8" x14ac:dyDescent="0.35">
      <c r="A1163" s="8"/>
      <c r="B1163" s="9"/>
      <c r="D1163" s="5" t="s">
        <v>44</v>
      </c>
      <c r="E1163" s="10"/>
      <c r="F1163" s="11"/>
      <c r="G1163" s="6"/>
      <c r="H1163" s="10"/>
    </row>
    <row r="1164" spans="1:8" x14ac:dyDescent="0.35">
      <c r="A1164" s="8"/>
      <c r="B1164" s="9"/>
      <c r="D1164" s="5" t="s">
        <v>44</v>
      </c>
      <c r="E1164" s="10"/>
      <c r="F1164" s="11"/>
      <c r="G1164" s="6"/>
      <c r="H1164" s="10"/>
    </row>
    <row r="1165" spans="1:8" x14ac:dyDescent="0.35">
      <c r="A1165" s="8"/>
      <c r="B1165" s="9"/>
      <c r="D1165" s="5" t="s">
        <v>44</v>
      </c>
      <c r="E1165" s="10"/>
      <c r="F1165" s="11"/>
      <c r="G1165" s="6"/>
      <c r="H1165" s="10"/>
    </row>
    <row r="1166" spans="1:8" x14ac:dyDescent="0.35">
      <c r="A1166" s="8"/>
      <c r="B1166" s="9"/>
      <c r="D1166" s="5" t="s">
        <v>44</v>
      </c>
      <c r="E1166" s="10"/>
      <c r="F1166" s="11"/>
      <c r="G1166" s="6"/>
      <c r="H1166" s="10"/>
    </row>
    <row r="1167" spans="1:8" x14ac:dyDescent="0.35">
      <c r="A1167" s="8"/>
      <c r="B1167" s="9"/>
      <c r="D1167" s="5" t="s">
        <v>44</v>
      </c>
      <c r="E1167" s="10"/>
      <c r="F1167" s="11"/>
      <c r="G1167" s="6"/>
      <c r="H1167" s="10"/>
    </row>
    <row r="1168" spans="1:8" x14ac:dyDescent="0.35">
      <c r="A1168" s="8"/>
      <c r="B1168" s="9"/>
      <c r="D1168" s="5" t="s">
        <v>44</v>
      </c>
      <c r="E1168" s="10"/>
      <c r="F1168" s="11"/>
      <c r="G1168" s="6"/>
      <c r="H1168" s="10"/>
    </row>
    <row r="1169" spans="1:8" x14ac:dyDescent="0.35">
      <c r="A1169" s="8"/>
      <c r="B1169" s="9"/>
      <c r="D1169" s="5" t="s">
        <v>44</v>
      </c>
      <c r="E1169" s="10"/>
      <c r="F1169" s="11"/>
      <c r="G1169" s="6"/>
      <c r="H1169" s="10"/>
    </row>
    <row r="1170" spans="1:8" x14ac:dyDescent="0.35">
      <c r="A1170" s="8"/>
      <c r="B1170" s="9"/>
      <c r="D1170" s="5" t="s">
        <v>44</v>
      </c>
      <c r="E1170" s="10"/>
      <c r="F1170" s="11"/>
      <c r="G1170" s="6"/>
      <c r="H1170" s="10"/>
    </row>
    <row r="1171" spans="1:8" x14ac:dyDescent="0.35">
      <c r="A1171" s="8"/>
      <c r="B1171" s="9"/>
      <c r="D1171" s="5" t="s">
        <v>44</v>
      </c>
      <c r="E1171" s="10"/>
      <c r="F1171" s="11"/>
      <c r="G1171" s="6"/>
      <c r="H1171" s="10"/>
    </row>
    <row r="1172" spans="1:8" x14ac:dyDescent="0.35">
      <c r="A1172" s="8"/>
      <c r="B1172" s="9"/>
      <c r="D1172" s="5" t="s">
        <v>44</v>
      </c>
      <c r="E1172" s="10"/>
      <c r="F1172" s="11"/>
      <c r="G1172" s="6"/>
      <c r="H1172" s="10"/>
    </row>
    <row r="1173" spans="1:8" x14ac:dyDescent="0.35">
      <c r="A1173" s="8"/>
      <c r="B1173" s="9"/>
      <c r="D1173" s="5" t="s">
        <v>44</v>
      </c>
      <c r="E1173" s="10"/>
      <c r="F1173" s="11"/>
      <c r="G1173" s="6"/>
      <c r="H1173" s="10"/>
    </row>
    <row r="1174" spans="1:8" x14ac:dyDescent="0.35">
      <c r="A1174" s="8"/>
      <c r="B1174" s="9"/>
      <c r="D1174" s="5" t="s">
        <v>44</v>
      </c>
      <c r="E1174" s="10"/>
      <c r="F1174" s="11"/>
      <c r="G1174" s="6"/>
      <c r="H1174" s="10"/>
    </row>
    <row r="1175" spans="1:8" x14ac:dyDescent="0.35">
      <c r="A1175" s="8"/>
      <c r="B1175" s="9"/>
      <c r="D1175" s="5" t="s">
        <v>44</v>
      </c>
      <c r="E1175" s="10"/>
      <c r="F1175" s="11"/>
      <c r="G1175" s="6"/>
      <c r="H1175" s="10"/>
    </row>
    <row r="1176" spans="1:8" x14ac:dyDescent="0.35">
      <c r="A1176" s="8"/>
      <c r="B1176" s="9"/>
      <c r="D1176" s="5" t="s">
        <v>44</v>
      </c>
      <c r="E1176" s="10"/>
      <c r="F1176" s="11"/>
      <c r="G1176" s="6"/>
      <c r="H1176" s="10"/>
    </row>
    <row r="1177" spans="1:8" x14ac:dyDescent="0.35">
      <c r="A1177" s="8"/>
      <c r="B1177" s="9"/>
      <c r="D1177" s="5" t="s">
        <v>44</v>
      </c>
      <c r="E1177" s="10"/>
      <c r="F1177" s="11"/>
      <c r="G1177" s="6"/>
      <c r="H1177" s="10"/>
    </row>
    <row r="1178" spans="1:8" x14ac:dyDescent="0.35">
      <c r="A1178" s="8"/>
      <c r="B1178" s="9"/>
      <c r="D1178" s="5" t="s">
        <v>44</v>
      </c>
      <c r="E1178" s="10"/>
      <c r="F1178" s="11"/>
      <c r="G1178" s="6"/>
      <c r="H1178" s="10"/>
    </row>
    <row r="1179" spans="1:8" x14ac:dyDescent="0.35">
      <c r="A1179" s="8"/>
      <c r="B1179" s="9"/>
      <c r="D1179" s="5" t="s">
        <v>44</v>
      </c>
      <c r="E1179" s="10"/>
      <c r="F1179" s="11"/>
      <c r="G1179" s="6"/>
      <c r="H1179" s="10"/>
    </row>
    <row r="1180" spans="1:8" x14ac:dyDescent="0.35">
      <c r="A1180" s="8"/>
      <c r="B1180" s="9"/>
      <c r="D1180" s="5" t="s">
        <v>44</v>
      </c>
      <c r="E1180" s="10"/>
      <c r="F1180" s="11"/>
      <c r="G1180" s="6"/>
      <c r="H1180" s="10"/>
    </row>
    <row r="1181" spans="1:8" x14ac:dyDescent="0.35">
      <c r="A1181" s="8"/>
      <c r="B1181" s="9"/>
      <c r="D1181" s="5" t="s">
        <v>44</v>
      </c>
      <c r="E1181" s="10"/>
      <c r="F1181" s="11"/>
      <c r="G1181" s="6"/>
      <c r="H1181" s="10"/>
    </row>
    <row r="1182" spans="1:8" x14ac:dyDescent="0.35">
      <c r="A1182" s="8"/>
      <c r="B1182" s="9"/>
      <c r="D1182" s="5" t="s">
        <v>44</v>
      </c>
      <c r="E1182" s="10"/>
      <c r="F1182" s="11"/>
      <c r="G1182" s="6"/>
      <c r="H1182" s="10"/>
    </row>
    <row r="1183" spans="1:8" x14ac:dyDescent="0.35">
      <c r="A1183" s="8"/>
      <c r="B1183" s="9"/>
      <c r="D1183" s="5" t="s">
        <v>44</v>
      </c>
      <c r="E1183" s="10"/>
      <c r="F1183" s="11"/>
      <c r="G1183" s="6"/>
      <c r="H1183" s="10"/>
    </row>
    <row r="1184" spans="1:8" x14ac:dyDescent="0.35">
      <c r="A1184" s="8"/>
      <c r="B1184" s="9"/>
      <c r="D1184" s="5" t="s">
        <v>44</v>
      </c>
      <c r="E1184" s="10"/>
      <c r="F1184" s="11"/>
      <c r="G1184" s="6"/>
      <c r="H1184" s="10"/>
    </row>
    <row r="1185" spans="1:8" x14ac:dyDescent="0.35">
      <c r="A1185" s="8"/>
      <c r="B1185" s="9"/>
      <c r="D1185" s="5" t="s">
        <v>44</v>
      </c>
      <c r="E1185" s="10"/>
      <c r="F1185" s="11"/>
      <c r="G1185" s="6"/>
      <c r="H1185" s="10"/>
    </row>
    <row r="1186" spans="1:8" x14ac:dyDescent="0.35">
      <c r="A1186" s="8"/>
      <c r="B1186" s="9"/>
      <c r="D1186" s="5" t="s">
        <v>44</v>
      </c>
      <c r="E1186" s="10"/>
      <c r="F1186" s="11"/>
      <c r="G1186" s="6"/>
      <c r="H1186" s="10"/>
    </row>
    <row r="1187" spans="1:8" x14ac:dyDescent="0.35">
      <c r="A1187" s="8"/>
      <c r="B1187" s="9"/>
      <c r="D1187" s="5" t="s">
        <v>44</v>
      </c>
      <c r="E1187" s="10"/>
      <c r="F1187" s="11"/>
      <c r="G1187" s="6"/>
      <c r="H1187" s="10"/>
    </row>
    <row r="1188" spans="1:8" x14ac:dyDescent="0.35">
      <c r="A1188" s="8"/>
      <c r="B1188" s="9"/>
      <c r="D1188" s="5" t="s">
        <v>44</v>
      </c>
      <c r="E1188" s="10"/>
      <c r="F1188" s="11"/>
      <c r="G1188" s="6"/>
      <c r="H1188" s="10"/>
    </row>
    <row r="1189" spans="1:8" x14ac:dyDescent="0.35">
      <c r="A1189" s="8"/>
      <c r="B1189" s="9"/>
      <c r="D1189" s="5" t="s">
        <v>44</v>
      </c>
      <c r="E1189" s="10"/>
      <c r="F1189" s="11"/>
      <c r="G1189" s="6"/>
      <c r="H1189" s="10"/>
    </row>
    <row r="1190" spans="1:8" x14ac:dyDescent="0.35">
      <c r="A1190" s="8"/>
      <c r="B1190" s="9"/>
      <c r="D1190" s="5" t="s">
        <v>44</v>
      </c>
      <c r="E1190" s="10"/>
      <c r="F1190" s="11"/>
      <c r="G1190" s="6"/>
      <c r="H1190" s="10"/>
    </row>
    <row r="1191" spans="1:8" x14ac:dyDescent="0.35">
      <c r="A1191" s="8"/>
      <c r="B1191" s="9"/>
      <c r="D1191" s="5" t="s">
        <v>44</v>
      </c>
      <c r="E1191" s="10"/>
      <c r="F1191" s="11"/>
      <c r="G1191" s="6"/>
      <c r="H1191" s="10"/>
    </row>
    <row r="1192" spans="1:8" x14ac:dyDescent="0.35">
      <c r="A1192" s="8"/>
      <c r="B1192" s="9"/>
      <c r="D1192" s="5" t="s">
        <v>44</v>
      </c>
      <c r="E1192" s="10"/>
      <c r="F1192" s="11"/>
      <c r="G1192" s="6"/>
      <c r="H1192" s="10"/>
    </row>
    <row r="1193" spans="1:8" x14ac:dyDescent="0.35">
      <c r="A1193" s="8"/>
      <c r="B1193" s="9"/>
      <c r="D1193" s="5" t="s">
        <v>44</v>
      </c>
      <c r="E1193" s="10"/>
      <c r="F1193" s="11"/>
      <c r="G1193" s="6"/>
      <c r="H1193" s="10"/>
    </row>
    <row r="1194" spans="1:8" x14ac:dyDescent="0.35">
      <c r="A1194" s="8"/>
      <c r="B1194" s="9"/>
      <c r="D1194" s="5" t="s">
        <v>44</v>
      </c>
      <c r="E1194" s="10"/>
      <c r="F1194" s="11"/>
      <c r="G1194" s="6"/>
      <c r="H1194" s="10"/>
    </row>
    <row r="1195" spans="1:8" x14ac:dyDescent="0.35">
      <c r="A1195" s="8"/>
      <c r="B1195" s="9"/>
      <c r="D1195" s="5" t="s">
        <v>44</v>
      </c>
      <c r="E1195" s="10"/>
      <c r="F1195" s="11"/>
      <c r="G1195" s="6"/>
      <c r="H1195" s="10"/>
    </row>
    <row r="1196" spans="1:8" x14ac:dyDescent="0.35">
      <c r="A1196" s="8"/>
      <c r="B1196" s="9"/>
      <c r="D1196" s="5" t="s">
        <v>44</v>
      </c>
      <c r="E1196" s="10"/>
      <c r="F1196" s="11"/>
      <c r="G1196" s="6"/>
      <c r="H1196" s="10"/>
    </row>
    <row r="1197" spans="1:8" x14ac:dyDescent="0.35">
      <c r="A1197" s="8"/>
      <c r="B1197" s="9"/>
      <c r="D1197" s="5" t="s">
        <v>44</v>
      </c>
      <c r="E1197" s="10"/>
      <c r="F1197" s="11"/>
      <c r="G1197" s="6"/>
      <c r="H1197" s="10"/>
    </row>
    <row r="1198" spans="1:8" x14ac:dyDescent="0.35">
      <c r="A1198" s="8"/>
      <c r="B1198" s="9"/>
      <c r="D1198" s="5" t="s">
        <v>44</v>
      </c>
      <c r="E1198" s="10"/>
      <c r="F1198" s="11"/>
      <c r="G1198" s="6"/>
      <c r="H1198" s="10"/>
    </row>
    <row r="1199" spans="1:8" x14ac:dyDescent="0.35">
      <c r="A1199" s="8"/>
      <c r="B1199" s="9"/>
      <c r="D1199" s="5" t="s">
        <v>44</v>
      </c>
      <c r="E1199" s="10"/>
      <c r="F1199" s="11"/>
      <c r="G1199" s="6"/>
      <c r="H1199" s="10"/>
    </row>
    <row r="1200" spans="1:8" x14ac:dyDescent="0.35">
      <c r="A1200" s="8"/>
      <c r="B1200" s="9"/>
      <c r="D1200" s="5" t="s">
        <v>44</v>
      </c>
      <c r="E1200" s="10"/>
      <c r="F1200" s="11"/>
      <c r="G1200" s="6"/>
      <c r="H1200" s="10"/>
    </row>
    <row r="1201" spans="1:8" x14ac:dyDescent="0.35">
      <c r="A1201" s="8"/>
      <c r="B1201" s="9"/>
      <c r="D1201" s="5" t="s">
        <v>44</v>
      </c>
      <c r="E1201" s="10"/>
      <c r="F1201" s="11"/>
      <c r="G1201" s="6"/>
      <c r="H1201" s="10"/>
    </row>
    <row r="1202" spans="1:8" x14ac:dyDescent="0.35">
      <c r="A1202" s="8"/>
      <c r="B1202" s="9"/>
      <c r="D1202" s="5" t="s">
        <v>44</v>
      </c>
      <c r="E1202" s="10"/>
      <c r="F1202" s="11"/>
      <c r="G1202" s="6"/>
      <c r="H1202" s="10"/>
    </row>
    <row r="1203" spans="1:8" x14ac:dyDescent="0.35">
      <c r="A1203" s="8"/>
      <c r="B1203" s="9"/>
      <c r="D1203" s="5" t="s">
        <v>44</v>
      </c>
      <c r="E1203" s="10"/>
      <c r="F1203" s="11"/>
      <c r="G1203" s="6"/>
      <c r="H1203" s="10"/>
    </row>
    <row r="1204" spans="1:8" x14ac:dyDescent="0.35">
      <c r="A1204" s="8"/>
      <c r="B1204" s="9"/>
      <c r="D1204" s="5" t="s">
        <v>44</v>
      </c>
      <c r="E1204" s="10"/>
      <c r="F1204" s="11"/>
      <c r="G1204" s="6"/>
      <c r="H1204" s="10"/>
    </row>
    <row r="1205" spans="1:8" x14ac:dyDescent="0.35">
      <c r="A1205" s="8"/>
      <c r="B1205" s="9"/>
      <c r="D1205" s="5" t="s">
        <v>44</v>
      </c>
      <c r="E1205" s="10"/>
      <c r="F1205" s="11"/>
      <c r="G1205" s="6"/>
      <c r="H1205" s="10"/>
    </row>
    <row r="1206" spans="1:8" x14ac:dyDescent="0.35">
      <c r="A1206" s="8"/>
      <c r="B1206" s="9"/>
      <c r="D1206" s="5" t="s">
        <v>44</v>
      </c>
      <c r="E1206" s="10"/>
      <c r="F1206" s="11"/>
      <c r="G1206" s="6"/>
      <c r="H1206" s="10"/>
    </row>
    <row r="1207" spans="1:8" x14ac:dyDescent="0.35">
      <c r="A1207" s="8"/>
      <c r="B1207" s="9"/>
      <c r="D1207" s="5" t="s">
        <v>44</v>
      </c>
      <c r="E1207" s="10"/>
      <c r="F1207" s="11"/>
      <c r="G1207" s="6"/>
      <c r="H1207" s="10"/>
    </row>
    <row r="1208" spans="1:8" x14ac:dyDescent="0.35">
      <c r="A1208" s="8"/>
      <c r="B1208" s="9"/>
      <c r="D1208" s="5" t="s">
        <v>44</v>
      </c>
      <c r="E1208" s="10"/>
      <c r="F1208" s="11"/>
      <c r="G1208" s="6"/>
      <c r="H1208" s="10"/>
    </row>
    <row r="1209" spans="1:8" x14ac:dyDescent="0.35">
      <c r="A1209" s="8"/>
      <c r="B1209" s="9"/>
      <c r="D1209" s="5" t="s">
        <v>44</v>
      </c>
      <c r="E1209" s="10"/>
      <c r="F1209" s="11"/>
      <c r="G1209" s="6"/>
      <c r="H1209" s="10"/>
    </row>
    <row r="1210" spans="1:8" x14ac:dyDescent="0.35">
      <c r="A1210" s="8"/>
      <c r="B1210" s="9"/>
      <c r="D1210" s="5" t="s">
        <v>44</v>
      </c>
      <c r="E1210" s="10"/>
      <c r="F1210" s="11"/>
      <c r="G1210" s="6"/>
      <c r="H1210" s="10"/>
    </row>
    <row r="1211" spans="1:8" x14ac:dyDescent="0.35">
      <c r="A1211" s="8"/>
      <c r="B1211" s="9"/>
      <c r="D1211" s="5" t="s">
        <v>44</v>
      </c>
      <c r="E1211" s="10"/>
      <c r="F1211" s="11"/>
      <c r="G1211" s="6"/>
      <c r="H1211" s="10"/>
    </row>
    <row r="1212" spans="1:8" x14ac:dyDescent="0.35">
      <c r="A1212" s="8"/>
      <c r="B1212" s="9"/>
      <c r="D1212" s="5" t="s">
        <v>44</v>
      </c>
      <c r="E1212" s="10"/>
      <c r="F1212" s="11"/>
      <c r="G1212" s="6"/>
      <c r="H1212" s="10"/>
    </row>
    <row r="1213" spans="1:8" x14ac:dyDescent="0.35">
      <c r="A1213" s="8"/>
      <c r="B1213" s="9"/>
      <c r="D1213" s="5" t="s">
        <v>44</v>
      </c>
      <c r="E1213" s="10"/>
      <c r="F1213" s="11"/>
      <c r="G1213" s="6"/>
      <c r="H1213" s="10"/>
    </row>
    <row r="1214" spans="1:8" x14ac:dyDescent="0.35">
      <c r="A1214" s="8"/>
      <c r="B1214" s="9"/>
      <c r="D1214" s="5" t="s">
        <v>44</v>
      </c>
      <c r="E1214" s="10"/>
      <c r="F1214" s="11"/>
      <c r="G1214" s="6"/>
      <c r="H1214" s="10"/>
    </row>
    <row r="1215" spans="1:8" x14ac:dyDescent="0.35">
      <c r="A1215" s="8"/>
      <c r="B1215" s="9"/>
      <c r="D1215" s="5" t="s">
        <v>44</v>
      </c>
      <c r="E1215" s="10"/>
      <c r="F1215" s="11"/>
      <c r="G1215" s="6"/>
      <c r="H1215" s="10"/>
    </row>
    <row r="1216" spans="1:8" x14ac:dyDescent="0.35">
      <c r="A1216" s="8"/>
      <c r="B1216" s="9"/>
      <c r="D1216" s="5" t="s">
        <v>44</v>
      </c>
      <c r="E1216" s="10"/>
      <c r="F1216" s="11"/>
      <c r="G1216" s="6"/>
      <c r="H1216" s="10"/>
    </row>
    <row r="1217" spans="1:8" x14ac:dyDescent="0.35">
      <c r="A1217" s="8"/>
      <c r="B1217" s="9"/>
      <c r="D1217" s="5" t="s">
        <v>44</v>
      </c>
      <c r="E1217" s="10"/>
      <c r="F1217" s="11"/>
      <c r="G1217" s="6"/>
      <c r="H1217" s="10"/>
    </row>
    <row r="1218" spans="1:8" x14ac:dyDescent="0.35">
      <c r="A1218" s="8"/>
      <c r="B1218" s="9"/>
      <c r="D1218" s="5" t="s">
        <v>44</v>
      </c>
      <c r="E1218" s="10"/>
      <c r="F1218" s="11"/>
      <c r="G1218" s="6"/>
      <c r="H1218" s="10"/>
    </row>
    <row r="1219" spans="1:8" x14ac:dyDescent="0.35">
      <c r="A1219" s="8"/>
      <c r="B1219" s="9"/>
      <c r="D1219" s="5" t="s">
        <v>44</v>
      </c>
      <c r="E1219" s="10"/>
      <c r="F1219" s="11"/>
      <c r="G1219" s="6"/>
      <c r="H1219" s="10"/>
    </row>
    <row r="1220" spans="1:8" x14ac:dyDescent="0.35">
      <c r="A1220" s="8"/>
      <c r="B1220" s="9"/>
      <c r="D1220" s="5" t="s">
        <v>44</v>
      </c>
      <c r="E1220" s="10"/>
      <c r="F1220" s="11"/>
      <c r="G1220" s="6"/>
      <c r="H1220" s="10"/>
    </row>
    <row r="1221" spans="1:8" x14ac:dyDescent="0.35">
      <c r="A1221" s="8"/>
      <c r="B1221" s="9"/>
      <c r="D1221" s="5" t="s">
        <v>44</v>
      </c>
      <c r="E1221" s="10"/>
      <c r="F1221" s="11"/>
      <c r="G1221" s="6"/>
      <c r="H1221" s="10"/>
    </row>
    <row r="1222" spans="1:8" x14ac:dyDescent="0.35">
      <c r="A1222" s="8"/>
      <c r="B1222" s="9"/>
      <c r="D1222" s="5" t="s">
        <v>44</v>
      </c>
      <c r="E1222" s="10"/>
      <c r="F1222" s="11"/>
      <c r="G1222" s="6"/>
      <c r="H1222" s="10"/>
    </row>
    <row r="1223" spans="1:8" x14ac:dyDescent="0.35">
      <c r="A1223" s="8"/>
      <c r="B1223" s="9"/>
      <c r="D1223" s="5" t="s">
        <v>44</v>
      </c>
      <c r="E1223" s="10"/>
      <c r="F1223" s="11"/>
      <c r="G1223" s="6"/>
      <c r="H1223" s="10"/>
    </row>
    <row r="1224" spans="1:8" x14ac:dyDescent="0.35">
      <c r="A1224" s="8"/>
      <c r="B1224" s="9"/>
      <c r="D1224" s="5" t="s">
        <v>44</v>
      </c>
      <c r="E1224" s="10"/>
      <c r="F1224" s="11"/>
      <c r="G1224" s="6"/>
      <c r="H1224" s="10"/>
    </row>
    <row r="1225" spans="1:8" x14ac:dyDescent="0.35">
      <c r="A1225" s="8"/>
      <c r="B1225" s="9"/>
      <c r="D1225" s="5" t="s">
        <v>44</v>
      </c>
      <c r="E1225" s="10"/>
      <c r="F1225" s="11"/>
      <c r="G1225" s="6"/>
      <c r="H1225" s="10"/>
    </row>
    <row r="1226" spans="1:8" x14ac:dyDescent="0.35">
      <c r="A1226" s="8"/>
      <c r="B1226" s="9"/>
      <c r="D1226" s="5" t="s">
        <v>44</v>
      </c>
      <c r="E1226" s="10"/>
      <c r="F1226" s="11"/>
      <c r="G1226" s="6"/>
      <c r="H1226" s="10"/>
    </row>
    <row r="1227" spans="1:8" x14ac:dyDescent="0.35">
      <c r="A1227" s="8"/>
      <c r="B1227" s="9"/>
      <c r="D1227" s="5" t="s">
        <v>44</v>
      </c>
      <c r="E1227" s="10"/>
      <c r="F1227" s="11"/>
      <c r="G1227" s="6"/>
      <c r="H1227" s="10"/>
    </row>
    <row r="1228" spans="1:8" x14ac:dyDescent="0.35">
      <c r="A1228" s="8"/>
      <c r="B1228" s="9"/>
      <c r="D1228" s="5" t="s">
        <v>44</v>
      </c>
      <c r="E1228" s="10"/>
      <c r="F1228" s="11"/>
      <c r="G1228" s="6"/>
      <c r="H1228" s="10"/>
    </row>
    <row r="1229" spans="1:8" x14ac:dyDescent="0.35">
      <c r="A1229" s="8"/>
      <c r="B1229" s="9"/>
      <c r="D1229" s="5" t="s">
        <v>44</v>
      </c>
      <c r="E1229" s="10"/>
      <c r="F1229" s="11"/>
      <c r="G1229" s="6"/>
      <c r="H1229" s="10"/>
    </row>
    <row r="1230" spans="1:8" x14ac:dyDescent="0.35">
      <c r="A1230" s="8"/>
      <c r="B1230" s="9"/>
      <c r="D1230" s="5" t="s">
        <v>44</v>
      </c>
      <c r="E1230" s="10"/>
      <c r="F1230" s="11"/>
      <c r="G1230" s="6"/>
      <c r="H1230" s="10"/>
    </row>
    <row r="1231" spans="1:8" x14ac:dyDescent="0.35">
      <c r="A1231" s="8"/>
      <c r="B1231" s="9"/>
      <c r="D1231" s="5" t="s">
        <v>44</v>
      </c>
      <c r="E1231" s="10"/>
      <c r="F1231" s="11"/>
      <c r="G1231" s="6"/>
      <c r="H1231" s="10"/>
    </row>
    <row r="1232" spans="1:8" x14ac:dyDescent="0.35">
      <c r="A1232" s="8"/>
      <c r="B1232" s="9"/>
      <c r="D1232" s="5" t="s">
        <v>44</v>
      </c>
      <c r="E1232" s="10"/>
      <c r="F1232" s="11"/>
      <c r="G1232" s="6"/>
      <c r="H1232" s="10"/>
    </row>
    <row r="1233" spans="1:8" x14ac:dyDescent="0.35">
      <c r="A1233" s="8"/>
      <c r="B1233" s="9"/>
      <c r="D1233" s="5" t="s">
        <v>44</v>
      </c>
      <c r="E1233" s="10"/>
      <c r="F1233" s="11"/>
      <c r="G1233" s="6"/>
      <c r="H1233" s="10"/>
    </row>
    <row r="1234" spans="1:8" x14ac:dyDescent="0.35">
      <c r="A1234" s="8"/>
      <c r="B1234" s="9"/>
      <c r="D1234" s="5" t="s">
        <v>44</v>
      </c>
      <c r="E1234" s="10"/>
      <c r="F1234" s="11"/>
      <c r="G1234" s="6"/>
      <c r="H1234" s="10"/>
    </row>
    <row r="1235" spans="1:8" x14ac:dyDescent="0.35">
      <c r="A1235" s="8"/>
      <c r="B1235" s="9"/>
      <c r="D1235" s="5" t="s">
        <v>44</v>
      </c>
      <c r="E1235" s="10"/>
      <c r="F1235" s="11"/>
      <c r="G1235" s="6"/>
      <c r="H1235" s="10"/>
    </row>
    <row r="1236" spans="1:8" x14ac:dyDescent="0.35">
      <c r="A1236" s="8"/>
      <c r="B1236" s="9"/>
      <c r="D1236" s="5" t="s">
        <v>44</v>
      </c>
      <c r="E1236" s="10"/>
      <c r="F1236" s="11"/>
      <c r="G1236" s="6"/>
      <c r="H1236" s="10"/>
    </row>
    <row r="1237" spans="1:8" x14ac:dyDescent="0.35">
      <c r="A1237" s="8"/>
      <c r="B1237" s="9"/>
      <c r="D1237" s="5" t="s">
        <v>44</v>
      </c>
      <c r="E1237" s="10"/>
      <c r="F1237" s="11"/>
      <c r="G1237" s="6"/>
      <c r="H1237" s="10"/>
    </row>
    <row r="1238" spans="1:8" x14ac:dyDescent="0.35">
      <c r="A1238" s="8"/>
      <c r="B1238" s="9"/>
      <c r="D1238" s="5" t="s">
        <v>44</v>
      </c>
      <c r="E1238" s="10"/>
      <c r="F1238" s="11"/>
      <c r="G1238" s="6"/>
      <c r="H1238" s="10"/>
    </row>
    <row r="1239" spans="1:8" x14ac:dyDescent="0.35">
      <c r="A1239" s="8"/>
      <c r="B1239" s="9"/>
      <c r="D1239" s="5" t="s">
        <v>44</v>
      </c>
      <c r="E1239" s="10"/>
      <c r="F1239" s="11"/>
      <c r="G1239" s="6"/>
      <c r="H1239" s="10"/>
    </row>
    <row r="1240" spans="1:8" x14ac:dyDescent="0.35">
      <c r="A1240" s="8"/>
      <c r="B1240" s="9"/>
      <c r="D1240" s="5" t="s">
        <v>44</v>
      </c>
      <c r="E1240" s="10"/>
      <c r="F1240" s="11"/>
      <c r="G1240" s="6"/>
      <c r="H1240" s="10"/>
    </row>
    <row r="1241" spans="1:8" x14ac:dyDescent="0.35">
      <c r="A1241" s="8"/>
      <c r="B1241" s="9"/>
      <c r="D1241" s="5" t="s">
        <v>44</v>
      </c>
      <c r="E1241" s="10"/>
      <c r="F1241" s="11"/>
      <c r="G1241" s="6"/>
      <c r="H1241" s="10"/>
    </row>
    <row r="1242" spans="1:8" x14ac:dyDescent="0.35">
      <c r="A1242" s="8"/>
      <c r="B1242" s="9"/>
      <c r="D1242" s="5" t="s">
        <v>44</v>
      </c>
      <c r="E1242" s="10"/>
      <c r="F1242" s="11"/>
      <c r="G1242" s="6"/>
      <c r="H1242" s="10"/>
    </row>
    <row r="1243" spans="1:8" x14ac:dyDescent="0.35">
      <c r="A1243" s="8"/>
      <c r="B1243" s="9"/>
      <c r="D1243" s="5" t="s">
        <v>44</v>
      </c>
      <c r="E1243" s="10"/>
      <c r="F1243" s="11"/>
      <c r="G1243" s="6"/>
      <c r="H1243" s="10"/>
    </row>
    <row r="1244" spans="1:8" x14ac:dyDescent="0.35">
      <c r="A1244" s="8"/>
      <c r="B1244" s="9"/>
      <c r="D1244" s="5" t="s">
        <v>44</v>
      </c>
      <c r="E1244" s="10"/>
      <c r="F1244" s="11"/>
      <c r="G1244" s="6"/>
      <c r="H1244" s="10"/>
    </row>
    <row r="1245" spans="1:8" x14ac:dyDescent="0.35">
      <c r="A1245" s="8"/>
      <c r="B1245" s="9"/>
      <c r="D1245" s="5" t="s">
        <v>44</v>
      </c>
      <c r="E1245" s="10"/>
      <c r="F1245" s="11"/>
      <c r="G1245" s="6"/>
      <c r="H1245" s="10"/>
    </row>
    <row r="1246" spans="1:8" x14ac:dyDescent="0.35">
      <c r="A1246" s="8"/>
      <c r="B1246" s="9"/>
      <c r="D1246" s="5" t="s">
        <v>44</v>
      </c>
      <c r="E1246" s="10"/>
      <c r="F1246" s="11"/>
      <c r="G1246" s="6"/>
      <c r="H1246" s="10"/>
    </row>
    <row r="1247" spans="1:8" x14ac:dyDescent="0.35">
      <c r="A1247" s="8"/>
      <c r="B1247" s="9"/>
      <c r="D1247" s="5" t="s">
        <v>44</v>
      </c>
      <c r="E1247" s="10"/>
      <c r="F1247" s="11"/>
      <c r="G1247" s="6"/>
      <c r="H1247" s="10"/>
    </row>
    <row r="1248" spans="1:8" x14ac:dyDescent="0.35">
      <c r="A1248" s="8"/>
      <c r="B1248" s="9"/>
      <c r="D1248" s="5" t="s">
        <v>44</v>
      </c>
      <c r="E1248" s="10"/>
      <c r="F1248" s="11"/>
      <c r="G1248" s="6"/>
      <c r="H1248" s="10"/>
    </row>
    <row r="1249" spans="1:8" x14ac:dyDescent="0.35">
      <c r="A1249" s="8"/>
      <c r="B1249" s="9"/>
      <c r="D1249" s="5" t="s">
        <v>44</v>
      </c>
      <c r="E1249" s="10"/>
      <c r="F1249" s="11"/>
      <c r="G1249" s="6"/>
      <c r="H1249" s="10"/>
    </row>
    <row r="1250" spans="1:8" x14ac:dyDescent="0.35">
      <c r="A1250" s="8"/>
      <c r="B1250" s="9"/>
      <c r="D1250" s="5" t="s">
        <v>44</v>
      </c>
      <c r="E1250" s="10"/>
      <c r="F1250" s="11"/>
      <c r="G1250" s="6"/>
      <c r="H1250" s="10"/>
    </row>
    <row r="1251" spans="1:8" x14ac:dyDescent="0.35">
      <c r="A1251" s="8"/>
      <c r="B1251" s="9"/>
      <c r="D1251" s="5" t="s">
        <v>44</v>
      </c>
      <c r="E1251" s="10"/>
      <c r="F1251" s="11"/>
      <c r="G1251" s="6"/>
      <c r="H1251" s="10"/>
    </row>
    <row r="1252" spans="1:8" x14ac:dyDescent="0.35">
      <c r="A1252" s="8"/>
      <c r="B1252" s="9"/>
      <c r="D1252" s="5" t="s">
        <v>44</v>
      </c>
      <c r="E1252" s="10"/>
      <c r="F1252" s="11"/>
      <c r="G1252" s="6"/>
      <c r="H1252" s="10"/>
    </row>
    <row r="1253" spans="1:8" x14ac:dyDescent="0.35">
      <c r="A1253" s="8"/>
      <c r="B1253" s="9"/>
      <c r="D1253" s="5" t="s">
        <v>44</v>
      </c>
      <c r="E1253" s="10"/>
      <c r="F1253" s="11"/>
      <c r="G1253" s="6"/>
      <c r="H1253" s="10"/>
    </row>
    <row r="1254" spans="1:8" x14ac:dyDescent="0.35">
      <c r="A1254" s="8"/>
      <c r="B1254" s="9"/>
      <c r="D1254" s="5" t="s">
        <v>44</v>
      </c>
      <c r="E1254" s="10"/>
      <c r="F1254" s="11"/>
      <c r="G1254" s="6"/>
      <c r="H1254" s="10"/>
    </row>
    <row r="1255" spans="1:8" x14ac:dyDescent="0.35">
      <c r="A1255" s="8"/>
      <c r="B1255" s="9"/>
      <c r="D1255" s="5" t="s">
        <v>44</v>
      </c>
      <c r="E1255" s="10"/>
      <c r="F1255" s="11"/>
      <c r="G1255" s="6"/>
      <c r="H1255" s="10"/>
    </row>
    <row r="1256" spans="1:8" x14ac:dyDescent="0.35">
      <c r="A1256" s="8"/>
      <c r="B1256" s="9"/>
      <c r="D1256" s="5" t="s">
        <v>44</v>
      </c>
      <c r="E1256" s="10"/>
      <c r="F1256" s="11"/>
      <c r="G1256" s="6"/>
      <c r="H1256" s="10"/>
    </row>
    <row r="1257" spans="1:8" x14ac:dyDescent="0.35">
      <c r="A1257" s="8"/>
      <c r="B1257" s="9"/>
      <c r="D1257" s="5" t="s">
        <v>44</v>
      </c>
      <c r="E1257" s="10"/>
      <c r="F1257" s="11"/>
      <c r="G1257" s="6"/>
      <c r="H1257" s="10"/>
    </row>
  </sheetData>
  <dataValidations count="2">
    <dataValidation type="list" sqref="F2:F1153" xr:uid="{00000000-0002-0000-0200-000000000000}">
      <formula1>"Auto,No,Edited"</formula1>
    </dataValidation>
    <dataValidation type="list" allowBlank="1" sqref="F2:F1257" xr:uid="{00000000-0002-0000-0200-000001000000}">
      <formula1>"Auto,No,Edited"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9"/>
  <sheetViews>
    <sheetView showGridLines="0" workbookViewId="0">
      <pane ySplit="1" topLeftCell="A2" activePane="bottomLeft" state="frozen"/>
      <selection pane="bottomLeft" activeCell="C11" sqref="C11"/>
    </sheetView>
  </sheetViews>
  <sheetFormatPr defaultRowHeight="14.5" x14ac:dyDescent="0.35"/>
  <cols>
    <col min="1" max="1" width="13" customWidth="1"/>
    <col min="2" max="2" width="10.453125" bestFit="1" customWidth="1"/>
    <col min="3" max="3" width="24" customWidth="1"/>
    <col min="4" max="5" width="14" customWidth="1"/>
    <col min="6" max="6" width="30" customWidth="1"/>
  </cols>
  <sheetData>
    <row r="1" spans="1:6" x14ac:dyDescent="0.35">
      <c r="A1" s="7" t="s">
        <v>36</v>
      </c>
      <c r="B1" s="7" t="s">
        <v>37</v>
      </c>
      <c r="C1" s="7" t="s">
        <v>13</v>
      </c>
      <c r="D1" s="7" t="s">
        <v>38</v>
      </c>
      <c r="E1" s="7" t="s">
        <v>46</v>
      </c>
      <c r="F1" s="7" t="s">
        <v>43</v>
      </c>
    </row>
    <row r="2" spans="1:6" x14ac:dyDescent="0.35">
      <c r="A2" s="26">
        <v>45931</v>
      </c>
      <c r="B2" s="27">
        <f t="shared" ref="B2:B49" si="0">IF(A2="","",DATE(YEAR(A2),MONTH(A2),1))</f>
        <v>45931</v>
      </c>
      <c r="C2" s="13" t="s">
        <v>20</v>
      </c>
      <c r="D2" s="13" t="s">
        <v>47</v>
      </c>
      <c r="E2" s="6">
        <v>690.4</v>
      </c>
      <c r="F2" s="2" t="s">
        <v>48</v>
      </c>
    </row>
    <row r="3" spans="1:6" x14ac:dyDescent="0.35">
      <c r="A3" s="26">
        <v>45931</v>
      </c>
      <c r="B3" s="27">
        <f t="shared" si="0"/>
        <v>45931</v>
      </c>
      <c r="C3" s="13" t="s">
        <v>25</v>
      </c>
      <c r="D3" s="13" t="s">
        <v>47</v>
      </c>
      <c r="E3" s="6">
        <v>101</v>
      </c>
      <c r="F3" s="2" t="s">
        <v>48</v>
      </c>
    </row>
    <row r="4" spans="1:6" x14ac:dyDescent="0.35">
      <c r="A4" s="26">
        <v>45931</v>
      </c>
      <c r="B4" s="27">
        <f t="shared" si="0"/>
        <v>45931</v>
      </c>
      <c r="C4" s="13" t="s">
        <v>26</v>
      </c>
      <c r="D4" s="13" t="s">
        <v>47</v>
      </c>
      <c r="E4" s="6">
        <v>70</v>
      </c>
      <c r="F4" s="2" t="s">
        <v>48</v>
      </c>
    </row>
    <row r="5" spans="1:6" x14ac:dyDescent="0.35">
      <c r="A5" s="26">
        <v>45931</v>
      </c>
      <c r="B5" s="27">
        <f t="shared" si="0"/>
        <v>45931</v>
      </c>
      <c r="C5" s="13" t="s">
        <v>29</v>
      </c>
      <c r="D5" s="13" t="s">
        <v>47</v>
      </c>
      <c r="E5" s="6">
        <v>52</v>
      </c>
      <c r="F5" s="2" t="s">
        <v>48</v>
      </c>
    </row>
    <row r="6" spans="1:6" x14ac:dyDescent="0.35">
      <c r="A6" s="26">
        <v>45931</v>
      </c>
      <c r="B6" s="27">
        <f t="shared" si="0"/>
        <v>45931</v>
      </c>
      <c r="C6" s="13" t="s">
        <v>31</v>
      </c>
      <c r="D6" s="13" t="s">
        <v>47</v>
      </c>
      <c r="E6" s="6">
        <v>54</v>
      </c>
      <c r="F6" s="2" t="s">
        <v>48</v>
      </c>
    </row>
    <row r="7" spans="1:6" x14ac:dyDescent="0.35">
      <c r="A7" s="26">
        <v>45931</v>
      </c>
      <c r="B7" s="27">
        <f t="shared" si="0"/>
        <v>45931</v>
      </c>
      <c r="C7" s="13" t="s">
        <v>32</v>
      </c>
      <c r="D7" s="13" t="s">
        <v>47</v>
      </c>
      <c r="E7" s="6">
        <v>196.99</v>
      </c>
      <c r="F7" s="2" t="s">
        <v>48</v>
      </c>
    </row>
    <row r="8" spans="1:6" x14ac:dyDescent="0.35">
      <c r="A8" s="26">
        <v>45931</v>
      </c>
      <c r="B8" s="27">
        <f t="shared" si="0"/>
        <v>45931</v>
      </c>
      <c r="C8" s="13" t="s">
        <v>33</v>
      </c>
      <c r="D8" s="13" t="s">
        <v>47</v>
      </c>
      <c r="E8" s="6">
        <v>44</v>
      </c>
      <c r="F8" s="2" t="s">
        <v>48</v>
      </c>
    </row>
    <row r="9" spans="1:6" x14ac:dyDescent="0.35">
      <c r="A9" s="26">
        <v>45931</v>
      </c>
      <c r="B9" s="27">
        <f t="shared" si="0"/>
        <v>45931</v>
      </c>
      <c r="C9" s="13" t="s">
        <v>34</v>
      </c>
      <c r="D9" s="13" t="s">
        <v>47</v>
      </c>
      <c r="E9" s="6">
        <v>0</v>
      </c>
      <c r="F9" s="2" t="s">
        <v>48</v>
      </c>
    </row>
    <row r="10" spans="1:6" x14ac:dyDescent="0.35">
      <c r="A10" s="26">
        <v>45962</v>
      </c>
      <c r="B10" s="27">
        <f t="shared" si="0"/>
        <v>45962</v>
      </c>
      <c r="C10" s="13" t="s">
        <v>20</v>
      </c>
      <c r="D10" s="13" t="s">
        <v>47</v>
      </c>
      <c r="E10" s="6">
        <v>486</v>
      </c>
      <c r="F10" s="2" t="s">
        <v>48</v>
      </c>
    </row>
    <row r="11" spans="1:6" x14ac:dyDescent="0.35">
      <c r="A11" s="26">
        <v>45962</v>
      </c>
      <c r="B11" s="27">
        <f t="shared" si="0"/>
        <v>45962</v>
      </c>
      <c r="C11" s="13" t="s">
        <v>25</v>
      </c>
      <c r="D11" s="13" t="s">
        <v>47</v>
      </c>
      <c r="E11" s="6">
        <v>0</v>
      </c>
      <c r="F11" s="2" t="s">
        <v>48</v>
      </c>
    </row>
    <row r="12" spans="1:6" x14ac:dyDescent="0.35">
      <c r="A12" s="26">
        <v>45962</v>
      </c>
      <c r="B12" s="27">
        <f t="shared" si="0"/>
        <v>45962</v>
      </c>
      <c r="C12" s="13" t="s">
        <v>26</v>
      </c>
      <c r="D12" s="13" t="s">
        <v>47</v>
      </c>
      <c r="E12" s="6">
        <v>70</v>
      </c>
      <c r="F12" s="2" t="s">
        <v>48</v>
      </c>
    </row>
    <row r="13" spans="1:6" x14ac:dyDescent="0.35">
      <c r="A13" s="26">
        <v>45962</v>
      </c>
      <c r="B13" s="27">
        <f t="shared" si="0"/>
        <v>45962</v>
      </c>
      <c r="C13" s="13" t="s">
        <v>29</v>
      </c>
      <c r="D13" s="13" t="s">
        <v>47</v>
      </c>
      <c r="E13" s="6">
        <v>52</v>
      </c>
      <c r="F13" s="2" t="s">
        <v>48</v>
      </c>
    </row>
    <row r="14" spans="1:6" x14ac:dyDescent="0.35">
      <c r="A14" s="26">
        <v>45962</v>
      </c>
      <c r="B14" s="27">
        <f t="shared" si="0"/>
        <v>45962</v>
      </c>
      <c r="C14" s="13" t="s">
        <v>31</v>
      </c>
      <c r="D14" s="13" t="s">
        <v>47</v>
      </c>
      <c r="E14" s="6">
        <v>54</v>
      </c>
      <c r="F14" s="2" t="s">
        <v>48</v>
      </c>
    </row>
    <row r="15" spans="1:6" x14ac:dyDescent="0.35">
      <c r="A15" s="26">
        <v>45962</v>
      </c>
      <c r="B15" s="27">
        <f t="shared" si="0"/>
        <v>45962</v>
      </c>
      <c r="C15" s="13" t="s">
        <v>32</v>
      </c>
      <c r="D15" s="13" t="s">
        <v>47</v>
      </c>
      <c r="E15" s="6">
        <v>96</v>
      </c>
      <c r="F15" s="2" t="s">
        <v>48</v>
      </c>
    </row>
    <row r="16" spans="1:6" x14ac:dyDescent="0.35">
      <c r="A16" s="26">
        <v>45962</v>
      </c>
      <c r="B16" s="27">
        <f t="shared" si="0"/>
        <v>45962</v>
      </c>
      <c r="C16" s="13" t="s">
        <v>33</v>
      </c>
      <c r="D16" s="13" t="s">
        <v>47</v>
      </c>
      <c r="E16" s="6">
        <v>44</v>
      </c>
      <c r="F16" s="2" t="s">
        <v>48</v>
      </c>
    </row>
    <row r="17" spans="1:6" x14ac:dyDescent="0.35">
      <c r="A17" s="26">
        <v>45962</v>
      </c>
      <c r="B17" s="27">
        <f t="shared" si="0"/>
        <v>45962</v>
      </c>
      <c r="C17" s="13" t="s">
        <v>34</v>
      </c>
      <c r="D17" s="13" t="s">
        <v>47</v>
      </c>
      <c r="E17" s="6">
        <v>0</v>
      </c>
      <c r="F17" s="2" t="s">
        <v>48</v>
      </c>
    </row>
    <row r="18" spans="1:6" x14ac:dyDescent="0.35">
      <c r="A18" s="26">
        <v>45992</v>
      </c>
      <c r="B18" s="27">
        <f t="shared" si="0"/>
        <v>45992</v>
      </c>
      <c r="C18" s="13" t="s">
        <v>20</v>
      </c>
      <c r="D18" s="13" t="s">
        <v>47</v>
      </c>
      <c r="E18" s="6">
        <v>486</v>
      </c>
      <c r="F18" s="2" t="s">
        <v>48</v>
      </c>
    </row>
    <row r="19" spans="1:6" x14ac:dyDescent="0.35">
      <c r="A19" s="26">
        <v>45992</v>
      </c>
      <c r="B19" s="27">
        <f t="shared" si="0"/>
        <v>45992</v>
      </c>
      <c r="C19" s="13" t="s">
        <v>25</v>
      </c>
      <c r="D19" s="13" t="s">
        <v>47</v>
      </c>
      <c r="E19" s="6">
        <v>0</v>
      </c>
      <c r="F19" s="2" t="s">
        <v>48</v>
      </c>
    </row>
    <row r="20" spans="1:6" x14ac:dyDescent="0.35">
      <c r="A20" s="26">
        <v>45992</v>
      </c>
      <c r="B20" s="27">
        <f t="shared" si="0"/>
        <v>45992</v>
      </c>
      <c r="C20" s="13" t="s">
        <v>26</v>
      </c>
      <c r="D20" s="13" t="s">
        <v>47</v>
      </c>
      <c r="E20" s="6">
        <v>70</v>
      </c>
      <c r="F20" s="2" t="s">
        <v>48</v>
      </c>
    </row>
    <row r="21" spans="1:6" x14ac:dyDescent="0.35">
      <c r="A21" s="26">
        <v>45992</v>
      </c>
      <c r="B21" s="27">
        <f t="shared" si="0"/>
        <v>45992</v>
      </c>
      <c r="C21" s="13" t="s">
        <v>29</v>
      </c>
      <c r="D21" s="13" t="s">
        <v>47</v>
      </c>
      <c r="E21" s="6">
        <v>52</v>
      </c>
      <c r="F21" s="2" t="s">
        <v>48</v>
      </c>
    </row>
    <row r="22" spans="1:6" x14ac:dyDescent="0.35">
      <c r="A22" s="26">
        <v>45992</v>
      </c>
      <c r="B22" s="27">
        <f t="shared" si="0"/>
        <v>45992</v>
      </c>
      <c r="C22" s="13" t="s">
        <v>31</v>
      </c>
      <c r="D22" s="13" t="s">
        <v>47</v>
      </c>
      <c r="E22" s="6">
        <v>54</v>
      </c>
      <c r="F22" s="2" t="s">
        <v>48</v>
      </c>
    </row>
    <row r="23" spans="1:6" x14ac:dyDescent="0.35">
      <c r="A23" s="26">
        <v>45992</v>
      </c>
      <c r="B23" s="27">
        <f t="shared" si="0"/>
        <v>45992</v>
      </c>
      <c r="C23" s="13" t="s">
        <v>32</v>
      </c>
      <c r="D23" s="13" t="s">
        <v>47</v>
      </c>
      <c r="E23" s="6">
        <v>96</v>
      </c>
      <c r="F23" s="2" t="s">
        <v>48</v>
      </c>
    </row>
    <row r="24" spans="1:6" x14ac:dyDescent="0.35">
      <c r="A24" s="26">
        <v>45992</v>
      </c>
      <c r="B24" s="27">
        <f t="shared" si="0"/>
        <v>45992</v>
      </c>
      <c r="C24" s="13" t="s">
        <v>33</v>
      </c>
      <c r="D24" s="13" t="s">
        <v>47</v>
      </c>
      <c r="E24" s="6">
        <v>44</v>
      </c>
      <c r="F24" s="2" t="s">
        <v>48</v>
      </c>
    </row>
    <row r="25" spans="1:6" x14ac:dyDescent="0.35">
      <c r="A25" s="26">
        <v>45992</v>
      </c>
      <c r="B25" s="27">
        <f t="shared" si="0"/>
        <v>45992</v>
      </c>
      <c r="C25" s="13" t="s">
        <v>34</v>
      </c>
      <c r="D25" s="13" t="s">
        <v>47</v>
      </c>
      <c r="E25" s="6">
        <v>0</v>
      </c>
      <c r="F25" s="2" t="s">
        <v>48</v>
      </c>
    </row>
    <row r="26" spans="1:6" x14ac:dyDescent="0.35">
      <c r="A26" s="26">
        <v>46023</v>
      </c>
      <c r="B26" s="27">
        <f t="shared" si="0"/>
        <v>46023</v>
      </c>
      <c r="C26" s="13" t="s">
        <v>20</v>
      </c>
      <c r="D26" s="13" t="s">
        <v>47</v>
      </c>
      <c r="E26" s="6">
        <v>486</v>
      </c>
      <c r="F26" s="2" t="s">
        <v>48</v>
      </c>
    </row>
    <row r="27" spans="1:6" x14ac:dyDescent="0.35">
      <c r="A27" s="26">
        <v>46023</v>
      </c>
      <c r="B27" s="27">
        <f t="shared" si="0"/>
        <v>46023</v>
      </c>
      <c r="C27" s="13" t="s">
        <v>25</v>
      </c>
      <c r="D27" s="13" t="s">
        <v>47</v>
      </c>
      <c r="E27" s="6">
        <v>0</v>
      </c>
      <c r="F27" s="2" t="s">
        <v>48</v>
      </c>
    </row>
    <row r="28" spans="1:6" x14ac:dyDescent="0.35">
      <c r="A28" s="26">
        <v>46023</v>
      </c>
      <c r="B28" s="27">
        <f t="shared" si="0"/>
        <v>46023</v>
      </c>
      <c r="C28" s="13" t="s">
        <v>26</v>
      </c>
      <c r="D28" s="13" t="s">
        <v>47</v>
      </c>
      <c r="E28" s="6">
        <v>70</v>
      </c>
      <c r="F28" s="2" t="s">
        <v>48</v>
      </c>
    </row>
    <row r="29" spans="1:6" x14ac:dyDescent="0.35">
      <c r="A29" s="26">
        <v>46023</v>
      </c>
      <c r="B29" s="27">
        <f t="shared" si="0"/>
        <v>46023</v>
      </c>
      <c r="C29" s="13" t="s">
        <v>29</v>
      </c>
      <c r="D29" s="13" t="s">
        <v>47</v>
      </c>
      <c r="E29" s="6">
        <v>52</v>
      </c>
      <c r="F29" s="2" t="s">
        <v>48</v>
      </c>
    </row>
    <row r="30" spans="1:6" x14ac:dyDescent="0.35">
      <c r="A30" s="26">
        <v>46023</v>
      </c>
      <c r="B30" s="27">
        <f t="shared" si="0"/>
        <v>46023</v>
      </c>
      <c r="C30" s="13" t="s">
        <v>31</v>
      </c>
      <c r="D30" s="13" t="s">
        <v>47</v>
      </c>
      <c r="E30" s="6">
        <v>54</v>
      </c>
      <c r="F30" s="2" t="s">
        <v>48</v>
      </c>
    </row>
    <row r="31" spans="1:6" x14ac:dyDescent="0.35">
      <c r="A31" s="26">
        <v>46023</v>
      </c>
      <c r="B31" s="27">
        <f t="shared" si="0"/>
        <v>46023</v>
      </c>
      <c r="C31" s="13" t="s">
        <v>32</v>
      </c>
      <c r="D31" s="13" t="s">
        <v>47</v>
      </c>
      <c r="E31" s="6">
        <v>96</v>
      </c>
      <c r="F31" s="2" t="s">
        <v>48</v>
      </c>
    </row>
    <row r="32" spans="1:6" x14ac:dyDescent="0.35">
      <c r="A32" s="26">
        <v>46023</v>
      </c>
      <c r="B32" s="27">
        <f t="shared" si="0"/>
        <v>46023</v>
      </c>
      <c r="C32" s="13" t="s">
        <v>33</v>
      </c>
      <c r="D32" s="13" t="s">
        <v>47</v>
      </c>
      <c r="E32" s="6">
        <v>44</v>
      </c>
      <c r="F32" s="2" t="s">
        <v>48</v>
      </c>
    </row>
    <row r="33" spans="1:6" x14ac:dyDescent="0.35">
      <c r="A33" s="26">
        <v>46023</v>
      </c>
      <c r="B33" s="27">
        <f t="shared" si="0"/>
        <v>46023</v>
      </c>
      <c r="C33" s="13" t="s">
        <v>34</v>
      </c>
      <c r="D33" s="13" t="s">
        <v>47</v>
      </c>
      <c r="E33" s="6">
        <v>0</v>
      </c>
      <c r="F33" s="2" t="s">
        <v>48</v>
      </c>
    </row>
    <row r="34" spans="1:6" x14ac:dyDescent="0.35">
      <c r="A34" s="26">
        <v>46054</v>
      </c>
      <c r="B34" s="27">
        <f t="shared" si="0"/>
        <v>46054</v>
      </c>
      <c r="C34" s="13" t="s">
        <v>20</v>
      </c>
      <c r="D34" s="13" t="s">
        <v>47</v>
      </c>
      <c r="E34" s="6">
        <v>486</v>
      </c>
      <c r="F34" s="2" t="s">
        <v>48</v>
      </c>
    </row>
    <row r="35" spans="1:6" x14ac:dyDescent="0.35">
      <c r="A35" s="26">
        <v>46054</v>
      </c>
      <c r="B35" s="27">
        <f t="shared" si="0"/>
        <v>46054</v>
      </c>
      <c r="C35" s="13" t="s">
        <v>25</v>
      </c>
      <c r="D35" s="13" t="s">
        <v>47</v>
      </c>
      <c r="E35" s="6">
        <v>0</v>
      </c>
      <c r="F35" s="2" t="s">
        <v>48</v>
      </c>
    </row>
    <row r="36" spans="1:6" x14ac:dyDescent="0.35">
      <c r="A36" s="26">
        <v>46054</v>
      </c>
      <c r="B36" s="27">
        <f t="shared" si="0"/>
        <v>46054</v>
      </c>
      <c r="C36" s="13" t="s">
        <v>26</v>
      </c>
      <c r="D36" s="13" t="s">
        <v>47</v>
      </c>
      <c r="E36" s="6">
        <v>70</v>
      </c>
      <c r="F36" s="2" t="s">
        <v>48</v>
      </c>
    </row>
    <row r="37" spans="1:6" x14ac:dyDescent="0.35">
      <c r="A37" s="26">
        <v>46054</v>
      </c>
      <c r="B37" s="27">
        <f t="shared" si="0"/>
        <v>46054</v>
      </c>
      <c r="C37" s="13" t="s">
        <v>29</v>
      </c>
      <c r="D37" s="13" t="s">
        <v>47</v>
      </c>
      <c r="E37" s="6">
        <v>52</v>
      </c>
      <c r="F37" s="2" t="s">
        <v>48</v>
      </c>
    </row>
    <row r="38" spans="1:6" x14ac:dyDescent="0.35">
      <c r="A38" s="26">
        <v>46054</v>
      </c>
      <c r="B38" s="27">
        <f t="shared" si="0"/>
        <v>46054</v>
      </c>
      <c r="C38" s="13" t="s">
        <v>31</v>
      </c>
      <c r="D38" s="13" t="s">
        <v>47</v>
      </c>
      <c r="E38" s="6">
        <v>54</v>
      </c>
      <c r="F38" s="2" t="s">
        <v>48</v>
      </c>
    </row>
    <row r="39" spans="1:6" x14ac:dyDescent="0.35">
      <c r="A39" s="26">
        <v>46054</v>
      </c>
      <c r="B39" s="27">
        <f t="shared" si="0"/>
        <v>46054</v>
      </c>
      <c r="C39" s="13" t="s">
        <v>32</v>
      </c>
      <c r="D39" s="13" t="s">
        <v>47</v>
      </c>
      <c r="E39" s="6">
        <v>96</v>
      </c>
      <c r="F39" s="2" t="s">
        <v>48</v>
      </c>
    </row>
    <row r="40" spans="1:6" x14ac:dyDescent="0.35">
      <c r="A40" s="26">
        <v>46054</v>
      </c>
      <c r="B40" s="27">
        <f t="shared" si="0"/>
        <v>46054</v>
      </c>
      <c r="C40" s="13" t="s">
        <v>33</v>
      </c>
      <c r="D40" s="13" t="s">
        <v>47</v>
      </c>
      <c r="E40" s="6">
        <v>44</v>
      </c>
      <c r="F40" s="2" t="s">
        <v>48</v>
      </c>
    </row>
    <row r="41" spans="1:6" x14ac:dyDescent="0.35">
      <c r="A41" s="26">
        <v>46054</v>
      </c>
      <c r="B41" s="27">
        <f t="shared" si="0"/>
        <v>46054</v>
      </c>
      <c r="C41" s="13" t="s">
        <v>34</v>
      </c>
      <c r="D41" s="13" t="s">
        <v>47</v>
      </c>
      <c r="E41" s="6">
        <v>0</v>
      </c>
      <c r="F41" s="2" t="s">
        <v>48</v>
      </c>
    </row>
    <row r="42" spans="1:6" x14ac:dyDescent="0.35">
      <c r="A42" s="26">
        <v>46082</v>
      </c>
      <c r="B42" s="27">
        <f t="shared" si="0"/>
        <v>46082</v>
      </c>
      <c r="C42" s="13" t="s">
        <v>20</v>
      </c>
      <c r="D42" s="13" t="s">
        <v>47</v>
      </c>
      <c r="E42" s="6">
        <v>1539.76</v>
      </c>
      <c r="F42" s="2" t="s">
        <v>48</v>
      </c>
    </row>
    <row r="43" spans="1:6" x14ac:dyDescent="0.35">
      <c r="A43" s="26">
        <v>46082</v>
      </c>
      <c r="B43" s="27">
        <f t="shared" si="0"/>
        <v>46082</v>
      </c>
      <c r="C43" s="13" t="s">
        <v>25</v>
      </c>
      <c r="D43" s="13" t="s">
        <v>47</v>
      </c>
      <c r="E43" s="6">
        <v>0</v>
      </c>
      <c r="F43" s="2" t="s">
        <v>48</v>
      </c>
    </row>
    <row r="44" spans="1:6" x14ac:dyDescent="0.35">
      <c r="A44" s="26">
        <v>46082</v>
      </c>
      <c r="B44" s="27">
        <f t="shared" si="0"/>
        <v>46082</v>
      </c>
      <c r="C44" s="13" t="s">
        <v>26</v>
      </c>
      <c r="D44" s="13" t="s">
        <v>47</v>
      </c>
      <c r="E44" s="6">
        <v>220.99</v>
      </c>
      <c r="F44" s="2" t="s">
        <v>48</v>
      </c>
    </row>
    <row r="45" spans="1:6" x14ac:dyDescent="0.35">
      <c r="A45" s="26">
        <v>46082</v>
      </c>
      <c r="B45" s="27">
        <f t="shared" si="0"/>
        <v>46082</v>
      </c>
      <c r="C45" s="13" t="s">
        <v>29</v>
      </c>
      <c r="D45" s="13" t="s">
        <v>47</v>
      </c>
      <c r="E45" s="6">
        <v>52</v>
      </c>
      <c r="F45" s="2" t="s">
        <v>48</v>
      </c>
    </row>
    <row r="46" spans="1:6" x14ac:dyDescent="0.35">
      <c r="A46" s="26">
        <v>46082</v>
      </c>
      <c r="B46" s="27">
        <f t="shared" si="0"/>
        <v>46082</v>
      </c>
      <c r="C46" s="13" t="s">
        <v>31</v>
      </c>
      <c r="D46" s="13" t="s">
        <v>47</v>
      </c>
      <c r="E46" s="6">
        <v>54</v>
      </c>
      <c r="F46" s="2" t="s">
        <v>48</v>
      </c>
    </row>
    <row r="47" spans="1:6" x14ac:dyDescent="0.35">
      <c r="A47" s="26">
        <v>46082</v>
      </c>
      <c r="B47" s="27">
        <f t="shared" si="0"/>
        <v>46082</v>
      </c>
      <c r="C47" s="13" t="s">
        <v>32</v>
      </c>
      <c r="D47" s="13" t="s">
        <v>47</v>
      </c>
      <c r="E47" s="6">
        <v>497</v>
      </c>
      <c r="F47" s="2" t="s">
        <v>48</v>
      </c>
    </row>
    <row r="48" spans="1:6" x14ac:dyDescent="0.35">
      <c r="A48" s="26">
        <v>46082</v>
      </c>
      <c r="B48" s="27">
        <f t="shared" si="0"/>
        <v>46082</v>
      </c>
      <c r="C48" s="13" t="s">
        <v>33</v>
      </c>
      <c r="D48" s="13" t="s">
        <v>47</v>
      </c>
      <c r="E48" s="6">
        <v>645.99</v>
      </c>
      <c r="F48" s="2" t="s">
        <v>48</v>
      </c>
    </row>
    <row r="49" spans="1:6" x14ac:dyDescent="0.35">
      <c r="A49" s="26">
        <v>46082</v>
      </c>
      <c r="B49" s="27">
        <f t="shared" si="0"/>
        <v>46082</v>
      </c>
      <c r="C49" s="13" t="s">
        <v>34</v>
      </c>
      <c r="D49" s="13" t="s">
        <v>47</v>
      </c>
      <c r="E49" s="6">
        <v>0</v>
      </c>
      <c r="F49" s="2" t="s">
        <v>48</v>
      </c>
    </row>
    <row r="50" spans="1:6" x14ac:dyDescent="0.35">
      <c r="A50" s="11"/>
      <c r="B50" s="12"/>
      <c r="C50" s="13"/>
      <c r="D50" s="13" t="s">
        <v>49</v>
      </c>
      <c r="E50" s="6"/>
      <c r="F50" s="2"/>
    </row>
    <row r="51" spans="1:6" x14ac:dyDescent="0.35">
      <c r="A51" s="11"/>
      <c r="B51" s="12"/>
      <c r="C51" s="13"/>
      <c r="D51" s="13" t="s">
        <v>49</v>
      </c>
      <c r="E51" s="6"/>
      <c r="F51" s="2"/>
    </row>
    <row r="52" spans="1:6" x14ac:dyDescent="0.35">
      <c r="A52" s="11"/>
      <c r="B52" s="12"/>
      <c r="C52" s="13"/>
      <c r="D52" s="13" t="s">
        <v>49</v>
      </c>
      <c r="E52" s="6"/>
      <c r="F52" s="2"/>
    </row>
    <row r="53" spans="1:6" x14ac:dyDescent="0.35">
      <c r="A53" s="11"/>
      <c r="B53" s="12"/>
      <c r="C53" s="13"/>
      <c r="D53" s="13" t="s">
        <v>49</v>
      </c>
      <c r="E53" s="6"/>
      <c r="F53" s="2"/>
    </row>
    <row r="54" spans="1:6" x14ac:dyDescent="0.35">
      <c r="A54" s="11"/>
      <c r="B54" s="12"/>
      <c r="C54" s="13"/>
      <c r="D54" s="13" t="s">
        <v>49</v>
      </c>
      <c r="E54" s="6"/>
      <c r="F54" s="2"/>
    </row>
    <row r="55" spans="1:6" x14ac:dyDescent="0.35">
      <c r="A55" s="11"/>
      <c r="B55" s="12"/>
      <c r="C55" s="13"/>
      <c r="D55" s="13" t="s">
        <v>49</v>
      </c>
      <c r="E55" s="6"/>
      <c r="F55" s="2"/>
    </row>
    <row r="56" spans="1:6" x14ac:dyDescent="0.35">
      <c r="A56" s="11"/>
      <c r="B56" s="12"/>
      <c r="C56" s="13"/>
      <c r="D56" s="13" t="s">
        <v>49</v>
      </c>
      <c r="E56" s="6"/>
      <c r="F56" s="2"/>
    </row>
    <row r="57" spans="1:6" x14ac:dyDescent="0.35">
      <c r="A57" s="11"/>
      <c r="B57" s="12"/>
      <c r="C57" s="13"/>
      <c r="D57" s="13" t="s">
        <v>49</v>
      </c>
      <c r="E57" s="6"/>
      <c r="F57" s="2"/>
    </row>
    <row r="58" spans="1:6" x14ac:dyDescent="0.35">
      <c r="A58" s="11"/>
      <c r="B58" s="12"/>
      <c r="C58" s="13"/>
      <c r="D58" s="13" t="s">
        <v>49</v>
      </c>
      <c r="E58" s="6"/>
      <c r="F58" s="2"/>
    </row>
    <row r="59" spans="1:6" x14ac:dyDescent="0.35">
      <c r="A59" s="11"/>
      <c r="B59" s="12"/>
      <c r="C59" s="13"/>
      <c r="D59" s="13" t="s">
        <v>49</v>
      </c>
      <c r="E59" s="6"/>
      <c r="F59" s="2"/>
    </row>
    <row r="60" spans="1:6" x14ac:dyDescent="0.35">
      <c r="A60" s="11"/>
      <c r="B60" s="12"/>
      <c r="C60" s="13"/>
      <c r="D60" s="13" t="s">
        <v>49</v>
      </c>
      <c r="E60" s="6"/>
      <c r="F60" s="2"/>
    </row>
    <row r="61" spans="1:6" x14ac:dyDescent="0.35">
      <c r="A61" s="11"/>
      <c r="B61" s="12"/>
      <c r="C61" s="13"/>
      <c r="D61" s="13" t="s">
        <v>49</v>
      </c>
      <c r="E61" s="6"/>
      <c r="F61" s="2"/>
    </row>
    <row r="62" spans="1:6" x14ac:dyDescent="0.35">
      <c r="A62" s="11"/>
      <c r="B62" s="12"/>
      <c r="C62" s="13"/>
      <c r="D62" s="13" t="s">
        <v>49</v>
      </c>
      <c r="E62" s="6"/>
      <c r="F62" s="2"/>
    </row>
    <row r="63" spans="1:6" x14ac:dyDescent="0.35">
      <c r="A63" s="11"/>
      <c r="B63" s="12"/>
      <c r="C63" s="13"/>
      <c r="D63" s="13" t="s">
        <v>49</v>
      </c>
      <c r="E63" s="6"/>
      <c r="F63" s="2"/>
    </row>
    <row r="64" spans="1:6" x14ac:dyDescent="0.35">
      <c r="A64" s="11"/>
      <c r="B64" s="12"/>
      <c r="C64" s="13"/>
      <c r="D64" s="13" t="s">
        <v>49</v>
      </c>
      <c r="E64" s="6"/>
      <c r="F64" s="2"/>
    </row>
    <row r="65" spans="1:6" x14ac:dyDescent="0.35">
      <c r="A65" s="11"/>
      <c r="B65" s="12"/>
      <c r="C65" s="13"/>
      <c r="D65" s="13" t="s">
        <v>49</v>
      </c>
      <c r="E65" s="6"/>
      <c r="F65" s="2"/>
    </row>
    <row r="66" spans="1:6" x14ac:dyDescent="0.35">
      <c r="A66" s="11"/>
      <c r="B66" s="12"/>
      <c r="C66" s="13"/>
      <c r="D66" s="13" t="s">
        <v>49</v>
      </c>
      <c r="E66" s="6"/>
      <c r="F66" s="2"/>
    </row>
    <row r="67" spans="1:6" x14ac:dyDescent="0.35">
      <c r="A67" s="11"/>
      <c r="B67" s="12"/>
      <c r="C67" s="13"/>
      <c r="D67" s="13" t="s">
        <v>49</v>
      </c>
      <c r="E67" s="6"/>
      <c r="F67" s="2"/>
    </row>
    <row r="68" spans="1:6" x14ac:dyDescent="0.35">
      <c r="A68" s="11"/>
      <c r="B68" s="12"/>
      <c r="C68" s="13"/>
      <c r="D68" s="13" t="s">
        <v>49</v>
      </c>
      <c r="E68" s="6"/>
      <c r="F68" s="2"/>
    </row>
    <row r="69" spans="1:6" x14ac:dyDescent="0.35">
      <c r="A69" s="11"/>
      <c r="B69" s="12"/>
      <c r="C69" s="13"/>
      <c r="D69" s="13" t="s">
        <v>49</v>
      </c>
      <c r="E69" s="6"/>
      <c r="F69" s="2"/>
    </row>
    <row r="70" spans="1:6" x14ac:dyDescent="0.35">
      <c r="A70" s="11"/>
      <c r="B70" s="12"/>
      <c r="C70" s="13"/>
      <c r="D70" s="13" t="s">
        <v>49</v>
      </c>
      <c r="E70" s="6"/>
      <c r="F70" s="2"/>
    </row>
    <row r="71" spans="1:6" x14ac:dyDescent="0.35">
      <c r="A71" s="11"/>
      <c r="B71" s="12"/>
      <c r="C71" s="13"/>
      <c r="D71" s="13" t="s">
        <v>49</v>
      </c>
      <c r="E71" s="6"/>
      <c r="F71" s="2"/>
    </row>
    <row r="72" spans="1:6" x14ac:dyDescent="0.35">
      <c r="A72" s="11"/>
      <c r="B72" s="12"/>
      <c r="C72" s="13"/>
      <c r="D72" s="13" t="s">
        <v>49</v>
      </c>
      <c r="E72" s="6"/>
      <c r="F72" s="2"/>
    </row>
    <row r="73" spans="1:6" x14ac:dyDescent="0.35">
      <c r="A73" s="11"/>
      <c r="B73" s="12"/>
      <c r="C73" s="13"/>
      <c r="D73" s="13" t="s">
        <v>49</v>
      </c>
      <c r="E73" s="6"/>
      <c r="F73" s="2"/>
    </row>
    <row r="74" spans="1:6" x14ac:dyDescent="0.35">
      <c r="A74" s="11"/>
      <c r="B74" s="12"/>
      <c r="C74" s="13"/>
      <c r="D74" s="13" t="s">
        <v>49</v>
      </c>
      <c r="E74" s="6"/>
      <c r="F74" s="2"/>
    </row>
    <row r="75" spans="1:6" x14ac:dyDescent="0.35">
      <c r="A75" s="11"/>
      <c r="B75" s="12"/>
      <c r="C75" s="13"/>
      <c r="D75" s="13" t="s">
        <v>49</v>
      </c>
      <c r="E75" s="6"/>
      <c r="F75" s="2"/>
    </row>
    <row r="76" spans="1:6" x14ac:dyDescent="0.35">
      <c r="A76" s="11"/>
      <c r="B76" s="12"/>
      <c r="C76" s="13"/>
      <c r="D76" s="13" t="s">
        <v>49</v>
      </c>
      <c r="E76" s="6"/>
      <c r="F76" s="2"/>
    </row>
    <row r="77" spans="1:6" x14ac:dyDescent="0.35">
      <c r="A77" s="11"/>
      <c r="B77" s="12"/>
      <c r="C77" s="13"/>
      <c r="D77" s="13" t="s">
        <v>49</v>
      </c>
      <c r="E77" s="6"/>
      <c r="F77" s="2"/>
    </row>
    <row r="78" spans="1:6" x14ac:dyDescent="0.35">
      <c r="A78" s="11"/>
      <c r="B78" s="12"/>
      <c r="C78" s="13"/>
      <c r="D78" s="13" t="s">
        <v>49</v>
      </c>
      <c r="E78" s="6"/>
      <c r="F78" s="2"/>
    </row>
    <row r="79" spans="1:6" x14ac:dyDescent="0.35">
      <c r="A79" s="11"/>
      <c r="B79" s="12"/>
      <c r="C79" s="13"/>
      <c r="D79" s="13" t="s">
        <v>49</v>
      </c>
      <c r="E79" s="6"/>
      <c r="F79" s="2"/>
    </row>
    <row r="80" spans="1:6" x14ac:dyDescent="0.35">
      <c r="A80" s="11"/>
      <c r="B80" s="12"/>
      <c r="C80" s="13"/>
      <c r="D80" s="13" t="s">
        <v>49</v>
      </c>
      <c r="E80" s="6"/>
      <c r="F80" s="2"/>
    </row>
    <row r="81" spans="1:6" x14ac:dyDescent="0.35">
      <c r="A81" s="11"/>
      <c r="B81" s="12"/>
      <c r="C81" s="13"/>
      <c r="D81" s="13" t="s">
        <v>49</v>
      </c>
      <c r="E81" s="6"/>
      <c r="F81" s="2"/>
    </row>
    <row r="82" spans="1:6" x14ac:dyDescent="0.35">
      <c r="A82" s="11"/>
      <c r="B82" s="12"/>
      <c r="C82" s="13"/>
      <c r="D82" s="13" t="s">
        <v>49</v>
      </c>
      <c r="E82" s="6"/>
      <c r="F82" s="2"/>
    </row>
    <row r="83" spans="1:6" x14ac:dyDescent="0.35">
      <c r="A83" s="11"/>
      <c r="B83" s="12"/>
      <c r="C83" s="13"/>
      <c r="D83" s="13" t="s">
        <v>49</v>
      </c>
      <c r="E83" s="6"/>
      <c r="F83" s="2"/>
    </row>
    <row r="84" spans="1:6" x14ac:dyDescent="0.35">
      <c r="A84" s="11"/>
      <c r="B84" s="12"/>
      <c r="C84" s="13"/>
      <c r="D84" s="13" t="s">
        <v>49</v>
      </c>
      <c r="E84" s="6"/>
      <c r="F84" s="2"/>
    </row>
    <row r="85" spans="1:6" x14ac:dyDescent="0.35">
      <c r="A85" s="11"/>
      <c r="B85" s="12"/>
      <c r="C85" s="13"/>
      <c r="D85" s="13" t="s">
        <v>49</v>
      </c>
      <c r="E85" s="6"/>
      <c r="F85" s="2"/>
    </row>
    <row r="86" spans="1:6" x14ac:dyDescent="0.35">
      <c r="A86" s="11"/>
      <c r="B86" s="12"/>
      <c r="C86" s="13"/>
      <c r="D86" s="13" t="s">
        <v>49</v>
      </c>
      <c r="E86" s="6"/>
      <c r="F86" s="2"/>
    </row>
    <row r="87" spans="1:6" x14ac:dyDescent="0.35">
      <c r="A87" s="11"/>
      <c r="B87" s="12"/>
      <c r="C87" s="13"/>
      <c r="D87" s="13" t="s">
        <v>49</v>
      </c>
      <c r="E87" s="6"/>
      <c r="F87" s="2"/>
    </row>
    <row r="88" spans="1:6" x14ac:dyDescent="0.35">
      <c r="A88" s="11"/>
      <c r="B88" s="12"/>
      <c r="C88" s="13"/>
      <c r="D88" s="13" t="s">
        <v>49</v>
      </c>
      <c r="E88" s="6"/>
      <c r="F88" s="2"/>
    </row>
    <row r="89" spans="1:6" x14ac:dyDescent="0.35">
      <c r="A89" s="11"/>
      <c r="B89" s="12"/>
      <c r="C89" s="13"/>
      <c r="D89" s="13" t="s">
        <v>49</v>
      </c>
      <c r="E89" s="6"/>
      <c r="F89" s="2"/>
    </row>
    <row r="90" spans="1:6" x14ac:dyDescent="0.35">
      <c r="A90" s="11"/>
      <c r="B90" s="12"/>
      <c r="C90" s="13"/>
      <c r="D90" s="13" t="s">
        <v>49</v>
      </c>
      <c r="E90" s="6"/>
      <c r="F90" s="2"/>
    </row>
    <row r="91" spans="1:6" x14ac:dyDescent="0.35">
      <c r="A91" s="11"/>
      <c r="B91" s="12"/>
      <c r="C91" s="13"/>
      <c r="D91" s="13" t="s">
        <v>49</v>
      </c>
      <c r="E91" s="6"/>
      <c r="F91" s="2"/>
    </row>
    <row r="92" spans="1:6" x14ac:dyDescent="0.35">
      <c r="A92" s="11"/>
      <c r="B92" s="12"/>
      <c r="C92" s="13"/>
      <c r="D92" s="13" t="s">
        <v>49</v>
      </c>
      <c r="E92" s="6"/>
      <c r="F92" s="2"/>
    </row>
    <row r="93" spans="1:6" x14ac:dyDescent="0.35">
      <c r="A93" s="11"/>
      <c r="B93" s="12"/>
      <c r="C93" s="13"/>
      <c r="D93" s="13" t="s">
        <v>49</v>
      </c>
      <c r="E93" s="6"/>
      <c r="F93" s="2"/>
    </row>
    <row r="94" spans="1:6" x14ac:dyDescent="0.35">
      <c r="A94" s="11"/>
      <c r="B94" s="12"/>
      <c r="C94" s="13"/>
      <c r="D94" s="13" t="s">
        <v>49</v>
      </c>
      <c r="E94" s="6"/>
      <c r="F94" s="2"/>
    </row>
    <row r="95" spans="1:6" x14ac:dyDescent="0.35">
      <c r="A95" s="11"/>
      <c r="B95" s="12"/>
      <c r="C95" s="13"/>
      <c r="D95" s="13" t="s">
        <v>49</v>
      </c>
      <c r="E95" s="6"/>
      <c r="F95" s="2"/>
    </row>
    <row r="96" spans="1:6" x14ac:dyDescent="0.35">
      <c r="A96" s="11"/>
      <c r="B96" s="12"/>
      <c r="C96" s="13"/>
      <c r="D96" s="13" t="s">
        <v>49</v>
      </c>
      <c r="E96" s="6"/>
      <c r="F96" s="2"/>
    </row>
    <row r="97" spans="1:6" x14ac:dyDescent="0.35">
      <c r="A97" s="11"/>
      <c r="B97" s="12"/>
      <c r="C97" s="13"/>
      <c r="D97" s="13" t="s">
        <v>49</v>
      </c>
      <c r="E97" s="6"/>
      <c r="F97" s="2"/>
    </row>
    <row r="98" spans="1:6" x14ac:dyDescent="0.35">
      <c r="A98" s="11"/>
      <c r="B98" s="12"/>
      <c r="C98" s="13"/>
      <c r="D98" s="13" t="s">
        <v>49</v>
      </c>
      <c r="E98" s="6"/>
      <c r="F98" s="2"/>
    </row>
    <row r="99" spans="1:6" x14ac:dyDescent="0.35">
      <c r="A99" s="11"/>
      <c r="B99" s="12"/>
      <c r="C99" s="13"/>
      <c r="D99" s="13" t="s">
        <v>49</v>
      </c>
      <c r="E99" s="6"/>
      <c r="F99" s="2"/>
    </row>
    <row r="100" spans="1:6" x14ac:dyDescent="0.35">
      <c r="A100" s="11"/>
      <c r="B100" s="12"/>
      <c r="C100" s="13"/>
      <c r="D100" s="13" t="s">
        <v>49</v>
      </c>
      <c r="E100" s="6"/>
      <c r="F100" s="2"/>
    </row>
    <row r="101" spans="1:6" x14ac:dyDescent="0.35">
      <c r="A101" s="11"/>
      <c r="B101" s="12"/>
      <c r="C101" s="13"/>
      <c r="D101" s="13" t="s">
        <v>49</v>
      </c>
      <c r="E101" s="6"/>
      <c r="F101" s="2"/>
    </row>
    <row r="102" spans="1:6" x14ac:dyDescent="0.35">
      <c r="A102" s="11"/>
      <c r="B102" s="12"/>
      <c r="C102" s="13"/>
      <c r="D102" s="13" t="s">
        <v>49</v>
      </c>
      <c r="E102" s="6"/>
      <c r="F102" s="2"/>
    </row>
    <row r="103" spans="1:6" x14ac:dyDescent="0.35">
      <c r="A103" s="11"/>
      <c r="B103" s="12"/>
      <c r="C103" s="13"/>
      <c r="D103" s="13" t="s">
        <v>49</v>
      </c>
      <c r="E103" s="6"/>
      <c r="F103" s="2"/>
    </row>
    <row r="104" spans="1:6" x14ac:dyDescent="0.35">
      <c r="A104" s="11"/>
      <c r="B104" s="12"/>
      <c r="C104" s="13"/>
      <c r="D104" s="13" t="s">
        <v>49</v>
      </c>
      <c r="E104" s="6"/>
      <c r="F104" s="2"/>
    </row>
    <row r="105" spans="1:6" x14ac:dyDescent="0.35">
      <c r="A105" s="11"/>
      <c r="B105" s="12"/>
      <c r="C105" s="13"/>
      <c r="D105" s="13" t="s">
        <v>49</v>
      </c>
      <c r="E105" s="6"/>
      <c r="F105" s="2"/>
    </row>
    <row r="106" spans="1:6" x14ac:dyDescent="0.35">
      <c r="A106" s="11"/>
      <c r="B106" s="12"/>
      <c r="C106" s="13"/>
      <c r="D106" s="13" t="s">
        <v>49</v>
      </c>
      <c r="E106" s="6"/>
      <c r="F106" s="2"/>
    </row>
    <row r="107" spans="1:6" x14ac:dyDescent="0.35">
      <c r="A107" s="11"/>
      <c r="B107" s="12"/>
      <c r="C107" s="13"/>
      <c r="D107" s="13" t="s">
        <v>49</v>
      </c>
      <c r="E107" s="6"/>
      <c r="F107" s="2"/>
    </row>
    <row r="108" spans="1:6" x14ac:dyDescent="0.35">
      <c r="A108" s="11"/>
      <c r="B108" s="12"/>
      <c r="C108" s="13"/>
      <c r="D108" s="13" t="s">
        <v>49</v>
      </c>
      <c r="E108" s="6"/>
      <c r="F108" s="2"/>
    </row>
    <row r="109" spans="1:6" x14ac:dyDescent="0.35">
      <c r="A109" s="11"/>
      <c r="B109" s="12"/>
      <c r="C109" s="13"/>
      <c r="D109" s="13" t="s">
        <v>49</v>
      </c>
      <c r="E109" s="6"/>
      <c r="F109" s="2"/>
    </row>
    <row r="110" spans="1:6" x14ac:dyDescent="0.35">
      <c r="A110" s="11"/>
      <c r="B110" s="12"/>
      <c r="C110" s="13"/>
      <c r="D110" s="13" t="s">
        <v>49</v>
      </c>
      <c r="E110" s="6"/>
      <c r="F110" s="2"/>
    </row>
    <row r="111" spans="1:6" x14ac:dyDescent="0.35">
      <c r="A111" s="11"/>
      <c r="B111" s="12"/>
      <c r="C111" s="13"/>
      <c r="D111" s="13" t="s">
        <v>49</v>
      </c>
      <c r="E111" s="6"/>
      <c r="F111" s="2"/>
    </row>
    <row r="112" spans="1:6" x14ac:dyDescent="0.35">
      <c r="A112" s="11"/>
      <c r="B112" s="12"/>
      <c r="C112" s="13"/>
      <c r="D112" s="13" t="s">
        <v>49</v>
      </c>
      <c r="E112" s="6"/>
      <c r="F112" s="2"/>
    </row>
    <row r="113" spans="1:6" x14ac:dyDescent="0.35">
      <c r="A113" s="11"/>
      <c r="B113" s="12"/>
      <c r="C113" s="13"/>
      <c r="D113" s="13" t="s">
        <v>49</v>
      </c>
      <c r="E113" s="6"/>
      <c r="F113" s="2"/>
    </row>
    <row r="114" spans="1:6" x14ac:dyDescent="0.35">
      <c r="A114" s="11"/>
      <c r="B114" s="12"/>
      <c r="C114" s="13"/>
      <c r="D114" s="13" t="s">
        <v>49</v>
      </c>
      <c r="E114" s="6"/>
      <c r="F114" s="2"/>
    </row>
    <row r="115" spans="1:6" x14ac:dyDescent="0.35">
      <c r="A115" s="11"/>
      <c r="B115" s="12"/>
      <c r="C115" s="13"/>
      <c r="D115" s="13" t="s">
        <v>49</v>
      </c>
      <c r="E115" s="6"/>
      <c r="F115" s="2"/>
    </row>
    <row r="116" spans="1:6" x14ac:dyDescent="0.35">
      <c r="A116" s="11"/>
      <c r="B116" s="12"/>
      <c r="C116" s="13"/>
      <c r="D116" s="13" t="s">
        <v>49</v>
      </c>
      <c r="E116" s="6"/>
      <c r="F116" s="2"/>
    </row>
    <row r="117" spans="1:6" x14ac:dyDescent="0.35">
      <c r="A117" s="11"/>
      <c r="B117" s="12"/>
      <c r="C117" s="13"/>
      <c r="D117" s="13" t="s">
        <v>49</v>
      </c>
      <c r="E117" s="6"/>
      <c r="F117" s="2"/>
    </row>
    <row r="118" spans="1:6" x14ac:dyDescent="0.35">
      <c r="A118" s="11"/>
      <c r="B118" s="12"/>
      <c r="C118" s="13"/>
      <c r="D118" s="13" t="s">
        <v>49</v>
      </c>
      <c r="E118" s="6"/>
      <c r="F118" s="2"/>
    </row>
    <row r="119" spans="1:6" x14ac:dyDescent="0.35">
      <c r="A119" s="11"/>
      <c r="B119" s="12"/>
      <c r="C119" s="13"/>
      <c r="D119" s="13" t="s">
        <v>49</v>
      </c>
      <c r="E119" s="6"/>
      <c r="F119" s="2"/>
    </row>
    <row r="120" spans="1:6" x14ac:dyDescent="0.35">
      <c r="A120" s="11"/>
      <c r="B120" s="12"/>
      <c r="C120" s="13"/>
      <c r="D120" s="13" t="s">
        <v>49</v>
      </c>
      <c r="E120" s="6"/>
      <c r="F120" s="2"/>
    </row>
    <row r="121" spans="1:6" x14ac:dyDescent="0.35">
      <c r="A121" s="11"/>
      <c r="B121" s="12"/>
      <c r="C121" s="13"/>
      <c r="D121" s="13" t="s">
        <v>49</v>
      </c>
      <c r="E121" s="6"/>
      <c r="F121" s="2"/>
    </row>
    <row r="122" spans="1:6" x14ac:dyDescent="0.35">
      <c r="A122" s="11"/>
      <c r="B122" s="12"/>
      <c r="C122" s="13"/>
      <c r="D122" s="13" t="s">
        <v>49</v>
      </c>
      <c r="E122" s="6"/>
      <c r="F122" s="2"/>
    </row>
    <row r="123" spans="1:6" x14ac:dyDescent="0.35">
      <c r="A123" s="11"/>
      <c r="B123" s="12"/>
      <c r="C123" s="13"/>
      <c r="D123" s="13" t="s">
        <v>49</v>
      </c>
      <c r="E123" s="6"/>
      <c r="F123" s="2"/>
    </row>
    <row r="124" spans="1:6" x14ac:dyDescent="0.35">
      <c r="A124" s="11"/>
      <c r="B124" s="12"/>
      <c r="C124" s="13"/>
      <c r="D124" s="13" t="s">
        <v>49</v>
      </c>
      <c r="E124" s="6"/>
      <c r="F124" s="2"/>
    </row>
    <row r="125" spans="1:6" x14ac:dyDescent="0.35">
      <c r="A125" s="11"/>
      <c r="B125" s="12"/>
      <c r="C125" s="13"/>
      <c r="D125" s="13" t="s">
        <v>49</v>
      </c>
      <c r="E125" s="6"/>
      <c r="F125" s="2"/>
    </row>
    <row r="126" spans="1:6" x14ac:dyDescent="0.35">
      <c r="A126" s="11"/>
      <c r="B126" s="12"/>
      <c r="C126" s="13"/>
      <c r="D126" s="13" t="s">
        <v>49</v>
      </c>
      <c r="E126" s="6"/>
      <c r="F126" s="2"/>
    </row>
    <row r="127" spans="1:6" x14ac:dyDescent="0.35">
      <c r="A127" s="11"/>
      <c r="B127" s="12"/>
      <c r="C127" s="13"/>
      <c r="D127" s="13" t="s">
        <v>49</v>
      </c>
      <c r="E127" s="6"/>
      <c r="F127" s="2"/>
    </row>
    <row r="128" spans="1:6" x14ac:dyDescent="0.35">
      <c r="A128" s="11"/>
      <c r="B128" s="12"/>
      <c r="C128" s="13"/>
      <c r="D128" s="13" t="s">
        <v>49</v>
      </c>
      <c r="E128" s="6"/>
      <c r="F128" s="2"/>
    </row>
    <row r="129" spans="1:6" x14ac:dyDescent="0.35">
      <c r="A129" s="11"/>
      <c r="B129" s="12"/>
      <c r="C129" s="13"/>
      <c r="D129" s="13" t="s">
        <v>49</v>
      </c>
      <c r="E129" s="6"/>
      <c r="F129" s="2"/>
    </row>
    <row r="130" spans="1:6" x14ac:dyDescent="0.35">
      <c r="A130" s="11"/>
      <c r="B130" s="12"/>
      <c r="C130" s="13"/>
      <c r="D130" s="13" t="s">
        <v>49</v>
      </c>
      <c r="E130" s="6"/>
      <c r="F130" s="2"/>
    </row>
    <row r="131" spans="1:6" x14ac:dyDescent="0.35">
      <c r="A131" s="11"/>
      <c r="B131" s="12"/>
      <c r="C131" s="13"/>
      <c r="D131" s="13" t="s">
        <v>49</v>
      </c>
      <c r="E131" s="6"/>
      <c r="F131" s="2"/>
    </row>
    <row r="132" spans="1:6" x14ac:dyDescent="0.35">
      <c r="A132" s="11"/>
      <c r="B132" s="12"/>
      <c r="C132" s="13"/>
      <c r="D132" s="13" t="s">
        <v>49</v>
      </c>
      <c r="E132" s="6"/>
      <c r="F132" s="2"/>
    </row>
    <row r="133" spans="1:6" x14ac:dyDescent="0.35">
      <c r="A133" s="11"/>
      <c r="B133" s="12"/>
      <c r="C133" s="13"/>
      <c r="D133" s="13" t="s">
        <v>49</v>
      </c>
      <c r="E133" s="6"/>
      <c r="F133" s="2"/>
    </row>
    <row r="134" spans="1:6" x14ac:dyDescent="0.35">
      <c r="A134" s="11"/>
      <c r="B134" s="12"/>
      <c r="C134" s="13"/>
      <c r="D134" s="13" t="s">
        <v>49</v>
      </c>
      <c r="E134" s="6"/>
      <c r="F134" s="2"/>
    </row>
    <row r="135" spans="1:6" x14ac:dyDescent="0.35">
      <c r="A135" s="11"/>
      <c r="B135" s="12"/>
      <c r="C135" s="13"/>
      <c r="D135" s="13" t="s">
        <v>49</v>
      </c>
      <c r="E135" s="6"/>
      <c r="F135" s="2"/>
    </row>
    <row r="136" spans="1:6" x14ac:dyDescent="0.35">
      <c r="A136" s="11"/>
      <c r="B136" s="12"/>
      <c r="C136" s="13"/>
      <c r="D136" s="13" t="s">
        <v>49</v>
      </c>
      <c r="E136" s="6"/>
      <c r="F136" s="2"/>
    </row>
    <row r="137" spans="1:6" x14ac:dyDescent="0.35">
      <c r="A137" s="11"/>
      <c r="B137" s="12"/>
      <c r="C137" s="13"/>
      <c r="D137" s="13" t="s">
        <v>49</v>
      </c>
      <c r="E137" s="6"/>
      <c r="F137" s="2"/>
    </row>
    <row r="138" spans="1:6" x14ac:dyDescent="0.35">
      <c r="A138" s="11"/>
      <c r="B138" s="12"/>
      <c r="C138" s="13"/>
      <c r="D138" s="13" t="s">
        <v>49</v>
      </c>
      <c r="E138" s="6"/>
      <c r="F138" s="2"/>
    </row>
    <row r="139" spans="1:6" x14ac:dyDescent="0.35">
      <c r="A139" s="11"/>
      <c r="B139" s="12"/>
      <c r="C139" s="13"/>
      <c r="D139" s="13" t="s">
        <v>49</v>
      </c>
      <c r="E139" s="6"/>
      <c r="F139" s="2"/>
    </row>
    <row r="140" spans="1:6" x14ac:dyDescent="0.35">
      <c r="A140" s="11"/>
      <c r="B140" s="12"/>
      <c r="C140" s="13"/>
      <c r="D140" s="13" t="s">
        <v>49</v>
      </c>
      <c r="E140" s="6"/>
      <c r="F140" s="2"/>
    </row>
    <row r="141" spans="1:6" x14ac:dyDescent="0.35">
      <c r="A141" s="11"/>
      <c r="B141" s="12"/>
      <c r="C141" s="13"/>
      <c r="D141" s="13" t="s">
        <v>49</v>
      </c>
      <c r="E141" s="6"/>
      <c r="F141" s="2"/>
    </row>
    <row r="142" spans="1:6" x14ac:dyDescent="0.35">
      <c r="A142" s="11"/>
      <c r="B142" s="12"/>
      <c r="C142" s="13"/>
      <c r="D142" s="13" t="s">
        <v>49</v>
      </c>
      <c r="E142" s="6"/>
      <c r="F142" s="2"/>
    </row>
    <row r="143" spans="1:6" x14ac:dyDescent="0.35">
      <c r="A143" s="11"/>
      <c r="B143" s="12"/>
      <c r="C143" s="13"/>
      <c r="D143" s="13" t="s">
        <v>49</v>
      </c>
      <c r="E143" s="6"/>
      <c r="F143" s="2"/>
    </row>
    <row r="144" spans="1:6" x14ac:dyDescent="0.35">
      <c r="A144" s="11"/>
      <c r="B144" s="12"/>
      <c r="C144" s="13"/>
      <c r="D144" s="13" t="s">
        <v>49</v>
      </c>
      <c r="E144" s="6"/>
      <c r="F144" s="2"/>
    </row>
    <row r="145" spans="1:6" x14ac:dyDescent="0.35">
      <c r="A145" s="11"/>
      <c r="B145" s="12"/>
      <c r="C145" s="13"/>
      <c r="D145" s="13" t="s">
        <v>49</v>
      </c>
      <c r="E145" s="6"/>
      <c r="F145" s="2"/>
    </row>
    <row r="146" spans="1:6" x14ac:dyDescent="0.35">
      <c r="A146" s="11"/>
      <c r="B146" s="12"/>
      <c r="C146" s="13"/>
      <c r="D146" s="13" t="s">
        <v>49</v>
      </c>
      <c r="E146" s="6"/>
      <c r="F146" s="2"/>
    </row>
    <row r="147" spans="1:6" x14ac:dyDescent="0.35">
      <c r="A147" s="11"/>
      <c r="B147" s="12"/>
      <c r="C147" s="13"/>
      <c r="D147" s="13" t="s">
        <v>49</v>
      </c>
      <c r="E147" s="6"/>
      <c r="F147" s="2"/>
    </row>
    <row r="148" spans="1:6" x14ac:dyDescent="0.35">
      <c r="A148" s="11"/>
      <c r="B148" s="12"/>
      <c r="C148" s="13"/>
      <c r="D148" s="13" t="s">
        <v>49</v>
      </c>
      <c r="E148" s="6"/>
      <c r="F148" s="2"/>
    </row>
    <row r="149" spans="1:6" x14ac:dyDescent="0.35">
      <c r="A149" s="11"/>
      <c r="B149" s="12"/>
      <c r="C149" s="13"/>
      <c r="D149" s="13" t="s">
        <v>49</v>
      </c>
      <c r="E149" s="6"/>
      <c r="F149" s="2"/>
    </row>
    <row r="150" spans="1:6" x14ac:dyDescent="0.35">
      <c r="A150" s="11"/>
      <c r="B150" s="12"/>
      <c r="C150" s="13"/>
      <c r="D150" s="13" t="s">
        <v>49</v>
      </c>
      <c r="E150" s="6"/>
      <c r="F150" s="2"/>
    </row>
    <row r="151" spans="1:6" x14ac:dyDescent="0.35">
      <c r="A151" s="11"/>
      <c r="B151" s="12"/>
      <c r="C151" s="13"/>
      <c r="D151" s="13" t="s">
        <v>49</v>
      </c>
      <c r="E151" s="6"/>
      <c r="F151" s="2"/>
    </row>
    <row r="152" spans="1:6" x14ac:dyDescent="0.35">
      <c r="A152" s="11"/>
      <c r="B152" s="12"/>
      <c r="C152" s="13"/>
      <c r="D152" s="13" t="s">
        <v>49</v>
      </c>
      <c r="E152" s="6"/>
      <c r="F152" s="2"/>
    </row>
    <row r="153" spans="1:6" x14ac:dyDescent="0.35">
      <c r="A153" s="11"/>
      <c r="B153" s="12"/>
      <c r="C153" s="13"/>
      <c r="D153" s="13" t="s">
        <v>49</v>
      </c>
      <c r="E153" s="6"/>
      <c r="F153" s="2"/>
    </row>
    <row r="154" spans="1:6" x14ac:dyDescent="0.35">
      <c r="A154" s="11"/>
      <c r="B154" s="12"/>
      <c r="C154" s="13"/>
      <c r="D154" s="13" t="s">
        <v>49</v>
      </c>
      <c r="E154" s="6"/>
      <c r="F154" s="2"/>
    </row>
    <row r="155" spans="1:6" x14ac:dyDescent="0.35">
      <c r="A155" s="11"/>
      <c r="B155" s="12"/>
      <c r="C155" s="13"/>
      <c r="D155" s="13" t="s">
        <v>49</v>
      </c>
      <c r="E155" s="6"/>
      <c r="F155" s="2"/>
    </row>
    <row r="156" spans="1:6" x14ac:dyDescent="0.35">
      <c r="A156" s="11"/>
      <c r="B156" s="12"/>
      <c r="C156" s="13"/>
      <c r="D156" s="13" t="s">
        <v>49</v>
      </c>
      <c r="E156" s="6"/>
      <c r="F156" s="2"/>
    </row>
    <row r="157" spans="1:6" x14ac:dyDescent="0.35">
      <c r="A157" s="11"/>
      <c r="B157" s="12"/>
      <c r="C157" s="13"/>
      <c r="D157" s="13" t="s">
        <v>49</v>
      </c>
      <c r="E157" s="6"/>
      <c r="F157" s="2"/>
    </row>
    <row r="158" spans="1:6" x14ac:dyDescent="0.35">
      <c r="A158" s="11"/>
      <c r="B158" s="12"/>
      <c r="C158" s="13"/>
      <c r="D158" s="13" t="s">
        <v>49</v>
      </c>
      <c r="E158" s="6"/>
      <c r="F158" s="2"/>
    </row>
    <row r="159" spans="1:6" x14ac:dyDescent="0.35">
      <c r="A159" s="11"/>
      <c r="B159" s="12"/>
      <c r="C159" s="13"/>
      <c r="D159" s="13" t="s">
        <v>49</v>
      </c>
      <c r="E159" s="6"/>
      <c r="F159" s="2"/>
    </row>
    <row r="160" spans="1:6" x14ac:dyDescent="0.35">
      <c r="A160" s="11"/>
      <c r="B160" s="12"/>
      <c r="C160" s="13"/>
      <c r="D160" s="13" t="s">
        <v>49</v>
      </c>
      <c r="E160" s="6"/>
      <c r="F160" s="2"/>
    </row>
    <row r="161" spans="1:6" x14ac:dyDescent="0.35">
      <c r="A161" s="11"/>
      <c r="B161" s="12"/>
      <c r="C161" s="13"/>
      <c r="D161" s="13" t="s">
        <v>49</v>
      </c>
      <c r="E161" s="6"/>
      <c r="F161" s="2"/>
    </row>
    <row r="162" spans="1:6" x14ac:dyDescent="0.35">
      <c r="A162" s="11"/>
      <c r="B162" s="12"/>
      <c r="C162" s="13"/>
      <c r="D162" s="13" t="s">
        <v>49</v>
      </c>
      <c r="E162" s="6"/>
      <c r="F162" s="2"/>
    </row>
    <row r="163" spans="1:6" x14ac:dyDescent="0.35">
      <c r="A163" s="11"/>
      <c r="B163" s="12"/>
      <c r="C163" s="13"/>
      <c r="D163" s="13" t="s">
        <v>49</v>
      </c>
      <c r="E163" s="6"/>
      <c r="F163" s="2"/>
    </row>
    <row r="164" spans="1:6" x14ac:dyDescent="0.35">
      <c r="A164" s="11"/>
      <c r="B164" s="12"/>
      <c r="C164" s="13"/>
      <c r="D164" s="13" t="s">
        <v>49</v>
      </c>
      <c r="E164" s="6"/>
      <c r="F164" s="2"/>
    </row>
    <row r="165" spans="1:6" x14ac:dyDescent="0.35">
      <c r="A165" s="11"/>
      <c r="B165" s="12"/>
      <c r="C165" s="13"/>
      <c r="D165" s="13" t="s">
        <v>49</v>
      </c>
      <c r="E165" s="6"/>
      <c r="F165" s="2"/>
    </row>
    <row r="166" spans="1:6" x14ac:dyDescent="0.35">
      <c r="A166" s="11"/>
      <c r="B166" s="12"/>
      <c r="C166" s="13"/>
      <c r="D166" s="13" t="s">
        <v>49</v>
      </c>
      <c r="E166" s="6"/>
      <c r="F166" s="2"/>
    </row>
    <row r="167" spans="1:6" x14ac:dyDescent="0.35">
      <c r="A167" s="11"/>
      <c r="B167" s="12"/>
      <c r="C167" s="13"/>
      <c r="D167" s="13" t="s">
        <v>49</v>
      </c>
      <c r="E167" s="6"/>
      <c r="F167" s="2"/>
    </row>
    <row r="168" spans="1:6" x14ac:dyDescent="0.35">
      <c r="A168" s="11"/>
      <c r="B168" s="12"/>
      <c r="C168" s="13"/>
      <c r="D168" s="13" t="s">
        <v>49</v>
      </c>
      <c r="E168" s="6"/>
      <c r="F168" s="2"/>
    </row>
    <row r="169" spans="1:6" x14ac:dyDescent="0.35">
      <c r="A169" s="11"/>
      <c r="B169" s="12"/>
      <c r="C169" s="13"/>
      <c r="D169" s="13" t="s">
        <v>49</v>
      </c>
      <c r="E169" s="6"/>
      <c r="F169" s="2"/>
    </row>
    <row r="170" spans="1:6" x14ac:dyDescent="0.35">
      <c r="A170" s="11"/>
      <c r="B170" s="12"/>
      <c r="C170" s="13"/>
      <c r="D170" s="13" t="s">
        <v>49</v>
      </c>
      <c r="E170" s="6"/>
      <c r="F170" s="2"/>
    </row>
    <row r="171" spans="1:6" x14ac:dyDescent="0.35">
      <c r="A171" s="11"/>
      <c r="B171" s="12"/>
      <c r="C171" s="13"/>
      <c r="D171" s="13" t="s">
        <v>49</v>
      </c>
      <c r="E171" s="6"/>
      <c r="F171" s="2"/>
    </row>
    <row r="172" spans="1:6" x14ac:dyDescent="0.35">
      <c r="A172" s="11"/>
      <c r="B172" s="12"/>
      <c r="C172" s="13"/>
      <c r="D172" s="13" t="s">
        <v>49</v>
      </c>
      <c r="E172" s="6"/>
      <c r="F172" s="2"/>
    </row>
    <row r="173" spans="1:6" x14ac:dyDescent="0.35">
      <c r="A173" s="11"/>
      <c r="B173" s="12"/>
      <c r="C173" s="13"/>
      <c r="D173" s="13" t="s">
        <v>49</v>
      </c>
      <c r="E173" s="6"/>
      <c r="F173" s="2"/>
    </row>
    <row r="174" spans="1:6" x14ac:dyDescent="0.35">
      <c r="A174" s="11"/>
      <c r="B174" s="12"/>
      <c r="C174" s="13"/>
      <c r="D174" s="13" t="s">
        <v>49</v>
      </c>
      <c r="E174" s="6"/>
      <c r="F174" s="2"/>
    </row>
    <row r="175" spans="1:6" x14ac:dyDescent="0.35">
      <c r="A175" s="11"/>
      <c r="B175" s="12"/>
      <c r="C175" s="13"/>
      <c r="D175" s="13" t="s">
        <v>49</v>
      </c>
      <c r="E175" s="6"/>
      <c r="F175" s="2"/>
    </row>
    <row r="176" spans="1:6" x14ac:dyDescent="0.35">
      <c r="A176" s="11"/>
      <c r="B176" s="12"/>
      <c r="C176" s="13"/>
      <c r="D176" s="13" t="s">
        <v>49</v>
      </c>
      <c r="E176" s="6"/>
      <c r="F176" s="2"/>
    </row>
    <row r="177" spans="1:6" x14ac:dyDescent="0.35">
      <c r="A177" s="11"/>
      <c r="B177" s="12"/>
      <c r="C177" s="13"/>
      <c r="D177" s="13" t="s">
        <v>49</v>
      </c>
      <c r="E177" s="6"/>
      <c r="F177" s="2"/>
    </row>
    <row r="178" spans="1:6" x14ac:dyDescent="0.35">
      <c r="A178" s="11"/>
      <c r="B178" s="12"/>
      <c r="C178" s="13"/>
      <c r="D178" s="13" t="s">
        <v>49</v>
      </c>
      <c r="E178" s="6"/>
      <c r="F178" s="2"/>
    </row>
    <row r="179" spans="1:6" x14ac:dyDescent="0.35">
      <c r="A179" s="11"/>
      <c r="B179" s="12"/>
      <c r="C179" s="13"/>
      <c r="D179" s="13" t="s">
        <v>49</v>
      </c>
      <c r="E179" s="6"/>
      <c r="F179" s="2"/>
    </row>
    <row r="180" spans="1:6" x14ac:dyDescent="0.35">
      <c r="A180" s="11"/>
      <c r="B180" s="12"/>
      <c r="C180" s="13"/>
      <c r="D180" s="13" t="s">
        <v>49</v>
      </c>
      <c r="E180" s="6"/>
      <c r="F180" s="2"/>
    </row>
    <row r="181" spans="1:6" x14ac:dyDescent="0.35">
      <c r="A181" s="11"/>
      <c r="B181" s="12"/>
      <c r="C181" s="13"/>
      <c r="D181" s="13" t="s">
        <v>49</v>
      </c>
      <c r="E181" s="6"/>
      <c r="F181" s="2"/>
    </row>
    <row r="182" spans="1:6" x14ac:dyDescent="0.35">
      <c r="A182" s="11"/>
      <c r="B182" s="12"/>
      <c r="C182" s="13"/>
      <c r="D182" s="13" t="s">
        <v>49</v>
      </c>
      <c r="E182" s="6"/>
      <c r="F182" s="2"/>
    </row>
    <row r="183" spans="1:6" x14ac:dyDescent="0.35">
      <c r="A183" s="11"/>
      <c r="B183" s="12"/>
      <c r="C183" s="13"/>
      <c r="D183" s="13" t="s">
        <v>49</v>
      </c>
      <c r="E183" s="6"/>
      <c r="F183" s="2"/>
    </row>
    <row r="184" spans="1:6" x14ac:dyDescent="0.35">
      <c r="A184" s="11"/>
      <c r="B184" s="12"/>
      <c r="C184" s="13"/>
      <c r="D184" s="13" t="s">
        <v>49</v>
      </c>
      <c r="E184" s="6"/>
      <c r="F184" s="2"/>
    </row>
    <row r="185" spans="1:6" x14ac:dyDescent="0.35">
      <c r="A185" s="11"/>
      <c r="B185" s="12"/>
      <c r="C185" s="13"/>
      <c r="D185" s="13" t="s">
        <v>49</v>
      </c>
      <c r="E185" s="6"/>
      <c r="F185" s="2"/>
    </row>
    <row r="186" spans="1:6" x14ac:dyDescent="0.35">
      <c r="A186" s="11"/>
      <c r="B186" s="12"/>
      <c r="C186" s="13"/>
      <c r="D186" s="13" t="s">
        <v>49</v>
      </c>
      <c r="E186" s="6"/>
      <c r="F186" s="2"/>
    </row>
    <row r="187" spans="1:6" x14ac:dyDescent="0.35">
      <c r="A187" s="11"/>
      <c r="B187" s="12"/>
      <c r="C187" s="13"/>
      <c r="D187" s="13" t="s">
        <v>49</v>
      </c>
      <c r="E187" s="6"/>
      <c r="F187" s="2"/>
    </row>
    <row r="188" spans="1:6" x14ac:dyDescent="0.35">
      <c r="A188" s="11"/>
      <c r="B188" s="12"/>
      <c r="C188" s="13"/>
      <c r="D188" s="13" t="s">
        <v>49</v>
      </c>
      <c r="E188" s="6"/>
      <c r="F188" s="2"/>
    </row>
    <row r="189" spans="1:6" x14ac:dyDescent="0.35">
      <c r="A189" s="11"/>
      <c r="B189" s="12"/>
      <c r="C189" s="13"/>
      <c r="D189" s="13" t="s">
        <v>49</v>
      </c>
      <c r="E189" s="6"/>
      <c r="F189" s="2"/>
    </row>
    <row r="190" spans="1:6" x14ac:dyDescent="0.35">
      <c r="A190" s="11"/>
      <c r="B190" s="12"/>
      <c r="C190" s="13"/>
      <c r="D190" s="13" t="s">
        <v>49</v>
      </c>
      <c r="E190" s="6"/>
      <c r="F190" s="2"/>
    </row>
    <row r="191" spans="1:6" x14ac:dyDescent="0.35">
      <c r="A191" s="11"/>
      <c r="B191" s="12"/>
      <c r="C191" s="13"/>
      <c r="D191" s="13" t="s">
        <v>49</v>
      </c>
      <c r="E191" s="6"/>
      <c r="F191" s="2"/>
    </row>
    <row r="192" spans="1:6" x14ac:dyDescent="0.35">
      <c r="A192" s="11"/>
      <c r="B192" s="12"/>
      <c r="C192" s="13"/>
      <c r="D192" s="13" t="s">
        <v>49</v>
      </c>
      <c r="E192" s="6"/>
      <c r="F192" s="2"/>
    </row>
    <row r="193" spans="1:6" x14ac:dyDescent="0.35">
      <c r="A193" s="11"/>
      <c r="B193" s="12"/>
      <c r="C193" s="13"/>
      <c r="D193" s="13" t="s">
        <v>49</v>
      </c>
      <c r="E193" s="6"/>
      <c r="F193" s="2"/>
    </row>
    <row r="194" spans="1:6" x14ac:dyDescent="0.35">
      <c r="A194" s="11"/>
      <c r="B194" s="12"/>
      <c r="C194" s="13"/>
      <c r="D194" s="13" t="s">
        <v>49</v>
      </c>
      <c r="E194" s="6"/>
      <c r="F194" s="2"/>
    </row>
    <row r="195" spans="1:6" x14ac:dyDescent="0.35">
      <c r="A195" s="11"/>
      <c r="B195" s="12"/>
      <c r="C195" s="13"/>
      <c r="D195" s="13" t="s">
        <v>49</v>
      </c>
      <c r="E195" s="6"/>
      <c r="F195" s="2"/>
    </row>
    <row r="196" spans="1:6" x14ac:dyDescent="0.35">
      <c r="A196" s="11"/>
      <c r="B196" s="12"/>
      <c r="C196" s="13"/>
      <c r="D196" s="13" t="s">
        <v>49</v>
      </c>
      <c r="E196" s="6"/>
      <c r="F196" s="2"/>
    </row>
    <row r="197" spans="1:6" x14ac:dyDescent="0.35">
      <c r="A197" s="11"/>
      <c r="B197" s="12"/>
      <c r="C197" s="13"/>
      <c r="D197" s="13" t="s">
        <v>49</v>
      </c>
      <c r="E197" s="6"/>
      <c r="F197" s="2"/>
    </row>
    <row r="198" spans="1:6" x14ac:dyDescent="0.35">
      <c r="A198" s="11"/>
      <c r="B198" s="12"/>
      <c r="C198" s="13"/>
      <c r="D198" s="13" t="s">
        <v>49</v>
      </c>
      <c r="E198" s="6"/>
      <c r="F198" s="2"/>
    </row>
    <row r="199" spans="1:6" x14ac:dyDescent="0.35">
      <c r="A199" s="11"/>
      <c r="B199" s="12"/>
      <c r="C199" s="13"/>
      <c r="D199" s="13" t="s">
        <v>49</v>
      </c>
      <c r="E199" s="6"/>
      <c r="F199" s="2"/>
    </row>
    <row r="200" spans="1:6" x14ac:dyDescent="0.35">
      <c r="A200" s="11"/>
      <c r="B200" s="12"/>
      <c r="C200" s="13"/>
      <c r="D200" s="13" t="s">
        <v>49</v>
      </c>
      <c r="E200" s="6"/>
      <c r="F200" s="2"/>
    </row>
    <row r="201" spans="1:6" x14ac:dyDescent="0.35">
      <c r="A201" s="11"/>
      <c r="B201" s="12"/>
      <c r="C201" s="13"/>
      <c r="D201" s="13" t="s">
        <v>49</v>
      </c>
      <c r="E201" s="6"/>
      <c r="F201" s="2"/>
    </row>
    <row r="202" spans="1:6" x14ac:dyDescent="0.35">
      <c r="A202" s="11"/>
      <c r="B202" s="12"/>
      <c r="C202" s="13"/>
      <c r="D202" s="13" t="s">
        <v>49</v>
      </c>
      <c r="E202" s="6"/>
      <c r="F202" s="2"/>
    </row>
    <row r="203" spans="1:6" x14ac:dyDescent="0.35">
      <c r="A203" s="11"/>
      <c r="B203" s="12"/>
      <c r="C203" s="13"/>
      <c r="D203" s="13" t="s">
        <v>49</v>
      </c>
      <c r="E203" s="6"/>
      <c r="F203" s="2"/>
    </row>
    <row r="204" spans="1:6" x14ac:dyDescent="0.35">
      <c r="A204" s="11"/>
      <c r="B204" s="12"/>
      <c r="C204" s="13"/>
      <c r="D204" s="13" t="s">
        <v>49</v>
      </c>
      <c r="E204" s="6"/>
      <c r="F204" s="2"/>
    </row>
    <row r="205" spans="1:6" x14ac:dyDescent="0.35">
      <c r="A205" s="11"/>
      <c r="B205" s="12"/>
      <c r="C205" s="13"/>
      <c r="D205" s="13" t="s">
        <v>49</v>
      </c>
      <c r="E205" s="6"/>
      <c r="F205" s="2"/>
    </row>
    <row r="206" spans="1:6" x14ac:dyDescent="0.35">
      <c r="A206" s="11"/>
      <c r="B206" s="12"/>
      <c r="C206" s="13"/>
      <c r="D206" s="13" t="s">
        <v>49</v>
      </c>
      <c r="E206" s="6"/>
      <c r="F206" s="2"/>
    </row>
    <row r="207" spans="1:6" x14ac:dyDescent="0.35">
      <c r="A207" s="11"/>
      <c r="B207" s="12"/>
      <c r="C207" s="13"/>
      <c r="D207" s="13" t="s">
        <v>49</v>
      </c>
      <c r="E207" s="6"/>
      <c r="F207" s="2"/>
    </row>
    <row r="208" spans="1:6" x14ac:dyDescent="0.35">
      <c r="A208" s="11"/>
      <c r="B208" s="12"/>
      <c r="C208" s="13"/>
      <c r="D208" s="13" t="s">
        <v>49</v>
      </c>
      <c r="E208" s="6"/>
      <c r="F208" s="2"/>
    </row>
    <row r="209" spans="1:6" x14ac:dyDescent="0.35">
      <c r="A209" s="11"/>
      <c r="B209" s="12"/>
      <c r="C209" s="13"/>
      <c r="D209" s="13" t="s">
        <v>49</v>
      </c>
      <c r="E209" s="6"/>
      <c r="F209" s="2"/>
    </row>
    <row r="210" spans="1:6" x14ac:dyDescent="0.35">
      <c r="A210" s="11"/>
      <c r="B210" s="12"/>
      <c r="C210" s="13"/>
      <c r="D210" s="13" t="s">
        <v>49</v>
      </c>
      <c r="E210" s="6"/>
      <c r="F210" s="2"/>
    </row>
    <row r="211" spans="1:6" x14ac:dyDescent="0.35">
      <c r="A211" s="11"/>
      <c r="B211" s="12"/>
      <c r="C211" s="13"/>
      <c r="D211" s="13" t="s">
        <v>49</v>
      </c>
      <c r="E211" s="6"/>
      <c r="F211" s="2"/>
    </row>
    <row r="212" spans="1:6" x14ac:dyDescent="0.35">
      <c r="A212" s="11"/>
      <c r="B212" s="12"/>
      <c r="C212" s="13"/>
      <c r="D212" s="13" t="s">
        <v>49</v>
      </c>
      <c r="E212" s="6"/>
      <c r="F212" s="2"/>
    </row>
    <row r="213" spans="1:6" x14ac:dyDescent="0.35">
      <c r="A213" s="11"/>
      <c r="B213" s="12"/>
      <c r="C213" s="13"/>
      <c r="D213" s="13" t="s">
        <v>49</v>
      </c>
      <c r="E213" s="6"/>
      <c r="F213" s="2"/>
    </row>
    <row r="214" spans="1:6" x14ac:dyDescent="0.35">
      <c r="A214" s="11"/>
      <c r="B214" s="12"/>
      <c r="C214" s="13"/>
      <c r="D214" s="13" t="s">
        <v>49</v>
      </c>
      <c r="E214" s="6"/>
      <c r="F214" s="2"/>
    </row>
    <row r="215" spans="1:6" x14ac:dyDescent="0.35">
      <c r="A215" s="11"/>
      <c r="B215" s="12"/>
      <c r="C215" s="13"/>
      <c r="D215" s="13" t="s">
        <v>49</v>
      </c>
      <c r="E215" s="6"/>
      <c r="F215" s="2"/>
    </row>
    <row r="216" spans="1:6" x14ac:dyDescent="0.35">
      <c r="A216" s="11"/>
      <c r="B216" s="12"/>
      <c r="C216" s="13"/>
      <c r="D216" s="13" t="s">
        <v>49</v>
      </c>
      <c r="E216" s="6"/>
      <c r="F216" s="2"/>
    </row>
    <row r="217" spans="1:6" x14ac:dyDescent="0.35">
      <c r="A217" s="11"/>
      <c r="B217" s="12"/>
      <c r="C217" s="13"/>
      <c r="D217" s="13" t="s">
        <v>49</v>
      </c>
      <c r="E217" s="6"/>
      <c r="F217" s="2"/>
    </row>
    <row r="218" spans="1:6" x14ac:dyDescent="0.35">
      <c r="A218" s="11"/>
      <c r="B218" s="12"/>
      <c r="C218" s="13"/>
      <c r="D218" s="13" t="s">
        <v>49</v>
      </c>
      <c r="E218" s="6"/>
      <c r="F218" s="2"/>
    </row>
    <row r="219" spans="1:6" x14ac:dyDescent="0.35">
      <c r="A219" s="11"/>
      <c r="B219" s="12"/>
      <c r="C219" s="13"/>
      <c r="D219" s="13" t="s">
        <v>49</v>
      </c>
      <c r="E219" s="6"/>
      <c r="F219" s="2"/>
    </row>
    <row r="220" spans="1:6" x14ac:dyDescent="0.35">
      <c r="A220" s="11"/>
      <c r="B220" s="12"/>
      <c r="C220" s="13"/>
      <c r="D220" s="13" t="s">
        <v>49</v>
      </c>
      <c r="E220" s="6"/>
      <c r="F220" s="2"/>
    </row>
    <row r="221" spans="1:6" x14ac:dyDescent="0.35">
      <c r="A221" s="11"/>
      <c r="B221" s="12"/>
      <c r="C221" s="13"/>
      <c r="D221" s="13" t="s">
        <v>49</v>
      </c>
      <c r="E221" s="6"/>
      <c r="F221" s="2"/>
    </row>
    <row r="222" spans="1:6" x14ac:dyDescent="0.35">
      <c r="A222" s="11"/>
      <c r="B222" s="12"/>
      <c r="C222" s="13"/>
      <c r="D222" s="13" t="s">
        <v>49</v>
      </c>
      <c r="E222" s="6"/>
      <c r="F222" s="2"/>
    </row>
    <row r="223" spans="1:6" x14ac:dyDescent="0.35">
      <c r="A223" s="11"/>
      <c r="B223" s="12"/>
      <c r="C223" s="13"/>
      <c r="D223" s="13" t="s">
        <v>49</v>
      </c>
      <c r="E223" s="6"/>
      <c r="F223" s="2"/>
    </row>
    <row r="224" spans="1:6" x14ac:dyDescent="0.35">
      <c r="A224" s="11"/>
      <c r="B224" s="12"/>
      <c r="C224" s="13"/>
      <c r="D224" s="13" t="s">
        <v>49</v>
      </c>
      <c r="E224" s="6"/>
      <c r="F224" s="2"/>
    </row>
    <row r="225" spans="1:6" x14ac:dyDescent="0.35">
      <c r="A225" s="11"/>
      <c r="B225" s="12"/>
      <c r="C225" s="13"/>
      <c r="D225" s="13" t="s">
        <v>49</v>
      </c>
      <c r="E225" s="6"/>
      <c r="F225" s="2"/>
    </row>
    <row r="226" spans="1:6" x14ac:dyDescent="0.35">
      <c r="A226" s="11"/>
      <c r="B226" s="12"/>
      <c r="C226" s="13"/>
      <c r="D226" s="13" t="s">
        <v>49</v>
      </c>
      <c r="E226" s="6"/>
      <c r="F226" s="2"/>
    </row>
    <row r="227" spans="1:6" x14ac:dyDescent="0.35">
      <c r="A227" s="11"/>
      <c r="B227" s="12"/>
      <c r="C227" s="13"/>
      <c r="D227" s="13" t="s">
        <v>49</v>
      </c>
      <c r="E227" s="6"/>
      <c r="F227" s="2"/>
    </row>
    <row r="228" spans="1:6" x14ac:dyDescent="0.35">
      <c r="A228" s="11"/>
      <c r="B228" s="12"/>
      <c r="C228" s="13"/>
      <c r="D228" s="13" t="s">
        <v>49</v>
      </c>
      <c r="E228" s="6"/>
      <c r="F228" s="2"/>
    </row>
    <row r="229" spans="1:6" x14ac:dyDescent="0.35">
      <c r="A229" s="11"/>
      <c r="B229" s="12"/>
      <c r="C229" s="13"/>
      <c r="D229" s="13" t="s">
        <v>49</v>
      </c>
      <c r="E229" s="6"/>
      <c r="F229" s="2"/>
    </row>
    <row r="230" spans="1:6" x14ac:dyDescent="0.35">
      <c r="A230" s="11"/>
      <c r="B230" s="12"/>
      <c r="C230" s="13"/>
      <c r="D230" s="13" t="s">
        <v>49</v>
      </c>
      <c r="E230" s="6"/>
      <c r="F230" s="2"/>
    </row>
    <row r="231" spans="1:6" x14ac:dyDescent="0.35">
      <c r="A231" s="11"/>
      <c r="B231" s="12"/>
      <c r="C231" s="13"/>
      <c r="D231" s="13" t="s">
        <v>49</v>
      </c>
      <c r="E231" s="6"/>
      <c r="F231" s="2"/>
    </row>
    <row r="232" spans="1:6" x14ac:dyDescent="0.35">
      <c r="A232" s="11"/>
      <c r="B232" s="12"/>
      <c r="C232" s="13"/>
      <c r="D232" s="13" t="s">
        <v>49</v>
      </c>
      <c r="E232" s="6"/>
      <c r="F232" s="2"/>
    </row>
    <row r="233" spans="1:6" x14ac:dyDescent="0.35">
      <c r="A233" s="11"/>
      <c r="B233" s="12"/>
      <c r="C233" s="13"/>
      <c r="D233" s="13" t="s">
        <v>49</v>
      </c>
      <c r="E233" s="6"/>
      <c r="F233" s="2"/>
    </row>
    <row r="234" spans="1:6" x14ac:dyDescent="0.35">
      <c r="A234" s="11"/>
      <c r="B234" s="12"/>
      <c r="C234" s="13"/>
      <c r="D234" s="13" t="s">
        <v>49</v>
      </c>
      <c r="E234" s="6"/>
      <c r="F234" s="2"/>
    </row>
    <row r="235" spans="1:6" x14ac:dyDescent="0.35">
      <c r="A235" s="11"/>
      <c r="B235" s="12"/>
      <c r="C235" s="13"/>
      <c r="D235" s="13" t="s">
        <v>49</v>
      </c>
      <c r="E235" s="6"/>
      <c r="F235" s="2"/>
    </row>
    <row r="236" spans="1:6" x14ac:dyDescent="0.35">
      <c r="A236" s="11"/>
      <c r="B236" s="12"/>
      <c r="C236" s="13"/>
      <c r="D236" s="13" t="s">
        <v>49</v>
      </c>
      <c r="E236" s="6"/>
      <c r="F236" s="2"/>
    </row>
    <row r="237" spans="1:6" x14ac:dyDescent="0.35">
      <c r="A237" s="11"/>
      <c r="B237" s="12"/>
      <c r="C237" s="13"/>
      <c r="D237" s="13" t="s">
        <v>49</v>
      </c>
      <c r="E237" s="6"/>
      <c r="F237" s="2"/>
    </row>
    <row r="238" spans="1:6" x14ac:dyDescent="0.35">
      <c r="A238" s="11"/>
      <c r="B238" s="12"/>
      <c r="C238" s="13"/>
      <c r="D238" s="13" t="s">
        <v>49</v>
      </c>
      <c r="E238" s="6"/>
      <c r="F238" s="2"/>
    </row>
    <row r="239" spans="1:6" x14ac:dyDescent="0.35">
      <c r="A239" s="11"/>
      <c r="B239" s="12"/>
      <c r="C239" s="13"/>
      <c r="D239" s="13" t="s">
        <v>49</v>
      </c>
      <c r="E239" s="6"/>
      <c r="F239" s="2"/>
    </row>
    <row r="240" spans="1:6" x14ac:dyDescent="0.35">
      <c r="A240" s="11"/>
      <c r="B240" s="12"/>
      <c r="C240" s="13"/>
      <c r="D240" s="13" t="s">
        <v>49</v>
      </c>
      <c r="E240" s="6"/>
      <c r="F240" s="2"/>
    </row>
    <row r="241" spans="1:6" x14ac:dyDescent="0.35">
      <c r="A241" s="11"/>
      <c r="B241" s="12"/>
      <c r="C241" s="13"/>
      <c r="D241" s="13" t="s">
        <v>49</v>
      </c>
      <c r="E241" s="6"/>
      <c r="F241" s="2"/>
    </row>
    <row r="242" spans="1:6" x14ac:dyDescent="0.35">
      <c r="A242" s="11"/>
      <c r="B242" s="12"/>
      <c r="C242" s="13"/>
      <c r="D242" s="13" t="s">
        <v>49</v>
      </c>
      <c r="E242" s="6"/>
      <c r="F242" s="2"/>
    </row>
    <row r="243" spans="1:6" x14ac:dyDescent="0.35">
      <c r="A243" s="11"/>
      <c r="B243" s="12"/>
      <c r="C243" s="13"/>
      <c r="D243" s="13" t="s">
        <v>49</v>
      </c>
      <c r="E243" s="6"/>
      <c r="F243" s="2"/>
    </row>
    <row r="244" spans="1:6" x14ac:dyDescent="0.35">
      <c r="A244" s="11"/>
      <c r="B244" s="12"/>
      <c r="C244" s="13"/>
      <c r="D244" s="13" t="s">
        <v>49</v>
      </c>
      <c r="E244" s="6"/>
      <c r="F244" s="2"/>
    </row>
    <row r="245" spans="1:6" x14ac:dyDescent="0.35">
      <c r="A245" s="11"/>
      <c r="B245" s="12"/>
      <c r="C245" s="13"/>
      <c r="D245" s="13" t="s">
        <v>49</v>
      </c>
      <c r="E245" s="6"/>
      <c r="F245" s="2"/>
    </row>
    <row r="246" spans="1:6" x14ac:dyDescent="0.35">
      <c r="A246" s="11"/>
      <c r="B246" s="12"/>
      <c r="C246" s="13"/>
      <c r="D246" s="13" t="s">
        <v>49</v>
      </c>
      <c r="E246" s="6"/>
      <c r="F246" s="2"/>
    </row>
    <row r="247" spans="1:6" x14ac:dyDescent="0.35">
      <c r="A247" s="11"/>
      <c r="B247" s="12"/>
      <c r="C247" s="13"/>
      <c r="D247" s="13" t="s">
        <v>49</v>
      </c>
      <c r="E247" s="6"/>
      <c r="F247" s="2"/>
    </row>
    <row r="248" spans="1:6" x14ac:dyDescent="0.35">
      <c r="A248" s="11"/>
      <c r="B248" s="12"/>
      <c r="C248" s="13"/>
      <c r="D248" s="13" t="s">
        <v>49</v>
      </c>
      <c r="E248" s="6"/>
      <c r="F248" s="2"/>
    </row>
    <row r="249" spans="1:6" x14ac:dyDescent="0.35">
      <c r="A249" s="11"/>
      <c r="B249" s="12"/>
      <c r="C249" s="13"/>
      <c r="D249" s="13" t="s">
        <v>49</v>
      </c>
      <c r="E249" s="6"/>
      <c r="F249" s="2"/>
    </row>
    <row r="250" spans="1:6" x14ac:dyDescent="0.35">
      <c r="A250" s="11"/>
      <c r="B250" s="12"/>
      <c r="C250" s="13"/>
      <c r="D250" s="13" t="s">
        <v>49</v>
      </c>
      <c r="E250" s="6"/>
      <c r="F250" s="2"/>
    </row>
    <row r="251" spans="1:6" x14ac:dyDescent="0.35">
      <c r="A251" s="11"/>
      <c r="B251" s="12"/>
      <c r="C251" s="13"/>
      <c r="D251" s="13" t="s">
        <v>49</v>
      </c>
      <c r="E251" s="6"/>
      <c r="F251" s="2"/>
    </row>
    <row r="252" spans="1:6" x14ac:dyDescent="0.35">
      <c r="A252" s="11"/>
      <c r="B252" s="12"/>
      <c r="C252" s="13"/>
      <c r="D252" s="13" t="s">
        <v>49</v>
      </c>
      <c r="E252" s="6"/>
      <c r="F252" s="2"/>
    </row>
    <row r="253" spans="1:6" x14ac:dyDescent="0.35">
      <c r="A253" s="11"/>
      <c r="B253" s="12"/>
      <c r="C253" s="13"/>
      <c r="D253" s="13" t="s">
        <v>49</v>
      </c>
      <c r="E253" s="6"/>
      <c r="F253" s="2"/>
    </row>
    <row r="254" spans="1:6" x14ac:dyDescent="0.35">
      <c r="A254" s="11"/>
      <c r="B254" s="12"/>
      <c r="C254" s="13"/>
      <c r="D254" s="13" t="s">
        <v>49</v>
      </c>
      <c r="E254" s="6"/>
      <c r="F254" s="2"/>
    </row>
    <row r="255" spans="1:6" x14ac:dyDescent="0.35">
      <c r="A255" s="11"/>
      <c r="B255" s="12"/>
      <c r="C255" s="13"/>
      <c r="D255" s="13" t="s">
        <v>49</v>
      </c>
      <c r="E255" s="6"/>
      <c r="F255" s="2"/>
    </row>
    <row r="256" spans="1:6" x14ac:dyDescent="0.35">
      <c r="A256" s="11"/>
      <c r="B256" s="12"/>
      <c r="C256" s="13"/>
      <c r="D256" s="13" t="s">
        <v>49</v>
      </c>
      <c r="E256" s="6"/>
      <c r="F256" s="2"/>
    </row>
    <row r="257" spans="1:6" x14ac:dyDescent="0.35">
      <c r="A257" s="11"/>
      <c r="B257" s="12"/>
      <c r="C257" s="13"/>
      <c r="D257" s="13" t="s">
        <v>49</v>
      </c>
      <c r="E257" s="6"/>
      <c r="F257" s="2"/>
    </row>
    <row r="258" spans="1:6" x14ac:dyDescent="0.35">
      <c r="A258" s="11"/>
      <c r="B258" s="12"/>
      <c r="C258" s="13"/>
      <c r="D258" s="13" t="s">
        <v>49</v>
      </c>
      <c r="E258" s="6"/>
      <c r="F258" s="2"/>
    </row>
    <row r="259" spans="1:6" x14ac:dyDescent="0.35">
      <c r="A259" s="11"/>
      <c r="B259" s="12"/>
      <c r="C259" s="13"/>
      <c r="D259" s="13" t="s">
        <v>49</v>
      </c>
      <c r="E259" s="6"/>
      <c r="F259" s="2"/>
    </row>
    <row r="260" spans="1:6" x14ac:dyDescent="0.35">
      <c r="A260" s="11"/>
      <c r="B260" s="12"/>
      <c r="C260" s="13"/>
      <c r="D260" s="13" t="s">
        <v>49</v>
      </c>
      <c r="E260" s="6"/>
      <c r="F260" s="2"/>
    </row>
    <row r="261" spans="1:6" x14ac:dyDescent="0.35">
      <c r="A261" s="11"/>
      <c r="B261" s="12"/>
      <c r="C261" s="13"/>
      <c r="D261" s="13" t="s">
        <v>49</v>
      </c>
      <c r="E261" s="6"/>
      <c r="F261" s="2"/>
    </row>
    <row r="262" spans="1:6" x14ac:dyDescent="0.35">
      <c r="A262" s="11"/>
      <c r="B262" s="12"/>
      <c r="C262" s="13"/>
      <c r="D262" s="13" t="s">
        <v>49</v>
      </c>
      <c r="E262" s="6"/>
      <c r="F262" s="2"/>
    </row>
    <row r="263" spans="1:6" x14ac:dyDescent="0.35">
      <c r="A263" s="11"/>
      <c r="B263" s="12"/>
      <c r="C263" s="13"/>
      <c r="D263" s="13" t="s">
        <v>49</v>
      </c>
      <c r="E263" s="6"/>
      <c r="F263" s="2"/>
    </row>
    <row r="264" spans="1:6" x14ac:dyDescent="0.35">
      <c r="A264" s="11"/>
      <c r="B264" s="12"/>
      <c r="C264" s="13"/>
      <c r="D264" s="13" t="s">
        <v>49</v>
      </c>
      <c r="E264" s="6"/>
      <c r="F264" s="2"/>
    </row>
    <row r="265" spans="1:6" x14ac:dyDescent="0.35">
      <c r="A265" s="11"/>
      <c r="B265" s="12"/>
      <c r="C265" s="13"/>
      <c r="D265" s="13" t="s">
        <v>49</v>
      </c>
      <c r="E265" s="6"/>
      <c r="F265" s="2"/>
    </row>
    <row r="266" spans="1:6" x14ac:dyDescent="0.35">
      <c r="A266" s="11"/>
      <c r="B266" s="12"/>
      <c r="C266" s="13"/>
      <c r="D266" s="13" t="s">
        <v>49</v>
      </c>
      <c r="E266" s="6"/>
      <c r="F266" s="2"/>
    </row>
    <row r="267" spans="1:6" x14ac:dyDescent="0.35">
      <c r="A267" s="11"/>
      <c r="B267" s="12"/>
      <c r="C267" s="13"/>
      <c r="D267" s="13" t="s">
        <v>49</v>
      </c>
      <c r="E267" s="6"/>
      <c r="F267" s="2"/>
    </row>
    <row r="268" spans="1:6" x14ac:dyDescent="0.35">
      <c r="A268" s="11"/>
      <c r="B268" s="12"/>
      <c r="C268" s="13"/>
      <c r="D268" s="13" t="s">
        <v>49</v>
      </c>
      <c r="E268" s="6"/>
      <c r="F268" s="2"/>
    </row>
    <row r="269" spans="1:6" x14ac:dyDescent="0.35">
      <c r="A269" s="11"/>
      <c r="B269" s="12"/>
      <c r="C269" s="13"/>
      <c r="D269" s="13" t="s">
        <v>49</v>
      </c>
      <c r="E269" s="6"/>
      <c r="F269" s="2"/>
    </row>
    <row r="270" spans="1:6" x14ac:dyDescent="0.35">
      <c r="A270" s="11"/>
      <c r="B270" s="12"/>
      <c r="C270" s="13"/>
      <c r="D270" s="13" t="s">
        <v>49</v>
      </c>
      <c r="E270" s="6"/>
      <c r="F270" s="2"/>
    </row>
    <row r="271" spans="1:6" x14ac:dyDescent="0.35">
      <c r="A271" s="11"/>
      <c r="B271" s="12"/>
      <c r="C271" s="13"/>
      <c r="D271" s="13" t="s">
        <v>49</v>
      </c>
      <c r="E271" s="6"/>
      <c r="F271" s="2"/>
    </row>
    <row r="272" spans="1:6" x14ac:dyDescent="0.35">
      <c r="A272" s="11"/>
      <c r="B272" s="12"/>
      <c r="C272" s="13"/>
      <c r="D272" s="13" t="s">
        <v>49</v>
      </c>
      <c r="E272" s="6"/>
      <c r="F272" s="2"/>
    </row>
    <row r="273" spans="1:6" x14ac:dyDescent="0.35">
      <c r="A273" s="11"/>
      <c r="B273" s="12"/>
      <c r="C273" s="13"/>
      <c r="D273" s="13" t="s">
        <v>49</v>
      </c>
      <c r="E273" s="6"/>
      <c r="F273" s="2"/>
    </row>
    <row r="274" spans="1:6" x14ac:dyDescent="0.35">
      <c r="A274" s="11"/>
      <c r="B274" s="12"/>
      <c r="C274" s="13"/>
      <c r="D274" s="13" t="s">
        <v>49</v>
      </c>
      <c r="E274" s="6"/>
      <c r="F274" s="2"/>
    </row>
    <row r="275" spans="1:6" x14ac:dyDescent="0.35">
      <c r="A275" s="11"/>
      <c r="B275" s="12"/>
      <c r="C275" s="13"/>
      <c r="D275" s="13" t="s">
        <v>49</v>
      </c>
      <c r="E275" s="6"/>
      <c r="F275" s="2"/>
    </row>
    <row r="276" spans="1:6" x14ac:dyDescent="0.35">
      <c r="A276" s="11"/>
      <c r="B276" s="12"/>
      <c r="C276" s="13"/>
      <c r="D276" s="13" t="s">
        <v>49</v>
      </c>
      <c r="E276" s="6"/>
      <c r="F276" s="2"/>
    </row>
    <row r="277" spans="1:6" x14ac:dyDescent="0.35">
      <c r="A277" s="11"/>
      <c r="B277" s="12"/>
      <c r="C277" s="13"/>
      <c r="D277" s="13" t="s">
        <v>49</v>
      </c>
      <c r="E277" s="6"/>
      <c r="F277" s="2"/>
    </row>
    <row r="278" spans="1:6" x14ac:dyDescent="0.35">
      <c r="A278" s="11"/>
      <c r="B278" s="12"/>
      <c r="C278" s="13"/>
      <c r="D278" s="13" t="s">
        <v>49</v>
      </c>
      <c r="E278" s="6"/>
      <c r="F278" s="2"/>
    </row>
    <row r="279" spans="1:6" x14ac:dyDescent="0.35">
      <c r="A279" s="11"/>
      <c r="B279" s="12"/>
      <c r="C279" s="13"/>
      <c r="D279" s="13" t="s">
        <v>49</v>
      </c>
      <c r="E279" s="6"/>
      <c r="F279" s="2"/>
    </row>
    <row r="280" spans="1:6" x14ac:dyDescent="0.35">
      <c r="A280" s="11"/>
      <c r="B280" s="12"/>
      <c r="C280" s="13"/>
      <c r="D280" s="13" t="s">
        <v>49</v>
      </c>
      <c r="E280" s="6"/>
      <c r="F280" s="2"/>
    </row>
    <row r="281" spans="1:6" x14ac:dyDescent="0.35">
      <c r="A281" s="11"/>
      <c r="B281" s="12"/>
      <c r="C281" s="13"/>
      <c r="D281" s="13" t="s">
        <v>49</v>
      </c>
      <c r="E281" s="6"/>
      <c r="F281" s="2"/>
    </row>
    <row r="282" spans="1:6" x14ac:dyDescent="0.35">
      <c r="A282" s="11"/>
      <c r="B282" s="12"/>
      <c r="C282" s="13"/>
      <c r="D282" s="13" t="s">
        <v>49</v>
      </c>
      <c r="E282" s="6"/>
      <c r="F282" s="2"/>
    </row>
    <row r="283" spans="1:6" x14ac:dyDescent="0.35">
      <c r="A283" s="11"/>
      <c r="B283" s="12"/>
      <c r="C283" s="13"/>
      <c r="D283" s="13" t="s">
        <v>49</v>
      </c>
      <c r="E283" s="6"/>
      <c r="F283" s="2"/>
    </row>
    <row r="284" spans="1:6" x14ac:dyDescent="0.35">
      <c r="A284" s="11"/>
      <c r="B284" s="12"/>
      <c r="C284" s="13"/>
      <c r="D284" s="13" t="s">
        <v>49</v>
      </c>
      <c r="E284" s="6"/>
      <c r="F284" s="2"/>
    </row>
    <row r="285" spans="1:6" x14ac:dyDescent="0.35">
      <c r="A285" s="11"/>
      <c r="B285" s="12"/>
      <c r="C285" s="13"/>
      <c r="D285" s="13" t="s">
        <v>49</v>
      </c>
      <c r="E285" s="6"/>
      <c r="F285" s="2"/>
    </row>
    <row r="286" spans="1:6" x14ac:dyDescent="0.35">
      <c r="A286" s="11"/>
      <c r="B286" s="12"/>
      <c r="C286" s="13"/>
      <c r="D286" s="13" t="s">
        <v>49</v>
      </c>
      <c r="E286" s="6"/>
      <c r="F286" s="2"/>
    </row>
    <row r="287" spans="1:6" x14ac:dyDescent="0.35">
      <c r="A287" s="11"/>
      <c r="B287" s="12"/>
      <c r="C287" s="13"/>
      <c r="D287" s="13" t="s">
        <v>49</v>
      </c>
      <c r="E287" s="6"/>
      <c r="F287" s="2"/>
    </row>
    <row r="288" spans="1:6" x14ac:dyDescent="0.35">
      <c r="A288" s="11"/>
      <c r="B288" s="12"/>
      <c r="C288" s="13"/>
      <c r="D288" s="13" t="s">
        <v>49</v>
      </c>
      <c r="E288" s="6"/>
      <c r="F288" s="2"/>
    </row>
    <row r="289" spans="1:6" x14ac:dyDescent="0.35">
      <c r="A289" s="11"/>
      <c r="B289" s="12"/>
      <c r="C289" s="13"/>
      <c r="D289" s="13" t="s">
        <v>49</v>
      </c>
      <c r="E289" s="6"/>
      <c r="F289" s="2"/>
    </row>
    <row r="290" spans="1:6" x14ac:dyDescent="0.35">
      <c r="A290" s="11"/>
      <c r="B290" s="12"/>
      <c r="C290" s="13"/>
      <c r="D290" s="13" t="s">
        <v>49</v>
      </c>
      <c r="E290" s="6"/>
      <c r="F290" s="2"/>
    </row>
    <row r="291" spans="1:6" x14ac:dyDescent="0.35">
      <c r="A291" s="11"/>
      <c r="B291" s="12"/>
      <c r="C291" s="13"/>
      <c r="D291" s="13" t="s">
        <v>49</v>
      </c>
      <c r="E291" s="6"/>
      <c r="F291" s="2"/>
    </row>
    <row r="292" spans="1:6" x14ac:dyDescent="0.35">
      <c r="A292" s="11"/>
      <c r="B292" s="12"/>
      <c r="C292" s="13"/>
      <c r="D292" s="13" t="s">
        <v>49</v>
      </c>
      <c r="E292" s="6"/>
      <c r="F292" s="2"/>
    </row>
    <row r="293" spans="1:6" x14ac:dyDescent="0.35">
      <c r="A293" s="11"/>
      <c r="B293" s="12"/>
      <c r="C293" s="13"/>
      <c r="D293" s="13" t="s">
        <v>49</v>
      </c>
      <c r="E293" s="6"/>
      <c r="F293" s="2"/>
    </row>
    <row r="294" spans="1:6" x14ac:dyDescent="0.35">
      <c r="A294" s="11"/>
      <c r="B294" s="12"/>
      <c r="C294" s="13"/>
      <c r="D294" s="13" t="s">
        <v>49</v>
      </c>
      <c r="E294" s="6"/>
      <c r="F294" s="2"/>
    </row>
    <row r="295" spans="1:6" x14ac:dyDescent="0.35">
      <c r="A295" s="11"/>
      <c r="B295" s="12"/>
      <c r="C295" s="13"/>
      <c r="D295" s="13" t="s">
        <v>49</v>
      </c>
      <c r="E295" s="6"/>
      <c r="F295" s="2"/>
    </row>
    <row r="296" spans="1:6" x14ac:dyDescent="0.35">
      <c r="A296" s="11"/>
      <c r="B296" s="12"/>
      <c r="C296" s="13"/>
      <c r="D296" s="13" t="s">
        <v>49</v>
      </c>
      <c r="E296" s="6"/>
      <c r="F296" s="2"/>
    </row>
    <row r="297" spans="1:6" x14ac:dyDescent="0.35">
      <c r="A297" s="11"/>
      <c r="B297" s="12"/>
      <c r="C297" s="13"/>
      <c r="D297" s="13" t="s">
        <v>49</v>
      </c>
      <c r="E297" s="6"/>
      <c r="F297" s="2"/>
    </row>
    <row r="298" spans="1:6" x14ac:dyDescent="0.35">
      <c r="A298" s="11"/>
      <c r="B298" s="12"/>
      <c r="C298" s="13"/>
      <c r="D298" s="13" t="s">
        <v>49</v>
      </c>
      <c r="E298" s="6"/>
      <c r="F298" s="2"/>
    </row>
    <row r="299" spans="1:6" x14ac:dyDescent="0.35">
      <c r="A299" s="11"/>
      <c r="B299" s="12"/>
      <c r="C299" s="13"/>
      <c r="D299" s="13" t="s">
        <v>49</v>
      </c>
      <c r="E299" s="6"/>
      <c r="F299" s="2"/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Assets!$A$2:$A$9</xm:f>
          </x14:formula1>
          <xm:sqref>C2:C201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52"/>
  <sheetViews>
    <sheetView showGridLines="0"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1" max="1" width="10.453125" bestFit="1" customWidth="1"/>
    <col min="2" max="2" width="24" customWidth="1"/>
    <col min="3" max="3" width="12" customWidth="1"/>
    <col min="4" max="4" width="15" customWidth="1"/>
  </cols>
  <sheetData>
    <row r="1" spans="1:4" x14ac:dyDescent="0.35">
      <c r="A1" s="7" t="s">
        <v>37</v>
      </c>
      <c r="B1" s="7" t="s">
        <v>13</v>
      </c>
      <c r="C1" s="7" t="s">
        <v>14</v>
      </c>
      <c r="D1" s="7" t="s">
        <v>50</v>
      </c>
    </row>
    <row r="2" spans="1:4" x14ac:dyDescent="0.35">
      <c r="A2" s="8">
        <v>45931</v>
      </c>
      <c r="B2" s="5" t="s">
        <v>20</v>
      </c>
      <c r="C2" s="3" t="str">
        <f>IFERROR(VLOOKUP(B2,Assets!$A:$B,2,FALSE),"")</f>
        <v>ETF</v>
      </c>
      <c r="D2" s="6">
        <v>11058</v>
      </c>
    </row>
    <row r="3" spans="1:4" x14ac:dyDescent="0.35">
      <c r="A3" s="8">
        <v>45931</v>
      </c>
      <c r="B3" s="5" t="s">
        <v>25</v>
      </c>
      <c r="C3" s="3" t="str">
        <f>IFERROR(VLOOKUP(B3,Assets!$A:$B,2,FALSE),"")</f>
        <v>ETF</v>
      </c>
      <c r="D3" s="6">
        <v>3265</v>
      </c>
    </row>
    <row r="4" spans="1:4" x14ac:dyDescent="0.35">
      <c r="A4" s="8">
        <v>45931</v>
      </c>
      <c r="B4" s="5" t="s">
        <v>26</v>
      </c>
      <c r="C4" s="3" t="str">
        <f>IFERROR(VLOOKUP(B4,Assets!$A:$B,2,FALSE),"")</f>
        <v>ETF</v>
      </c>
      <c r="D4" s="6">
        <v>1792</v>
      </c>
    </row>
    <row r="5" spans="1:4" x14ac:dyDescent="0.35">
      <c r="A5" s="8">
        <v>45931</v>
      </c>
      <c r="B5" s="5" t="s">
        <v>29</v>
      </c>
      <c r="C5" s="3" t="str">
        <f>IFERROR(VLOOKUP(B5,Assets!$A:$B,2,FALSE),"")</f>
        <v>ETF</v>
      </c>
      <c r="D5" s="6">
        <v>1456</v>
      </c>
    </row>
    <row r="6" spans="1:4" x14ac:dyDescent="0.35">
      <c r="A6" s="8">
        <v>45931</v>
      </c>
      <c r="B6" s="5" t="s">
        <v>31</v>
      </c>
      <c r="C6" s="3" t="str">
        <f>IFERROR(VLOOKUP(B6,Assets!$A:$B,2,FALSE),"")</f>
        <v>ETF</v>
      </c>
      <c r="D6" s="6">
        <v>1456</v>
      </c>
    </row>
    <row r="7" spans="1:4" x14ac:dyDescent="0.35">
      <c r="A7" s="8">
        <v>45931</v>
      </c>
      <c r="B7" s="5" t="s">
        <v>32</v>
      </c>
      <c r="C7" s="3" t="str">
        <f>IFERROR(VLOOKUP(B7,Assets!$A:$B,2,FALSE),"")</f>
        <v>ETF</v>
      </c>
      <c r="D7" s="6">
        <v>1439</v>
      </c>
    </row>
    <row r="8" spans="1:4" x14ac:dyDescent="0.35">
      <c r="A8" s="8">
        <v>45931</v>
      </c>
      <c r="B8" s="5" t="s">
        <v>33</v>
      </c>
      <c r="C8" s="3" t="str">
        <f>IFERROR(VLOOKUP(B8,Assets!$A:$B,2,FALSE),"")</f>
        <v>ETF</v>
      </c>
      <c r="D8" s="6">
        <v>1233</v>
      </c>
    </row>
    <row r="9" spans="1:4" x14ac:dyDescent="0.35">
      <c r="A9" s="8">
        <v>45931</v>
      </c>
      <c r="B9" s="5" t="s">
        <v>34</v>
      </c>
      <c r="C9" s="3" t="str">
        <f>IFERROR(VLOOKUP(B9,Assets!$A:$B,2,FALSE),"")</f>
        <v>ETF</v>
      </c>
      <c r="D9" s="6">
        <v>483.2</v>
      </c>
    </row>
    <row r="10" spans="1:4" x14ac:dyDescent="0.35">
      <c r="A10" s="8">
        <v>45931</v>
      </c>
      <c r="B10" s="5" t="s">
        <v>35</v>
      </c>
      <c r="C10" s="3" t="str">
        <f>IFERROR(VLOOKUP(B10,Assets!$A:$B,2,FALSE),"")</f>
        <v>Savings</v>
      </c>
      <c r="D10" s="6">
        <v>34010.01</v>
      </c>
    </row>
    <row r="11" spans="1:4" x14ac:dyDescent="0.35">
      <c r="A11" s="8">
        <v>45962</v>
      </c>
      <c r="B11" s="5" t="s">
        <v>20</v>
      </c>
      <c r="C11" s="3" t="str">
        <f>IFERROR(VLOOKUP(B11,Assets!$A:$B,2,FALSE),"")</f>
        <v>ETF</v>
      </c>
      <c r="D11" s="6">
        <v>11303</v>
      </c>
    </row>
    <row r="12" spans="1:4" x14ac:dyDescent="0.35">
      <c r="A12" s="8">
        <v>45962</v>
      </c>
      <c r="B12" s="5" t="s">
        <v>25</v>
      </c>
      <c r="C12" s="3" t="str">
        <f>IFERROR(VLOOKUP(B12,Assets!$A:$B,2,FALSE),"")</f>
        <v>ETF</v>
      </c>
      <c r="D12" s="6">
        <v>3177</v>
      </c>
    </row>
    <row r="13" spans="1:4" x14ac:dyDescent="0.35">
      <c r="A13" s="8">
        <v>45962</v>
      </c>
      <c r="B13" s="5" t="s">
        <v>26</v>
      </c>
      <c r="C13" s="3" t="str">
        <f>IFERROR(VLOOKUP(B13,Assets!$A:$B,2,FALSE),"")</f>
        <v>ETF</v>
      </c>
      <c r="D13" s="6">
        <v>1875</v>
      </c>
    </row>
    <row r="14" spans="1:4" x14ac:dyDescent="0.35">
      <c r="A14" s="8">
        <v>45962</v>
      </c>
      <c r="B14" s="5" t="s">
        <v>29</v>
      </c>
      <c r="C14" s="3" t="str">
        <f>IFERROR(VLOOKUP(B14,Assets!$A:$B,2,FALSE),"")</f>
        <v>ETF</v>
      </c>
      <c r="D14" s="6">
        <v>1470</v>
      </c>
    </row>
    <row r="15" spans="1:4" x14ac:dyDescent="0.35">
      <c r="A15" s="8">
        <v>45962</v>
      </c>
      <c r="B15" s="5" t="s">
        <v>31</v>
      </c>
      <c r="C15" s="3" t="str">
        <f>IFERROR(VLOOKUP(B15,Assets!$A:$B,2,FALSE),"")</f>
        <v>ETF</v>
      </c>
      <c r="D15" s="6">
        <v>1478</v>
      </c>
    </row>
    <row r="16" spans="1:4" x14ac:dyDescent="0.35">
      <c r="A16" s="8">
        <v>45962</v>
      </c>
      <c r="B16" s="5" t="s">
        <v>32</v>
      </c>
      <c r="C16" s="3" t="str">
        <f>IFERROR(VLOOKUP(B16,Assets!$A:$B,2,FALSE),"")</f>
        <v>ETF</v>
      </c>
      <c r="D16" s="6">
        <v>1499</v>
      </c>
    </row>
    <row r="17" spans="1:4" x14ac:dyDescent="0.35">
      <c r="A17" s="8">
        <v>45962</v>
      </c>
      <c r="B17" s="5" t="s">
        <v>33</v>
      </c>
      <c r="C17" s="3" t="str">
        <f>IFERROR(VLOOKUP(B17,Assets!$A:$B,2,FALSE),"")</f>
        <v>ETF</v>
      </c>
      <c r="D17" s="6">
        <v>1225</v>
      </c>
    </row>
    <row r="18" spans="1:4" x14ac:dyDescent="0.35">
      <c r="A18" s="8">
        <v>45962</v>
      </c>
      <c r="B18" s="5" t="s">
        <v>34</v>
      </c>
      <c r="C18" s="3" t="str">
        <f>IFERROR(VLOOKUP(B18,Assets!$A:$B,2,FALSE),"")</f>
        <v>ETF</v>
      </c>
      <c r="D18" s="6">
        <v>383.76</v>
      </c>
    </row>
    <row r="19" spans="1:4" x14ac:dyDescent="0.35">
      <c r="A19" s="8">
        <v>45962</v>
      </c>
      <c r="B19" s="5" t="s">
        <v>35</v>
      </c>
      <c r="C19" s="3" t="str">
        <f>IFERROR(VLOOKUP(B19,Assets!$A:$B,2,FALSE),"")</f>
        <v>Savings</v>
      </c>
      <c r="D19" s="6">
        <v>35690.22</v>
      </c>
    </row>
    <row r="20" spans="1:4" x14ac:dyDescent="0.35">
      <c r="A20" s="8">
        <v>45992</v>
      </c>
      <c r="B20" s="5" t="s">
        <v>20</v>
      </c>
      <c r="C20" s="3" t="str">
        <f>IFERROR(VLOOKUP(B20,Assets!$A:$B,2,FALSE),"")</f>
        <v>ETF</v>
      </c>
      <c r="D20" s="6">
        <v>11866</v>
      </c>
    </row>
    <row r="21" spans="1:4" x14ac:dyDescent="0.35">
      <c r="A21" s="8">
        <v>45992</v>
      </c>
      <c r="B21" s="5" t="s">
        <v>25</v>
      </c>
      <c r="C21" s="3" t="str">
        <f>IFERROR(VLOOKUP(B21,Assets!$A:$B,2,FALSE),"")</f>
        <v>ETF</v>
      </c>
      <c r="D21" s="6">
        <v>3256</v>
      </c>
    </row>
    <row r="22" spans="1:4" x14ac:dyDescent="0.35">
      <c r="A22" s="8">
        <v>45992</v>
      </c>
      <c r="B22" s="5" t="s">
        <v>26</v>
      </c>
      <c r="C22" s="3" t="str">
        <f>IFERROR(VLOOKUP(B22,Assets!$A:$B,2,FALSE),"")</f>
        <v>ETF</v>
      </c>
      <c r="D22" s="6">
        <v>2001</v>
      </c>
    </row>
    <row r="23" spans="1:4" x14ac:dyDescent="0.35">
      <c r="A23" s="8">
        <v>45992</v>
      </c>
      <c r="B23" s="5" t="s">
        <v>29</v>
      </c>
      <c r="C23" s="3" t="str">
        <f>IFERROR(VLOOKUP(B23,Assets!$A:$B,2,FALSE),"")</f>
        <v>ETF</v>
      </c>
      <c r="D23" s="6">
        <v>1547</v>
      </c>
    </row>
    <row r="24" spans="1:4" x14ac:dyDescent="0.35">
      <c r="A24" s="8">
        <v>45992</v>
      </c>
      <c r="B24" s="5" t="s">
        <v>31</v>
      </c>
      <c r="C24" s="3" t="str">
        <f>IFERROR(VLOOKUP(B24,Assets!$A:$B,2,FALSE),"")</f>
        <v>ETF</v>
      </c>
      <c r="D24" s="6">
        <v>1534</v>
      </c>
    </row>
    <row r="25" spans="1:4" x14ac:dyDescent="0.35">
      <c r="A25" s="8">
        <v>45992</v>
      </c>
      <c r="B25" s="5" t="s">
        <v>32</v>
      </c>
      <c r="C25" s="3" t="str">
        <f>IFERROR(VLOOKUP(B25,Assets!$A:$B,2,FALSE),"")</f>
        <v>ETF</v>
      </c>
      <c r="D25" s="6">
        <v>1651</v>
      </c>
    </row>
    <row r="26" spans="1:4" x14ac:dyDescent="0.35">
      <c r="A26" s="8">
        <v>45992</v>
      </c>
      <c r="B26" s="5" t="s">
        <v>33</v>
      </c>
      <c r="C26" s="3" t="str">
        <f>IFERROR(VLOOKUP(B26,Assets!$A:$B,2,FALSE),"")</f>
        <v>ETF</v>
      </c>
      <c r="D26" s="6">
        <v>1306</v>
      </c>
    </row>
    <row r="27" spans="1:4" x14ac:dyDescent="0.35">
      <c r="A27" s="8">
        <v>45992</v>
      </c>
      <c r="B27" s="5" t="s">
        <v>34</v>
      </c>
      <c r="C27" s="3" t="str">
        <f>IFERROR(VLOOKUP(B27,Assets!$A:$B,2,FALSE),"")</f>
        <v>ETF</v>
      </c>
      <c r="D27" s="6">
        <v>402.89</v>
      </c>
    </row>
    <row r="28" spans="1:4" x14ac:dyDescent="0.35">
      <c r="A28" s="8">
        <v>45992</v>
      </c>
      <c r="B28" s="5" t="s">
        <v>35</v>
      </c>
      <c r="C28" s="3" t="str">
        <f>IFERROR(VLOOKUP(B28,Assets!$A:$B,2,FALSE),"")</f>
        <v>Savings</v>
      </c>
      <c r="D28" s="6">
        <v>37889.160000000003</v>
      </c>
    </row>
    <row r="29" spans="1:4" x14ac:dyDescent="0.35">
      <c r="A29" s="8">
        <v>46023</v>
      </c>
      <c r="B29" s="5" t="s">
        <v>20</v>
      </c>
      <c r="C29" s="3" t="str">
        <f>IFERROR(VLOOKUP(B29,Assets!$A:$B,2,FALSE),"")</f>
        <v>ETF</v>
      </c>
      <c r="D29" s="6">
        <v>12365</v>
      </c>
    </row>
    <row r="30" spans="1:4" x14ac:dyDescent="0.35">
      <c r="A30" s="8">
        <v>46023</v>
      </c>
      <c r="B30" s="5" t="s">
        <v>25</v>
      </c>
      <c r="C30" s="3" t="str">
        <f>IFERROR(VLOOKUP(B30,Assets!$A:$B,2,FALSE),"")</f>
        <v>ETF</v>
      </c>
      <c r="D30" s="6">
        <v>3215</v>
      </c>
    </row>
    <row r="31" spans="1:4" x14ac:dyDescent="0.35">
      <c r="A31" s="8">
        <v>46023</v>
      </c>
      <c r="B31" s="5" t="s">
        <v>26</v>
      </c>
      <c r="C31" s="3" t="str">
        <f>IFERROR(VLOOKUP(B31,Assets!$A:$B,2,FALSE),"")</f>
        <v>ETF</v>
      </c>
      <c r="D31" s="6">
        <v>2214</v>
      </c>
    </row>
    <row r="32" spans="1:4" x14ac:dyDescent="0.35">
      <c r="A32" s="8">
        <v>46023</v>
      </c>
      <c r="B32" s="5" t="s">
        <v>29</v>
      </c>
      <c r="C32" s="3" t="str">
        <f>IFERROR(VLOOKUP(B32,Assets!$A:$B,2,FALSE),"")</f>
        <v>ETF</v>
      </c>
      <c r="D32" s="6">
        <v>1568</v>
      </c>
    </row>
    <row r="33" spans="1:4" x14ac:dyDescent="0.35">
      <c r="A33" s="8">
        <v>46023</v>
      </c>
      <c r="B33" s="5" t="s">
        <v>31</v>
      </c>
      <c r="C33" s="3" t="str">
        <f>IFERROR(VLOOKUP(B33,Assets!$A:$B,2,FALSE),"")</f>
        <v>ETF</v>
      </c>
      <c r="D33" s="6">
        <v>1592</v>
      </c>
    </row>
    <row r="34" spans="1:4" x14ac:dyDescent="0.35">
      <c r="A34" s="8">
        <v>46023</v>
      </c>
      <c r="B34" s="5" t="s">
        <v>32</v>
      </c>
      <c r="C34" s="3" t="str">
        <f>IFERROR(VLOOKUP(B34,Assets!$A:$B,2,FALSE),"")</f>
        <v>ETF</v>
      </c>
      <c r="D34" s="6">
        <v>1824</v>
      </c>
    </row>
    <row r="35" spans="1:4" x14ac:dyDescent="0.35">
      <c r="A35" s="8">
        <v>46023</v>
      </c>
      <c r="B35" s="5" t="s">
        <v>33</v>
      </c>
      <c r="C35" s="3" t="str">
        <f>IFERROR(VLOOKUP(B35,Assets!$A:$B,2,FALSE),"")</f>
        <v>ETF</v>
      </c>
      <c r="D35" s="6">
        <v>1419</v>
      </c>
    </row>
    <row r="36" spans="1:4" x14ac:dyDescent="0.35">
      <c r="A36" s="8">
        <v>46023</v>
      </c>
      <c r="B36" s="5" t="s">
        <v>34</v>
      </c>
      <c r="C36" s="3" t="str">
        <f>IFERROR(VLOOKUP(B36,Assets!$A:$B,2,FALSE),"")</f>
        <v>ETF</v>
      </c>
      <c r="D36" s="6">
        <v>452.33</v>
      </c>
    </row>
    <row r="37" spans="1:4" x14ac:dyDescent="0.35">
      <c r="A37" s="8">
        <v>46023</v>
      </c>
      <c r="B37" s="5" t="s">
        <v>35</v>
      </c>
      <c r="C37" s="3" t="str">
        <f>IFERROR(VLOOKUP(B37,Assets!$A:$B,2,FALSE),"")</f>
        <v>Savings</v>
      </c>
      <c r="D37" s="6">
        <v>38095</v>
      </c>
    </row>
    <row r="38" spans="1:4" x14ac:dyDescent="0.35">
      <c r="A38" s="8">
        <v>46054</v>
      </c>
      <c r="B38" s="5" t="s">
        <v>20</v>
      </c>
      <c r="C38" s="3" t="str">
        <f>IFERROR(VLOOKUP(B38,Assets!$A:$B,2,FALSE),"")</f>
        <v>ETF</v>
      </c>
      <c r="D38" s="6">
        <v>13001</v>
      </c>
    </row>
    <row r="39" spans="1:4" x14ac:dyDescent="0.35">
      <c r="A39" s="8">
        <v>46054</v>
      </c>
      <c r="B39" s="5" t="s">
        <v>25</v>
      </c>
      <c r="C39" s="3" t="str">
        <f>IFERROR(VLOOKUP(B39,Assets!$A:$B,2,FALSE),"")</f>
        <v>ETF</v>
      </c>
      <c r="D39" s="6">
        <v>3108</v>
      </c>
    </row>
    <row r="40" spans="1:4" x14ac:dyDescent="0.35">
      <c r="A40" s="8">
        <v>46054</v>
      </c>
      <c r="B40" s="5" t="s">
        <v>26</v>
      </c>
      <c r="C40" s="3" t="str">
        <f>IFERROR(VLOOKUP(B40,Assets!$A:$B,2,FALSE),"")</f>
        <v>ETF</v>
      </c>
      <c r="D40" s="6">
        <v>2540</v>
      </c>
    </row>
    <row r="41" spans="1:4" x14ac:dyDescent="0.35">
      <c r="A41" s="8">
        <v>46054</v>
      </c>
      <c r="B41" s="5" t="s">
        <v>29</v>
      </c>
      <c r="C41" s="3" t="str">
        <f>IFERROR(VLOOKUP(B41,Assets!$A:$B,2,FALSE),"")</f>
        <v>ETF</v>
      </c>
      <c r="D41" s="6">
        <v>1640</v>
      </c>
    </row>
    <row r="42" spans="1:4" x14ac:dyDescent="0.35">
      <c r="A42" s="8">
        <v>46054</v>
      </c>
      <c r="B42" s="5" t="s">
        <v>31</v>
      </c>
      <c r="C42" s="3" t="str">
        <f>IFERROR(VLOOKUP(B42,Assets!$A:$B,2,FALSE),"")</f>
        <v>ETF</v>
      </c>
      <c r="D42" s="6">
        <v>1649</v>
      </c>
    </row>
    <row r="43" spans="1:4" x14ac:dyDescent="0.35">
      <c r="A43" s="8">
        <v>46054</v>
      </c>
      <c r="B43" s="5" t="s">
        <v>32</v>
      </c>
      <c r="C43" s="3" t="str">
        <f>IFERROR(VLOOKUP(B43,Assets!$A:$B,2,FALSE),"")</f>
        <v>ETF</v>
      </c>
      <c r="D43" s="6">
        <v>2007</v>
      </c>
    </row>
    <row r="44" spans="1:4" x14ac:dyDescent="0.35">
      <c r="A44" s="8">
        <v>46054</v>
      </c>
      <c r="B44" s="5" t="s">
        <v>33</v>
      </c>
      <c r="C44" s="3" t="str">
        <f>IFERROR(VLOOKUP(B44,Assets!$A:$B,2,FALSE),"")</f>
        <v>ETF</v>
      </c>
      <c r="D44" s="6">
        <v>1544</v>
      </c>
    </row>
    <row r="45" spans="1:4" x14ac:dyDescent="0.35">
      <c r="A45" s="8">
        <v>46054</v>
      </c>
      <c r="B45" s="5" t="s">
        <v>34</v>
      </c>
      <c r="C45" s="3" t="str">
        <f>IFERROR(VLOOKUP(B45,Assets!$A:$B,2,FALSE),"")</f>
        <v>ETF</v>
      </c>
      <c r="D45" s="6">
        <v>450.32</v>
      </c>
    </row>
    <row r="46" spans="1:4" x14ac:dyDescent="0.35">
      <c r="A46" s="8">
        <v>46054</v>
      </c>
      <c r="B46" s="5" t="s">
        <v>35</v>
      </c>
      <c r="C46" s="3" t="str">
        <f>IFERROR(VLOOKUP(B46,Assets!$A:$B,2,FALSE),"")</f>
        <v>Savings</v>
      </c>
      <c r="D46" s="6">
        <v>37801</v>
      </c>
    </row>
    <row r="47" spans="1:4" x14ac:dyDescent="0.35">
      <c r="A47" s="8">
        <v>46082</v>
      </c>
      <c r="B47" s="5" t="s">
        <v>20</v>
      </c>
      <c r="C47" s="3" t="str">
        <f>IFERROR(VLOOKUP(B47,Assets!$A:$B,2,FALSE),"")</f>
        <v>ETF</v>
      </c>
      <c r="D47" s="6">
        <v>13914</v>
      </c>
    </row>
    <row r="48" spans="1:4" x14ac:dyDescent="0.35">
      <c r="A48" s="8">
        <v>46082</v>
      </c>
      <c r="B48" s="5" t="s">
        <v>25</v>
      </c>
      <c r="C48" s="3" t="str">
        <f>IFERROR(VLOOKUP(B48,Assets!$A:$B,2,FALSE),"")</f>
        <v>ETF</v>
      </c>
      <c r="D48" s="6">
        <v>2970</v>
      </c>
    </row>
    <row r="49" spans="1:4" x14ac:dyDescent="0.35">
      <c r="A49" s="8">
        <v>46082</v>
      </c>
      <c r="B49" s="5" t="s">
        <v>26</v>
      </c>
      <c r="C49" s="3" t="str">
        <f>IFERROR(VLOOKUP(B49,Assets!$A:$B,2,FALSE),"")</f>
        <v>ETF</v>
      </c>
      <c r="D49" s="6">
        <v>2493</v>
      </c>
    </row>
    <row r="50" spans="1:4" x14ac:dyDescent="0.35">
      <c r="A50" s="8">
        <v>46082</v>
      </c>
      <c r="B50" s="5" t="s">
        <v>29</v>
      </c>
      <c r="C50" s="3" t="str">
        <f>IFERROR(VLOOKUP(B50,Assets!$A:$B,2,FALSE),"")</f>
        <v>ETF</v>
      </c>
      <c r="D50" s="6">
        <v>1666</v>
      </c>
    </row>
    <row r="51" spans="1:4" x14ac:dyDescent="0.35">
      <c r="A51" s="8">
        <v>46082</v>
      </c>
      <c r="B51" s="5" t="s">
        <v>31</v>
      </c>
      <c r="C51" s="3" t="str">
        <f>IFERROR(VLOOKUP(B51,Assets!$A:$B,2,FALSE),"")</f>
        <v>ETF</v>
      </c>
      <c r="D51" s="6">
        <v>1679</v>
      </c>
    </row>
    <row r="52" spans="1:4" x14ac:dyDescent="0.35">
      <c r="A52" s="8">
        <v>46082</v>
      </c>
      <c r="B52" s="5" t="s">
        <v>32</v>
      </c>
      <c r="C52" s="3" t="str">
        <f>IFERROR(VLOOKUP(B52,Assets!$A:$B,2,FALSE),"")</f>
        <v>ETF</v>
      </c>
      <c r="D52" s="6">
        <v>2387</v>
      </c>
    </row>
    <row r="53" spans="1:4" x14ac:dyDescent="0.35">
      <c r="A53" s="8">
        <v>46082</v>
      </c>
      <c r="B53" s="5" t="s">
        <v>33</v>
      </c>
      <c r="C53" s="3" t="str">
        <f>IFERROR(VLOOKUP(B53,Assets!$A:$B,2,FALSE),"")</f>
        <v>ETF</v>
      </c>
      <c r="D53" s="6">
        <v>2033</v>
      </c>
    </row>
    <row r="54" spans="1:4" x14ac:dyDescent="0.35">
      <c r="A54" s="8">
        <v>46082</v>
      </c>
      <c r="B54" s="5" t="s">
        <v>34</v>
      </c>
      <c r="C54" s="3" t="str">
        <f>IFERROR(VLOOKUP(B54,Assets!$A:$B,2,FALSE),"")</f>
        <v>ETF</v>
      </c>
      <c r="D54" s="6">
        <v>439.71</v>
      </c>
    </row>
    <row r="55" spans="1:4" x14ac:dyDescent="0.35">
      <c r="A55" s="8">
        <v>46082</v>
      </c>
      <c r="B55" s="5" t="s">
        <v>35</v>
      </c>
      <c r="C55" s="3" t="str">
        <f>IFERROR(VLOOKUP(B55,Assets!$A:$B,2,FALSE),"")</f>
        <v>Savings</v>
      </c>
      <c r="D55" s="6">
        <v>39883</v>
      </c>
    </row>
    <row r="56" spans="1:4" x14ac:dyDescent="0.35">
      <c r="A56" s="8">
        <v>46113</v>
      </c>
      <c r="B56" s="5" t="s">
        <v>20</v>
      </c>
      <c r="C56" s="3" t="str">
        <f>IFERROR(VLOOKUP(B56,Assets!$A:$B,2,FALSE),"")</f>
        <v>ETF</v>
      </c>
      <c r="D56" s="6"/>
    </row>
    <row r="57" spans="1:4" x14ac:dyDescent="0.35">
      <c r="A57" s="8">
        <v>46113</v>
      </c>
      <c r="B57" s="5" t="s">
        <v>25</v>
      </c>
      <c r="C57" s="3" t="str">
        <f>IFERROR(VLOOKUP(B57,Assets!$A:$B,2,FALSE),"")</f>
        <v>ETF</v>
      </c>
      <c r="D57" s="6"/>
    </row>
    <row r="58" spans="1:4" x14ac:dyDescent="0.35">
      <c r="A58" s="8">
        <v>46113</v>
      </c>
      <c r="B58" s="5" t="s">
        <v>26</v>
      </c>
      <c r="C58" s="3" t="str">
        <f>IFERROR(VLOOKUP(B58,Assets!$A:$B,2,FALSE),"")</f>
        <v>ETF</v>
      </c>
      <c r="D58" s="6"/>
    </row>
    <row r="59" spans="1:4" x14ac:dyDescent="0.35">
      <c r="A59" s="8">
        <v>46113</v>
      </c>
      <c r="B59" s="5" t="s">
        <v>29</v>
      </c>
      <c r="C59" s="3" t="str">
        <f>IFERROR(VLOOKUP(B59,Assets!$A:$B,2,FALSE),"")</f>
        <v>ETF</v>
      </c>
      <c r="D59" s="6"/>
    </row>
    <row r="60" spans="1:4" x14ac:dyDescent="0.35">
      <c r="A60" s="8">
        <v>46113</v>
      </c>
      <c r="B60" s="5" t="s">
        <v>31</v>
      </c>
      <c r="C60" s="3" t="str">
        <f>IFERROR(VLOOKUP(B60,Assets!$A:$B,2,FALSE),"")</f>
        <v>ETF</v>
      </c>
      <c r="D60" s="6"/>
    </row>
    <row r="61" spans="1:4" x14ac:dyDescent="0.35">
      <c r="A61" s="8">
        <v>46113</v>
      </c>
      <c r="B61" s="5" t="s">
        <v>32</v>
      </c>
      <c r="C61" s="3" t="str">
        <f>IFERROR(VLOOKUP(B61,Assets!$A:$B,2,FALSE),"")</f>
        <v>ETF</v>
      </c>
      <c r="D61" s="6"/>
    </row>
    <row r="62" spans="1:4" x14ac:dyDescent="0.35">
      <c r="A62" s="8">
        <v>46113</v>
      </c>
      <c r="B62" s="5" t="s">
        <v>33</v>
      </c>
      <c r="C62" s="3" t="str">
        <f>IFERROR(VLOOKUP(B62,Assets!$A:$B,2,FALSE),"")</f>
        <v>ETF</v>
      </c>
      <c r="D62" s="6"/>
    </row>
    <row r="63" spans="1:4" x14ac:dyDescent="0.35">
      <c r="A63" s="8">
        <v>46113</v>
      </c>
      <c r="B63" s="5" t="s">
        <v>34</v>
      </c>
      <c r="C63" s="3" t="str">
        <f>IFERROR(VLOOKUP(B63,Assets!$A:$B,2,FALSE),"")</f>
        <v>ETF</v>
      </c>
      <c r="D63" s="6"/>
    </row>
    <row r="64" spans="1:4" x14ac:dyDescent="0.35">
      <c r="A64" s="8">
        <v>46113</v>
      </c>
      <c r="B64" s="5" t="s">
        <v>35</v>
      </c>
      <c r="C64" s="3" t="str">
        <f>IFERROR(VLOOKUP(B64,Assets!$A:$B,2,FALSE),"")</f>
        <v>Savings</v>
      </c>
      <c r="D64" s="6"/>
    </row>
    <row r="65" spans="1:4" x14ac:dyDescent="0.35">
      <c r="A65" s="8">
        <v>46143</v>
      </c>
      <c r="B65" s="5" t="s">
        <v>20</v>
      </c>
      <c r="C65" s="3" t="str">
        <f>IFERROR(VLOOKUP(B65,Assets!$A:$B,2,FALSE),"")</f>
        <v>ETF</v>
      </c>
      <c r="D65" s="6"/>
    </row>
    <row r="66" spans="1:4" x14ac:dyDescent="0.35">
      <c r="A66" s="8">
        <v>46143</v>
      </c>
      <c r="B66" s="5" t="s">
        <v>25</v>
      </c>
      <c r="C66" s="3" t="str">
        <f>IFERROR(VLOOKUP(B66,Assets!$A:$B,2,FALSE),"")</f>
        <v>ETF</v>
      </c>
      <c r="D66" s="6"/>
    </row>
    <row r="67" spans="1:4" x14ac:dyDescent="0.35">
      <c r="A67" s="8">
        <v>46143</v>
      </c>
      <c r="B67" s="5" t="s">
        <v>26</v>
      </c>
      <c r="C67" s="3" t="str">
        <f>IFERROR(VLOOKUP(B67,Assets!$A:$B,2,FALSE),"")</f>
        <v>ETF</v>
      </c>
      <c r="D67" s="6"/>
    </row>
    <row r="68" spans="1:4" x14ac:dyDescent="0.35">
      <c r="A68" s="8">
        <v>46143</v>
      </c>
      <c r="B68" s="5" t="s">
        <v>29</v>
      </c>
      <c r="C68" s="3" t="str">
        <f>IFERROR(VLOOKUP(B68,Assets!$A:$B,2,FALSE),"")</f>
        <v>ETF</v>
      </c>
      <c r="D68" s="6"/>
    </row>
    <row r="69" spans="1:4" x14ac:dyDescent="0.35">
      <c r="A69" s="8">
        <v>46143</v>
      </c>
      <c r="B69" s="5" t="s">
        <v>31</v>
      </c>
      <c r="C69" s="3" t="str">
        <f>IFERROR(VLOOKUP(B69,Assets!$A:$B,2,FALSE),"")</f>
        <v>ETF</v>
      </c>
      <c r="D69" s="6"/>
    </row>
    <row r="70" spans="1:4" x14ac:dyDescent="0.35">
      <c r="A70" s="8">
        <v>46143</v>
      </c>
      <c r="B70" s="5" t="s">
        <v>32</v>
      </c>
      <c r="C70" s="3" t="str">
        <f>IFERROR(VLOOKUP(B70,Assets!$A:$B,2,FALSE),"")</f>
        <v>ETF</v>
      </c>
      <c r="D70" s="6"/>
    </row>
    <row r="71" spans="1:4" x14ac:dyDescent="0.35">
      <c r="A71" s="8">
        <v>46143</v>
      </c>
      <c r="B71" s="5" t="s">
        <v>33</v>
      </c>
      <c r="C71" s="3" t="str">
        <f>IFERROR(VLOOKUP(B71,Assets!$A:$B,2,FALSE),"")</f>
        <v>ETF</v>
      </c>
      <c r="D71" s="6"/>
    </row>
    <row r="72" spans="1:4" x14ac:dyDescent="0.35">
      <c r="A72" s="8">
        <v>46143</v>
      </c>
      <c r="B72" s="5" t="s">
        <v>34</v>
      </c>
      <c r="C72" s="3" t="str">
        <f>IFERROR(VLOOKUP(B72,Assets!$A:$B,2,FALSE),"")</f>
        <v>ETF</v>
      </c>
      <c r="D72" s="6"/>
    </row>
    <row r="73" spans="1:4" x14ac:dyDescent="0.35">
      <c r="A73" s="8">
        <v>46143</v>
      </c>
      <c r="B73" s="5" t="s">
        <v>35</v>
      </c>
      <c r="C73" s="3" t="str">
        <f>IFERROR(VLOOKUP(B73,Assets!$A:$B,2,FALSE),"")</f>
        <v>Savings</v>
      </c>
      <c r="D73" s="6"/>
    </row>
    <row r="74" spans="1:4" x14ac:dyDescent="0.35">
      <c r="A74" s="8">
        <v>46174</v>
      </c>
      <c r="B74" s="5" t="s">
        <v>20</v>
      </c>
      <c r="C74" s="3" t="str">
        <f>IFERROR(VLOOKUP(B74,Assets!$A:$B,2,FALSE),"")</f>
        <v>ETF</v>
      </c>
      <c r="D74" s="6"/>
    </row>
    <row r="75" spans="1:4" x14ac:dyDescent="0.35">
      <c r="A75" s="8">
        <v>46174</v>
      </c>
      <c r="B75" s="5" t="s">
        <v>25</v>
      </c>
      <c r="C75" s="3" t="str">
        <f>IFERROR(VLOOKUP(B75,Assets!$A:$B,2,FALSE),"")</f>
        <v>ETF</v>
      </c>
      <c r="D75" s="6"/>
    </row>
    <row r="76" spans="1:4" x14ac:dyDescent="0.35">
      <c r="A76" s="8">
        <v>46174</v>
      </c>
      <c r="B76" s="5" t="s">
        <v>26</v>
      </c>
      <c r="C76" s="3" t="str">
        <f>IFERROR(VLOOKUP(B76,Assets!$A:$B,2,FALSE),"")</f>
        <v>ETF</v>
      </c>
      <c r="D76" s="6"/>
    </row>
    <row r="77" spans="1:4" x14ac:dyDescent="0.35">
      <c r="A77" s="8">
        <v>46174</v>
      </c>
      <c r="B77" s="5" t="s">
        <v>29</v>
      </c>
      <c r="C77" s="3" t="str">
        <f>IFERROR(VLOOKUP(B77,Assets!$A:$B,2,FALSE),"")</f>
        <v>ETF</v>
      </c>
      <c r="D77" s="6"/>
    </row>
    <row r="78" spans="1:4" x14ac:dyDescent="0.35">
      <c r="A78" s="8">
        <v>46174</v>
      </c>
      <c r="B78" s="5" t="s">
        <v>31</v>
      </c>
      <c r="C78" s="3" t="str">
        <f>IFERROR(VLOOKUP(B78,Assets!$A:$B,2,FALSE),"")</f>
        <v>ETF</v>
      </c>
      <c r="D78" s="6"/>
    </row>
    <row r="79" spans="1:4" x14ac:dyDescent="0.35">
      <c r="A79" s="8">
        <v>46174</v>
      </c>
      <c r="B79" s="5" t="s">
        <v>32</v>
      </c>
      <c r="C79" s="3" t="str">
        <f>IFERROR(VLOOKUP(B79,Assets!$A:$B,2,FALSE),"")</f>
        <v>ETF</v>
      </c>
      <c r="D79" s="6"/>
    </row>
    <row r="80" spans="1:4" x14ac:dyDescent="0.35">
      <c r="A80" s="8">
        <v>46174</v>
      </c>
      <c r="B80" s="5" t="s">
        <v>33</v>
      </c>
      <c r="C80" s="3" t="str">
        <f>IFERROR(VLOOKUP(B80,Assets!$A:$B,2,FALSE),"")</f>
        <v>ETF</v>
      </c>
      <c r="D80" s="6"/>
    </row>
    <row r="81" spans="1:4" x14ac:dyDescent="0.35">
      <c r="A81" s="8">
        <v>46174</v>
      </c>
      <c r="B81" s="5" t="s">
        <v>34</v>
      </c>
      <c r="C81" s="3" t="str">
        <f>IFERROR(VLOOKUP(B81,Assets!$A:$B,2,FALSE),"")</f>
        <v>ETF</v>
      </c>
      <c r="D81" s="6"/>
    </row>
    <row r="82" spans="1:4" x14ac:dyDescent="0.35">
      <c r="A82" s="8">
        <v>46174</v>
      </c>
      <c r="B82" s="5" t="s">
        <v>35</v>
      </c>
      <c r="C82" s="3" t="str">
        <f>IFERROR(VLOOKUP(B82,Assets!$A:$B,2,FALSE),"")</f>
        <v>Savings</v>
      </c>
      <c r="D82" s="6"/>
    </row>
    <row r="83" spans="1:4" x14ac:dyDescent="0.35">
      <c r="A83" s="8">
        <v>46204</v>
      </c>
      <c r="B83" s="5" t="s">
        <v>20</v>
      </c>
      <c r="C83" s="3" t="str">
        <f>IFERROR(VLOOKUP(B83,Assets!$A:$B,2,FALSE),"")</f>
        <v>ETF</v>
      </c>
      <c r="D83" s="6"/>
    </row>
    <row r="84" spans="1:4" x14ac:dyDescent="0.35">
      <c r="A84" s="8">
        <v>46204</v>
      </c>
      <c r="B84" s="5" t="s">
        <v>25</v>
      </c>
      <c r="C84" s="3" t="str">
        <f>IFERROR(VLOOKUP(B84,Assets!$A:$B,2,FALSE),"")</f>
        <v>ETF</v>
      </c>
      <c r="D84" s="6"/>
    </row>
    <row r="85" spans="1:4" x14ac:dyDescent="0.35">
      <c r="A85" s="8">
        <v>46204</v>
      </c>
      <c r="B85" s="5" t="s">
        <v>26</v>
      </c>
      <c r="C85" s="3" t="str">
        <f>IFERROR(VLOOKUP(B85,Assets!$A:$B,2,FALSE),"")</f>
        <v>ETF</v>
      </c>
      <c r="D85" s="6"/>
    </row>
    <row r="86" spans="1:4" x14ac:dyDescent="0.35">
      <c r="A86" s="8">
        <v>46204</v>
      </c>
      <c r="B86" s="5" t="s">
        <v>29</v>
      </c>
      <c r="C86" s="3" t="str">
        <f>IFERROR(VLOOKUP(B86,Assets!$A:$B,2,FALSE),"")</f>
        <v>ETF</v>
      </c>
      <c r="D86" s="6"/>
    </row>
    <row r="87" spans="1:4" x14ac:dyDescent="0.35">
      <c r="A87" s="8">
        <v>46204</v>
      </c>
      <c r="B87" s="5" t="s">
        <v>31</v>
      </c>
      <c r="C87" s="3" t="str">
        <f>IFERROR(VLOOKUP(B87,Assets!$A:$B,2,FALSE),"")</f>
        <v>ETF</v>
      </c>
      <c r="D87" s="6"/>
    </row>
    <row r="88" spans="1:4" x14ac:dyDescent="0.35">
      <c r="A88" s="8">
        <v>46204</v>
      </c>
      <c r="B88" s="5" t="s">
        <v>32</v>
      </c>
      <c r="C88" s="3" t="str">
        <f>IFERROR(VLOOKUP(B88,Assets!$A:$B,2,FALSE),"")</f>
        <v>ETF</v>
      </c>
      <c r="D88" s="6"/>
    </row>
    <row r="89" spans="1:4" x14ac:dyDescent="0.35">
      <c r="A89" s="8">
        <v>46204</v>
      </c>
      <c r="B89" s="5" t="s">
        <v>33</v>
      </c>
      <c r="C89" s="3" t="str">
        <f>IFERROR(VLOOKUP(B89,Assets!$A:$B,2,FALSE),"")</f>
        <v>ETF</v>
      </c>
      <c r="D89" s="6"/>
    </row>
    <row r="90" spans="1:4" x14ac:dyDescent="0.35">
      <c r="A90" s="8">
        <v>46204</v>
      </c>
      <c r="B90" s="5" t="s">
        <v>34</v>
      </c>
      <c r="C90" s="3" t="str">
        <f>IFERROR(VLOOKUP(B90,Assets!$A:$B,2,FALSE),"")</f>
        <v>ETF</v>
      </c>
      <c r="D90" s="6"/>
    </row>
    <row r="91" spans="1:4" x14ac:dyDescent="0.35">
      <c r="A91" s="8">
        <v>46204</v>
      </c>
      <c r="B91" s="5" t="s">
        <v>35</v>
      </c>
      <c r="C91" s="3" t="str">
        <f>IFERROR(VLOOKUP(B91,Assets!$A:$B,2,FALSE),"")</f>
        <v>Savings</v>
      </c>
      <c r="D91" s="6"/>
    </row>
    <row r="92" spans="1:4" x14ac:dyDescent="0.35">
      <c r="A92" s="8">
        <v>46235</v>
      </c>
      <c r="B92" s="5" t="s">
        <v>20</v>
      </c>
      <c r="C92" s="3" t="str">
        <f>IFERROR(VLOOKUP(B92,Assets!$A:$B,2,FALSE),"")</f>
        <v>ETF</v>
      </c>
      <c r="D92" s="6"/>
    </row>
    <row r="93" spans="1:4" x14ac:dyDescent="0.35">
      <c r="A93" s="8">
        <v>46235</v>
      </c>
      <c r="B93" s="5" t="s">
        <v>25</v>
      </c>
      <c r="C93" s="3" t="str">
        <f>IFERROR(VLOOKUP(B93,Assets!$A:$B,2,FALSE),"")</f>
        <v>ETF</v>
      </c>
      <c r="D93" s="6"/>
    </row>
    <row r="94" spans="1:4" x14ac:dyDescent="0.35">
      <c r="A94" s="8">
        <v>46235</v>
      </c>
      <c r="B94" s="5" t="s">
        <v>26</v>
      </c>
      <c r="C94" s="3" t="str">
        <f>IFERROR(VLOOKUP(B94,Assets!$A:$B,2,FALSE),"")</f>
        <v>ETF</v>
      </c>
      <c r="D94" s="6"/>
    </row>
    <row r="95" spans="1:4" x14ac:dyDescent="0.35">
      <c r="A95" s="8">
        <v>46235</v>
      </c>
      <c r="B95" s="5" t="s">
        <v>29</v>
      </c>
      <c r="C95" s="3" t="str">
        <f>IFERROR(VLOOKUP(B95,Assets!$A:$B,2,FALSE),"")</f>
        <v>ETF</v>
      </c>
      <c r="D95" s="6"/>
    </row>
    <row r="96" spans="1:4" x14ac:dyDescent="0.35">
      <c r="A96" s="8">
        <v>46235</v>
      </c>
      <c r="B96" s="5" t="s">
        <v>31</v>
      </c>
      <c r="C96" s="3" t="str">
        <f>IFERROR(VLOOKUP(B96,Assets!$A:$B,2,FALSE),"")</f>
        <v>ETF</v>
      </c>
      <c r="D96" s="6"/>
    </row>
    <row r="97" spans="1:4" x14ac:dyDescent="0.35">
      <c r="A97" s="8">
        <v>46235</v>
      </c>
      <c r="B97" s="5" t="s">
        <v>32</v>
      </c>
      <c r="C97" s="3" t="str">
        <f>IFERROR(VLOOKUP(B97,Assets!$A:$B,2,FALSE),"")</f>
        <v>ETF</v>
      </c>
      <c r="D97" s="6"/>
    </row>
    <row r="98" spans="1:4" x14ac:dyDescent="0.35">
      <c r="A98" s="8">
        <v>46235</v>
      </c>
      <c r="B98" s="5" t="s">
        <v>33</v>
      </c>
      <c r="C98" s="3" t="str">
        <f>IFERROR(VLOOKUP(B98,Assets!$A:$B,2,FALSE),"")</f>
        <v>ETF</v>
      </c>
      <c r="D98" s="6"/>
    </row>
    <row r="99" spans="1:4" x14ac:dyDescent="0.35">
      <c r="A99" s="8">
        <v>46235</v>
      </c>
      <c r="B99" s="5" t="s">
        <v>34</v>
      </c>
      <c r="C99" s="3" t="str">
        <f>IFERROR(VLOOKUP(B99,Assets!$A:$B,2,FALSE),"")</f>
        <v>ETF</v>
      </c>
      <c r="D99" s="6"/>
    </row>
    <row r="100" spans="1:4" x14ac:dyDescent="0.35">
      <c r="A100" s="8">
        <v>46235</v>
      </c>
      <c r="B100" s="5" t="s">
        <v>35</v>
      </c>
      <c r="C100" s="3" t="str">
        <f>IFERROR(VLOOKUP(B100,Assets!$A:$B,2,FALSE),"")</f>
        <v>Savings</v>
      </c>
      <c r="D100" s="6"/>
    </row>
    <row r="101" spans="1:4" x14ac:dyDescent="0.35">
      <c r="A101" s="8">
        <v>46266</v>
      </c>
      <c r="B101" s="5" t="s">
        <v>20</v>
      </c>
      <c r="C101" s="3" t="str">
        <f>IFERROR(VLOOKUP(B101,Assets!$A:$B,2,FALSE),"")</f>
        <v>ETF</v>
      </c>
      <c r="D101" s="6"/>
    </row>
    <row r="102" spans="1:4" x14ac:dyDescent="0.35">
      <c r="A102" s="8">
        <v>46266</v>
      </c>
      <c r="B102" s="5" t="s">
        <v>25</v>
      </c>
      <c r="C102" s="3" t="str">
        <f>IFERROR(VLOOKUP(B102,Assets!$A:$B,2,FALSE),"")</f>
        <v>ETF</v>
      </c>
      <c r="D102" s="6"/>
    </row>
    <row r="103" spans="1:4" x14ac:dyDescent="0.35">
      <c r="A103" s="8">
        <v>46266</v>
      </c>
      <c r="B103" s="5" t="s">
        <v>26</v>
      </c>
      <c r="C103" s="3" t="str">
        <f>IFERROR(VLOOKUP(B103,Assets!$A:$B,2,FALSE),"")</f>
        <v>ETF</v>
      </c>
      <c r="D103" s="6"/>
    </row>
    <row r="104" spans="1:4" x14ac:dyDescent="0.35">
      <c r="A104" s="8">
        <v>46266</v>
      </c>
      <c r="B104" s="5" t="s">
        <v>29</v>
      </c>
      <c r="C104" s="3" t="str">
        <f>IFERROR(VLOOKUP(B104,Assets!$A:$B,2,FALSE),"")</f>
        <v>ETF</v>
      </c>
      <c r="D104" s="6"/>
    </row>
    <row r="105" spans="1:4" x14ac:dyDescent="0.35">
      <c r="A105" s="8">
        <v>46266</v>
      </c>
      <c r="B105" s="5" t="s">
        <v>31</v>
      </c>
      <c r="C105" s="3" t="str">
        <f>IFERROR(VLOOKUP(B105,Assets!$A:$B,2,FALSE),"")</f>
        <v>ETF</v>
      </c>
      <c r="D105" s="6"/>
    </row>
    <row r="106" spans="1:4" x14ac:dyDescent="0.35">
      <c r="A106" s="8">
        <v>46266</v>
      </c>
      <c r="B106" s="5" t="s">
        <v>32</v>
      </c>
      <c r="C106" s="3" t="str">
        <f>IFERROR(VLOOKUP(B106,Assets!$A:$B,2,FALSE),"")</f>
        <v>ETF</v>
      </c>
      <c r="D106" s="6"/>
    </row>
    <row r="107" spans="1:4" x14ac:dyDescent="0.35">
      <c r="A107" s="8">
        <v>46266</v>
      </c>
      <c r="B107" s="5" t="s">
        <v>33</v>
      </c>
      <c r="C107" s="3" t="str">
        <f>IFERROR(VLOOKUP(B107,Assets!$A:$B,2,FALSE),"")</f>
        <v>ETF</v>
      </c>
      <c r="D107" s="6"/>
    </row>
    <row r="108" spans="1:4" x14ac:dyDescent="0.35">
      <c r="A108" s="8">
        <v>46266</v>
      </c>
      <c r="B108" s="5" t="s">
        <v>34</v>
      </c>
      <c r="C108" s="3" t="str">
        <f>IFERROR(VLOOKUP(B108,Assets!$A:$B,2,FALSE),"")</f>
        <v>ETF</v>
      </c>
      <c r="D108" s="6"/>
    </row>
    <row r="109" spans="1:4" x14ac:dyDescent="0.35">
      <c r="A109" s="8">
        <v>46266</v>
      </c>
      <c r="B109" s="5" t="s">
        <v>35</v>
      </c>
      <c r="C109" s="3" t="str">
        <f>IFERROR(VLOOKUP(B109,Assets!$A:$B,2,FALSE),"")</f>
        <v>Savings</v>
      </c>
      <c r="D109" s="6"/>
    </row>
    <row r="110" spans="1:4" x14ac:dyDescent="0.35">
      <c r="A110" s="8">
        <v>46296</v>
      </c>
      <c r="B110" s="5" t="s">
        <v>20</v>
      </c>
      <c r="C110" s="3" t="str">
        <f>IFERROR(VLOOKUP(B110,Assets!$A:$B,2,FALSE),"")</f>
        <v>ETF</v>
      </c>
      <c r="D110" s="6"/>
    </row>
    <row r="111" spans="1:4" x14ac:dyDescent="0.35">
      <c r="A111" s="8">
        <v>46296</v>
      </c>
      <c r="B111" s="5" t="s">
        <v>25</v>
      </c>
      <c r="C111" s="3" t="str">
        <f>IFERROR(VLOOKUP(B111,Assets!$A:$B,2,FALSE),"")</f>
        <v>ETF</v>
      </c>
      <c r="D111" s="6"/>
    </row>
    <row r="112" spans="1:4" x14ac:dyDescent="0.35">
      <c r="A112" s="8">
        <v>46296</v>
      </c>
      <c r="B112" s="5" t="s">
        <v>26</v>
      </c>
      <c r="C112" s="3" t="str">
        <f>IFERROR(VLOOKUP(B112,Assets!$A:$B,2,FALSE),"")</f>
        <v>ETF</v>
      </c>
      <c r="D112" s="6"/>
    </row>
    <row r="113" spans="1:4" x14ac:dyDescent="0.35">
      <c r="A113" s="8">
        <v>46296</v>
      </c>
      <c r="B113" s="5" t="s">
        <v>29</v>
      </c>
      <c r="C113" s="3" t="str">
        <f>IFERROR(VLOOKUP(B113,Assets!$A:$B,2,FALSE),"")</f>
        <v>ETF</v>
      </c>
      <c r="D113" s="6"/>
    </row>
    <row r="114" spans="1:4" x14ac:dyDescent="0.35">
      <c r="A114" s="8">
        <v>46296</v>
      </c>
      <c r="B114" s="5" t="s">
        <v>31</v>
      </c>
      <c r="C114" s="3" t="str">
        <f>IFERROR(VLOOKUP(B114,Assets!$A:$B,2,FALSE),"")</f>
        <v>ETF</v>
      </c>
      <c r="D114" s="6"/>
    </row>
    <row r="115" spans="1:4" x14ac:dyDescent="0.35">
      <c r="A115" s="8">
        <v>46296</v>
      </c>
      <c r="B115" s="5" t="s">
        <v>32</v>
      </c>
      <c r="C115" s="3" t="str">
        <f>IFERROR(VLOOKUP(B115,Assets!$A:$B,2,FALSE),"")</f>
        <v>ETF</v>
      </c>
      <c r="D115" s="6"/>
    </row>
    <row r="116" spans="1:4" x14ac:dyDescent="0.35">
      <c r="A116" s="8">
        <v>46296</v>
      </c>
      <c r="B116" s="5" t="s">
        <v>33</v>
      </c>
      <c r="C116" s="3" t="str">
        <f>IFERROR(VLOOKUP(B116,Assets!$A:$B,2,FALSE),"")</f>
        <v>ETF</v>
      </c>
      <c r="D116" s="6"/>
    </row>
    <row r="117" spans="1:4" x14ac:dyDescent="0.35">
      <c r="A117" s="8">
        <v>46296</v>
      </c>
      <c r="B117" s="5" t="s">
        <v>34</v>
      </c>
      <c r="C117" s="3" t="str">
        <f>IFERROR(VLOOKUP(B117,Assets!$A:$B,2,FALSE),"")</f>
        <v>ETF</v>
      </c>
      <c r="D117" s="6"/>
    </row>
    <row r="118" spans="1:4" x14ac:dyDescent="0.35">
      <c r="A118" s="8">
        <v>46296</v>
      </c>
      <c r="B118" s="5" t="s">
        <v>35</v>
      </c>
      <c r="C118" s="3" t="str">
        <f>IFERROR(VLOOKUP(B118,Assets!$A:$B,2,FALSE),"")</f>
        <v>Savings</v>
      </c>
      <c r="D118" s="6"/>
    </row>
    <row r="119" spans="1:4" x14ac:dyDescent="0.35">
      <c r="A119" s="8">
        <v>46327</v>
      </c>
      <c r="B119" s="5" t="s">
        <v>20</v>
      </c>
      <c r="C119" s="3" t="str">
        <f>IFERROR(VLOOKUP(B119,Assets!$A:$B,2,FALSE),"")</f>
        <v>ETF</v>
      </c>
      <c r="D119" s="6"/>
    </row>
    <row r="120" spans="1:4" x14ac:dyDescent="0.35">
      <c r="A120" s="8">
        <v>46327</v>
      </c>
      <c r="B120" s="5" t="s">
        <v>25</v>
      </c>
      <c r="C120" s="3" t="str">
        <f>IFERROR(VLOOKUP(B120,Assets!$A:$B,2,FALSE),"")</f>
        <v>ETF</v>
      </c>
      <c r="D120" s="6"/>
    </row>
    <row r="121" spans="1:4" x14ac:dyDescent="0.35">
      <c r="A121" s="8">
        <v>46327</v>
      </c>
      <c r="B121" s="5" t="s">
        <v>26</v>
      </c>
      <c r="C121" s="3" t="str">
        <f>IFERROR(VLOOKUP(B121,Assets!$A:$B,2,FALSE),"")</f>
        <v>ETF</v>
      </c>
      <c r="D121" s="6"/>
    </row>
    <row r="122" spans="1:4" x14ac:dyDescent="0.35">
      <c r="A122" s="8">
        <v>46327</v>
      </c>
      <c r="B122" s="5" t="s">
        <v>29</v>
      </c>
      <c r="C122" s="3" t="str">
        <f>IFERROR(VLOOKUP(B122,Assets!$A:$B,2,FALSE),"")</f>
        <v>ETF</v>
      </c>
      <c r="D122" s="6"/>
    </row>
    <row r="123" spans="1:4" x14ac:dyDescent="0.35">
      <c r="A123" s="8">
        <v>46327</v>
      </c>
      <c r="B123" s="5" t="s">
        <v>31</v>
      </c>
      <c r="C123" s="3" t="str">
        <f>IFERROR(VLOOKUP(B123,Assets!$A:$B,2,FALSE),"")</f>
        <v>ETF</v>
      </c>
      <c r="D123" s="6"/>
    </row>
    <row r="124" spans="1:4" x14ac:dyDescent="0.35">
      <c r="A124" s="8">
        <v>46327</v>
      </c>
      <c r="B124" s="5" t="s">
        <v>32</v>
      </c>
      <c r="C124" s="3" t="str">
        <f>IFERROR(VLOOKUP(B124,Assets!$A:$B,2,FALSE),"")</f>
        <v>ETF</v>
      </c>
      <c r="D124" s="6"/>
    </row>
    <row r="125" spans="1:4" x14ac:dyDescent="0.35">
      <c r="A125" s="8">
        <v>46327</v>
      </c>
      <c r="B125" s="5" t="s">
        <v>33</v>
      </c>
      <c r="C125" s="3" t="str">
        <f>IFERROR(VLOOKUP(B125,Assets!$A:$B,2,FALSE),"")</f>
        <v>ETF</v>
      </c>
      <c r="D125" s="6"/>
    </row>
    <row r="126" spans="1:4" x14ac:dyDescent="0.35">
      <c r="A126" s="8">
        <v>46327</v>
      </c>
      <c r="B126" s="5" t="s">
        <v>34</v>
      </c>
      <c r="C126" s="3" t="str">
        <f>IFERROR(VLOOKUP(B126,Assets!$A:$B,2,FALSE),"")</f>
        <v>ETF</v>
      </c>
      <c r="D126" s="6"/>
    </row>
    <row r="127" spans="1:4" x14ac:dyDescent="0.35">
      <c r="A127" s="8">
        <v>46327</v>
      </c>
      <c r="B127" s="5" t="s">
        <v>35</v>
      </c>
      <c r="C127" s="3" t="str">
        <f>IFERROR(VLOOKUP(B127,Assets!$A:$B,2,FALSE),"")</f>
        <v>Savings</v>
      </c>
      <c r="D127" s="6"/>
    </row>
    <row r="128" spans="1:4" x14ac:dyDescent="0.35">
      <c r="A128" s="8">
        <v>46357</v>
      </c>
      <c r="B128" s="5" t="s">
        <v>20</v>
      </c>
      <c r="C128" s="3" t="str">
        <f>IFERROR(VLOOKUP(B128,Assets!$A:$B,2,FALSE),"")</f>
        <v>ETF</v>
      </c>
      <c r="D128" s="6"/>
    </row>
    <row r="129" spans="1:4" x14ac:dyDescent="0.35">
      <c r="A129" s="8">
        <v>46357</v>
      </c>
      <c r="B129" s="5" t="s">
        <v>25</v>
      </c>
      <c r="C129" s="3" t="str">
        <f>IFERROR(VLOOKUP(B129,Assets!$A:$B,2,FALSE),"")</f>
        <v>ETF</v>
      </c>
      <c r="D129" s="6"/>
    </row>
    <row r="130" spans="1:4" x14ac:dyDescent="0.35">
      <c r="A130" s="8">
        <v>46357</v>
      </c>
      <c r="B130" s="5" t="s">
        <v>26</v>
      </c>
      <c r="C130" s="3" t="str">
        <f>IFERROR(VLOOKUP(B130,Assets!$A:$B,2,FALSE),"")</f>
        <v>ETF</v>
      </c>
      <c r="D130" s="6"/>
    </row>
    <row r="131" spans="1:4" x14ac:dyDescent="0.35">
      <c r="A131" s="8">
        <v>46357</v>
      </c>
      <c r="B131" s="5" t="s">
        <v>29</v>
      </c>
      <c r="C131" s="3" t="str">
        <f>IFERROR(VLOOKUP(B131,Assets!$A:$B,2,FALSE),"")</f>
        <v>ETF</v>
      </c>
      <c r="D131" s="6"/>
    </row>
    <row r="132" spans="1:4" x14ac:dyDescent="0.35">
      <c r="A132" s="8">
        <v>46357</v>
      </c>
      <c r="B132" s="5" t="s">
        <v>31</v>
      </c>
      <c r="C132" s="3" t="str">
        <f>IFERROR(VLOOKUP(B132,Assets!$A:$B,2,FALSE),"")</f>
        <v>ETF</v>
      </c>
      <c r="D132" s="6"/>
    </row>
    <row r="133" spans="1:4" x14ac:dyDescent="0.35">
      <c r="A133" s="8">
        <v>46357</v>
      </c>
      <c r="B133" s="5" t="s">
        <v>32</v>
      </c>
      <c r="C133" s="3" t="str">
        <f>IFERROR(VLOOKUP(B133,Assets!$A:$B,2,FALSE),"")</f>
        <v>ETF</v>
      </c>
      <c r="D133" s="6"/>
    </row>
    <row r="134" spans="1:4" x14ac:dyDescent="0.35">
      <c r="A134" s="8">
        <v>46357</v>
      </c>
      <c r="B134" s="5" t="s">
        <v>33</v>
      </c>
      <c r="C134" s="3" t="str">
        <f>IFERROR(VLOOKUP(B134,Assets!$A:$B,2,FALSE),"")</f>
        <v>ETF</v>
      </c>
      <c r="D134" s="6"/>
    </row>
    <row r="135" spans="1:4" x14ac:dyDescent="0.35">
      <c r="A135" s="8">
        <v>46357</v>
      </c>
      <c r="B135" s="5" t="s">
        <v>34</v>
      </c>
      <c r="C135" s="3" t="str">
        <f>IFERROR(VLOOKUP(B135,Assets!$A:$B,2,FALSE),"")</f>
        <v>ETF</v>
      </c>
      <c r="D135" s="6"/>
    </row>
    <row r="136" spans="1:4" x14ac:dyDescent="0.35">
      <c r="A136" s="8">
        <v>46357</v>
      </c>
      <c r="B136" s="5" t="s">
        <v>35</v>
      </c>
      <c r="C136" s="3" t="str">
        <f>IFERROR(VLOOKUP(B136,Assets!$A:$B,2,FALSE),"")</f>
        <v>Savings</v>
      </c>
      <c r="D136" s="6"/>
    </row>
    <row r="137" spans="1:4" x14ac:dyDescent="0.35">
      <c r="A137" s="8">
        <v>46388</v>
      </c>
      <c r="B137" s="5" t="s">
        <v>20</v>
      </c>
      <c r="C137" s="3" t="str">
        <f>IFERROR(VLOOKUP(B137,Assets!$A:$B,2,FALSE),"")</f>
        <v>ETF</v>
      </c>
      <c r="D137" s="6"/>
    </row>
    <row r="138" spans="1:4" x14ac:dyDescent="0.35">
      <c r="A138" s="8">
        <v>46388</v>
      </c>
      <c r="B138" s="5" t="s">
        <v>25</v>
      </c>
      <c r="C138" s="3" t="str">
        <f>IFERROR(VLOOKUP(B138,Assets!$A:$B,2,FALSE),"")</f>
        <v>ETF</v>
      </c>
      <c r="D138" s="6"/>
    </row>
    <row r="139" spans="1:4" x14ac:dyDescent="0.35">
      <c r="A139" s="8">
        <v>46388</v>
      </c>
      <c r="B139" s="5" t="s">
        <v>26</v>
      </c>
      <c r="C139" s="3" t="str">
        <f>IFERROR(VLOOKUP(B139,Assets!$A:$B,2,FALSE),"")</f>
        <v>ETF</v>
      </c>
      <c r="D139" s="6"/>
    </row>
    <row r="140" spans="1:4" x14ac:dyDescent="0.35">
      <c r="A140" s="8">
        <v>46388</v>
      </c>
      <c r="B140" s="5" t="s">
        <v>29</v>
      </c>
      <c r="C140" s="3" t="str">
        <f>IFERROR(VLOOKUP(B140,Assets!$A:$B,2,FALSE),"")</f>
        <v>ETF</v>
      </c>
      <c r="D140" s="6"/>
    </row>
    <row r="141" spans="1:4" x14ac:dyDescent="0.35">
      <c r="A141" s="8">
        <v>46388</v>
      </c>
      <c r="B141" s="5" t="s">
        <v>31</v>
      </c>
      <c r="C141" s="3" t="str">
        <f>IFERROR(VLOOKUP(B141,Assets!$A:$B,2,FALSE),"")</f>
        <v>ETF</v>
      </c>
      <c r="D141" s="6"/>
    </row>
    <row r="142" spans="1:4" x14ac:dyDescent="0.35">
      <c r="A142" s="8">
        <v>46388</v>
      </c>
      <c r="B142" s="5" t="s">
        <v>32</v>
      </c>
      <c r="C142" s="3" t="str">
        <f>IFERROR(VLOOKUP(B142,Assets!$A:$B,2,FALSE),"")</f>
        <v>ETF</v>
      </c>
      <c r="D142" s="6"/>
    </row>
    <row r="143" spans="1:4" x14ac:dyDescent="0.35">
      <c r="A143" s="8">
        <v>46388</v>
      </c>
      <c r="B143" s="5" t="s">
        <v>33</v>
      </c>
      <c r="C143" s="3" t="str">
        <f>IFERROR(VLOOKUP(B143,Assets!$A:$B,2,FALSE),"")</f>
        <v>ETF</v>
      </c>
      <c r="D143" s="6"/>
    </row>
    <row r="144" spans="1:4" x14ac:dyDescent="0.35">
      <c r="A144" s="8">
        <v>46388</v>
      </c>
      <c r="B144" s="5" t="s">
        <v>34</v>
      </c>
      <c r="C144" s="3" t="str">
        <f>IFERROR(VLOOKUP(B144,Assets!$A:$B,2,FALSE),"")</f>
        <v>ETF</v>
      </c>
      <c r="D144" s="6"/>
    </row>
    <row r="145" spans="1:4" x14ac:dyDescent="0.35">
      <c r="A145" s="8">
        <v>46388</v>
      </c>
      <c r="B145" s="5" t="s">
        <v>35</v>
      </c>
      <c r="C145" s="3" t="str">
        <f>IFERROR(VLOOKUP(B145,Assets!$A:$B,2,FALSE),"")</f>
        <v>Savings</v>
      </c>
      <c r="D145" s="6"/>
    </row>
    <row r="146" spans="1:4" x14ac:dyDescent="0.35">
      <c r="A146" s="8">
        <v>46419</v>
      </c>
      <c r="B146" s="5" t="s">
        <v>20</v>
      </c>
      <c r="C146" s="3" t="str">
        <f>IFERROR(VLOOKUP(B146,Assets!$A:$B,2,FALSE),"")</f>
        <v>ETF</v>
      </c>
      <c r="D146" s="6"/>
    </row>
    <row r="147" spans="1:4" x14ac:dyDescent="0.35">
      <c r="A147" s="8">
        <v>46419</v>
      </c>
      <c r="B147" s="5" t="s">
        <v>25</v>
      </c>
      <c r="C147" s="3" t="str">
        <f>IFERROR(VLOOKUP(B147,Assets!$A:$B,2,FALSE),"")</f>
        <v>ETF</v>
      </c>
      <c r="D147" s="6"/>
    </row>
    <row r="148" spans="1:4" x14ac:dyDescent="0.35">
      <c r="A148" s="8">
        <v>46419</v>
      </c>
      <c r="B148" s="5" t="s">
        <v>26</v>
      </c>
      <c r="C148" s="3" t="str">
        <f>IFERROR(VLOOKUP(B148,Assets!$A:$B,2,FALSE),"")</f>
        <v>ETF</v>
      </c>
      <c r="D148" s="6"/>
    </row>
    <row r="149" spans="1:4" x14ac:dyDescent="0.35">
      <c r="A149" s="8">
        <v>46419</v>
      </c>
      <c r="B149" s="5" t="s">
        <v>29</v>
      </c>
      <c r="C149" s="3" t="str">
        <f>IFERROR(VLOOKUP(B149,Assets!$A:$B,2,FALSE),"")</f>
        <v>ETF</v>
      </c>
      <c r="D149" s="6"/>
    </row>
    <row r="150" spans="1:4" x14ac:dyDescent="0.35">
      <c r="A150" s="8">
        <v>46419</v>
      </c>
      <c r="B150" s="5" t="s">
        <v>31</v>
      </c>
      <c r="C150" s="3" t="str">
        <f>IFERROR(VLOOKUP(B150,Assets!$A:$B,2,FALSE),"")</f>
        <v>ETF</v>
      </c>
      <c r="D150" s="6"/>
    </row>
    <row r="151" spans="1:4" x14ac:dyDescent="0.35">
      <c r="A151" s="8">
        <v>46419</v>
      </c>
      <c r="B151" s="5" t="s">
        <v>32</v>
      </c>
      <c r="C151" s="3" t="str">
        <f>IFERROR(VLOOKUP(B151,Assets!$A:$B,2,FALSE),"")</f>
        <v>ETF</v>
      </c>
      <c r="D151" s="6"/>
    </row>
    <row r="152" spans="1:4" x14ac:dyDescent="0.35">
      <c r="A152" s="8">
        <v>46419</v>
      </c>
      <c r="B152" s="5" t="s">
        <v>33</v>
      </c>
      <c r="C152" s="3" t="str">
        <f>IFERROR(VLOOKUP(B152,Assets!$A:$B,2,FALSE),"")</f>
        <v>ETF</v>
      </c>
      <c r="D152" s="6"/>
    </row>
    <row r="153" spans="1:4" x14ac:dyDescent="0.35">
      <c r="A153" s="8">
        <v>46419</v>
      </c>
      <c r="B153" s="5" t="s">
        <v>34</v>
      </c>
      <c r="C153" s="3" t="str">
        <f>IFERROR(VLOOKUP(B153,Assets!$A:$B,2,FALSE),"")</f>
        <v>ETF</v>
      </c>
      <c r="D153" s="6"/>
    </row>
    <row r="154" spans="1:4" x14ac:dyDescent="0.35">
      <c r="A154" s="8">
        <v>46419</v>
      </c>
      <c r="B154" s="5" t="s">
        <v>35</v>
      </c>
      <c r="C154" s="3" t="str">
        <f>IFERROR(VLOOKUP(B154,Assets!$A:$B,2,FALSE),"")</f>
        <v>Savings</v>
      </c>
      <c r="D154" s="6"/>
    </row>
    <row r="155" spans="1:4" x14ac:dyDescent="0.35">
      <c r="A155" s="8">
        <v>46447</v>
      </c>
      <c r="B155" s="5" t="s">
        <v>20</v>
      </c>
      <c r="C155" s="3" t="str">
        <f>IFERROR(VLOOKUP(B155,Assets!$A:$B,2,FALSE),"")</f>
        <v>ETF</v>
      </c>
      <c r="D155" s="6"/>
    </row>
    <row r="156" spans="1:4" x14ac:dyDescent="0.35">
      <c r="A156" s="8">
        <v>46447</v>
      </c>
      <c r="B156" s="5" t="s">
        <v>25</v>
      </c>
      <c r="C156" s="3" t="str">
        <f>IFERROR(VLOOKUP(B156,Assets!$A:$B,2,FALSE),"")</f>
        <v>ETF</v>
      </c>
      <c r="D156" s="6"/>
    </row>
    <row r="157" spans="1:4" x14ac:dyDescent="0.35">
      <c r="A157" s="8">
        <v>46447</v>
      </c>
      <c r="B157" s="5" t="s">
        <v>26</v>
      </c>
      <c r="C157" s="3" t="str">
        <f>IFERROR(VLOOKUP(B157,Assets!$A:$B,2,FALSE),"")</f>
        <v>ETF</v>
      </c>
      <c r="D157" s="6"/>
    </row>
    <row r="158" spans="1:4" x14ac:dyDescent="0.35">
      <c r="A158" s="8">
        <v>46447</v>
      </c>
      <c r="B158" s="5" t="s">
        <v>29</v>
      </c>
      <c r="C158" s="3" t="str">
        <f>IFERROR(VLOOKUP(B158,Assets!$A:$B,2,FALSE),"")</f>
        <v>ETF</v>
      </c>
      <c r="D158" s="6"/>
    </row>
    <row r="159" spans="1:4" x14ac:dyDescent="0.35">
      <c r="A159" s="8">
        <v>46447</v>
      </c>
      <c r="B159" s="5" t="s">
        <v>31</v>
      </c>
      <c r="C159" s="3" t="str">
        <f>IFERROR(VLOOKUP(B159,Assets!$A:$B,2,FALSE),"")</f>
        <v>ETF</v>
      </c>
      <c r="D159" s="6"/>
    </row>
    <row r="160" spans="1:4" x14ac:dyDescent="0.35">
      <c r="A160" s="8">
        <v>46447</v>
      </c>
      <c r="B160" s="5" t="s">
        <v>32</v>
      </c>
      <c r="C160" s="3" t="str">
        <f>IFERROR(VLOOKUP(B160,Assets!$A:$B,2,FALSE),"")</f>
        <v>ETF</v>
      </c>
      <c r="D160" s="6"/>
    </row>
    <row r="161" spans="1:4" x14ac:dyDescent="0.35">
      <c r="A161" s="8">
        <v>46447</v>
      </c>
      <c r="B161" s="5" t="s">
        <v>33</v>
      </c>
      <c r="C161" s="3" t="str">
        <f>IFERROR(VLOOKUP(B161,Assets!$A:$B,2,FALSE),"")</f>
        <v>ETF</v>
      </c>
      <c r="D161" s="6"/>
    </row>
    <row r="162" spans="1:4" x14ac:dyDescent="0.35">
      <c r="A162" s="8">
        <v>46447</v>
      </c>
      <c r="B162" s="5" t="s">
        <v>34</v>
      </c>
      <c r="C162" s="3" t="str">
        <f>IFERROR(VLOOKUP(B162,Assets!$A:$B,2,FALSE),"")</f>
        <v>ETF</v>
      </c>
      <c r="D162" s="6"/>
    </row>
    <row r="163" spans="1:4" x14ac:dyDescent="0.35">
      <c r="A163" s="8">
        <v>46447</v>
      </c>
      <c r="B163" s="5" t="s">
        <v>35</v>
      </c>
      <c r="C163" s="3" t="str">
        <f>IFERROR(VLOOKUP(B163,Assets!$A:$B,2,FALSE),"")</f>
        <v>Savings</v>
      </c>
      <c r="D163" s="6"/>
    </row>
    <row r="164" spans="1:4" x14ac:dyDescent="0.35">
      <c r="A164" s="8">
        <v>46478</v>
      </c>
      <c r="B164" s="5" t="s">
        <v>20</v>
      </c>
      <c r="C164" s="3" t="str">
        <f>IFERROR(VLOOKUP(B164,Assets!$A:$B,2,FALSE),"")</f>
        <v>ETF</v>
      </c>
      <c r="D164" s="6"/>
    </row>
    <row r="165" spans="1:4" x14ac:dyDescent="0.35">
      <c r="A165" s="8">
        <v>46478</v>
      </c>
      <c r="B165" s="5" t="s">
        <v>25</v>
      </c>
      <c r="C165" s="3" t="str">
        <f>IFERROR(VLOOKUP(B165,Assets!$A:$B,2,FALSE),"")</f>
        <v>ETF</v>
      </c>
      <c r="D165" s="6"/>
    </row>
    <row r="166" spans="1:4" x14ac:dyDescent="0.35">
      <c r="A166" s="8">
        <v>46478</v>
      </c>
      <c r="B166" s="5" t="s">
        <v>26</v>
      </c>
      <c r="C166" s="3" t="str">
        <f>IFERROR(VLOOKUP(B166,Assets!$A:$B,2,FALSE),"")</f>
        <v>ETF</v>
      </c>
      <c r="D166" s="6"/>
    </row>
    <row r="167" spans="1:4" x14ac:dyDescent="0.35">
      <c r="A167" s="8">
        <v>46478</v>
      </c>
      <c r="B167" s="5" t="s">
        <v>29</v>
      </c>
      <c r="C167" s="3" t="str">
        <f>IFERROR(VLOOKUP(B167,Assets!$A:$B,2,FALSE),"")</f>
        <v>ETF</v>
      </c>
      <c r="D167" s="6"/>
    </row>
    <row r="168" spans="1:4" x14ac:dyDescent="0.35">
      <c r="A168" s="8">
        <v>46478</v>
      </c>
      <c r="B168" s="5" t="s">
        <v>31</v>
      </c>
      <c r="C168" s="3" t="str">
        <f>IFERROR(VLOOKUP(B168,Assets!$A:$B,2,FALSE),"")</f>
        <v>ETF</v>
      </c>
      <c r="D168" s="6"/>
    </row>
    <row r="169" spans="1:4" x14ac:dyDescent="0.35">
      <c r="A169" s="8">
        <v>46478</v>
      </c>
      <c r="B169" s="5" t="s">
        <v>32</v>
      </c>
      <c r="C169" s="3" t="str">
        <f>IFERROR(VLOOKUP(B169,Assets!$A:$B,2,FALSE),"")</f>
        <v>ETF</v>
      </c>
      <c r="D169" s="6"/>
    </row>
    <row r="170" spans="1:4" x14ac:dyDescent="0.35">
      <c r="A170" s="8">
        <v>46478</v>
      </c>
      <c r="B170" s="5" t="s">
        <v>33</v>
      </c>
      <c r="C170" s="3" t="str">
        <f>IFERROR(VLOOKUP(B170,Assets!$A:$B,2,FALSE),"")</f>
        <v>ETF</v>
      </c>
      <c r="D170" s="6"/>
    </row>
    <row r="171" spans="1:4" x14ac:dyDescent="0.35">
      <c r="A171" s="8">
        <v>46478</v>
      </c>
      <c r="B171" s="5" t="s">
        <v>34</v>
      </c>
      <c r="C171" s="3" t="str">
        <f>IFERROR(VLOOKUP(B171,Assets!$A:$B,2,FALSE),"")</f>
        <v>ETF</v>
      </c>
      <c r="D171" s="6"/>
    </row>
    <row r="172" spans="1:4" x14ac:dyDescent="0.35">
      <c r="A172" s="8">
        <v>46478</v>
      </c>
      <c r="B172" s="5" t="s">
        <v>35</v>
      </c>
      <c r="C172" s="3" t="str">
        <f>IFERROR(VLOOKUP(B172,Assets!$A:$B,2,FALSE),"")</f>
        <v>Savings</v>
      </c>
      <c r="D172" s="6"/>
    </row>
    <row r="173" spans="1:4" x14ac:dyDescent="0.35">
      <c r="A173" s="8">
        <v>46508</v>
      </c>
      <c r="B173" s="5" t="s">
        <v>20</v>
      </c>
      <c r="C173" s="3" t="str">
        <f>IFERROR(VLOOKUP(B173,Assets!$A:$B,2,FALSE),"")</f>
        <v>ETF</v>
      </c>
      <c r="D173" s="6"/>
    </row>
    <row r="174" spans="1:4" x14ac:dyDescent="0.35">
      <c r="A174" s="8">
        <v>46508</v>
      </c>
      <c r="B174" s="5" t="s">
        <v>25</v>
      </c>
      <c r="C174" s="3" t="str">
        <f>IFERROR(VLOOKUP(B174,Assets!$A:$B,2,FALSE),"")</f>
        <v>ETF</v>
      </c>
      <c r="D174" s="6"/>
    </row>
    <row r="175" spans="1:4" x14ac:dyDescent="0.35">
      <c r="A175" s="8">
        <v>46508</v>
      </c>
      <c r="B175" s="5" t="s">
        <v>26</v>
      </c>
      <c r="C175" s="3" t="str">
        <f>IFERROR(VLOOKUP(B175,Assets!$A:$B,2,FALSE),"")</f>
        <v>ETF</v>
      </c>
      <c r="D175" s="6"/>
    </row>
    <row r="176" spans="1:4" x14ac:dyDescent="0.35">
      <c r="A176" s="8">
        <v>46508</v>
      </c>
      <c r="B176" s="5" t="s">
        <v>29</v>
      </c>
      <c r="C176" s="3" t="str">
        <f>IFERROR(VLOOKUP(B176,Assets!$A:$B,2,FALSE),"")</f>
        <v>ETF</v>
      </c>
      <c r="D176" s="6"/>
    </row>
    <row r="177" spans="1:4" x14ac:dyDescent="0.35">
      <c r="A177" s="8">
        <v>46508</v>
      </c>
      <c r="B177" s="5" t="s">
        <v>31</v>
      </c>
      <c r="C177" s="3" t="str">
        <f>IFERROR(VLOOKUP(B177,Assets!$A:$B,2,FALSE),"")</f>
        <v>ETF</v>
      </c>
      <c r="D177" s="6"/>
    </row>
    <row r="178" spans="1:4" x14ac:dyDescent="0.35">
      <c r="A178" s="8">
        <v>46508</v>
      </c>
      <c r="B178" s="5" t="s">
        <v>32</v>
      </c>
      <c r="C178" s="3" t="str">
        <f>IFERROR(VLOOKUP(B178,Assets!$A:$B,2,FALSE),"")</f>
        <v>ETF</v>
      </c>
      <c r="D178" s="6"/>
    </row>
    <row r="179" spans="1:4" x14ac:dyDescent="0.35">
      <c r="A179" s="8">
        <v>46508</v>
      </c>
      <c r="B179" s="5" t="s">
        <v>33</v>
      </c>
      <c r="C179" s="3" t="str">
        <f>IFERROR(VLOOKUP(B179,Assets!$A:$B,2,FALSE),"")</f>
        <v>ETF</v>
      </c>
      <c r="D179" s="6"/>
    </row>
    <row r="180" spans="1:4" x14ac:dyDescent="0.35">
      <c r="A180" s="8">
        <v>46508</v>
      </c>
      <c r="B180" s="5" t="s">
        <v>34</v>
      </c>
      <c r="C180" s="3" t="str">
        <f>IFERROR(VLOOKUP(B180,Assets!$A:$B,2,FALSE),"")</f>
        <v>ETF</v>
      </c>
      <c r="D180" s="6"/>
    </row>
    <row r="181" spans="1:4" x14ac:dyDescent="0.35">
      <c r="A181" s="8">
        <v>46508</v>
      </c>
      <c r="B181" s="5" t="s">
        <v>35</v>
      </c>
      <c r="C181" s="3" t="str">
        <f>IFERROR(VLOOKUP(B181,Assets!$A:$B,2,FALSE),"")</f>
        <v>Savings</v>
      </c>
      <c r="D181" s="6"/>
    </row>
    <row r="182" spans="1:4" x14ac:dyDescent="0.35">
      <c r="A182" s="8">
        <v>46539</v>
      </c>
      <c r="B182" s="5" t="s">
        <v>20</v>
      </c>
      <c r="C182" s="3" t="str">
        <f>IFERROR(VLOOKUP(B182,Assets!$A:$B,2,FALSE),"")</f>
        <v>ETF</v>
      </c>
      <c r="D182" s="6"/>
    </row>
    <row r="183" spans="1:4" x14ac:dyDescent="0.35">
      <c r="A183" s="8">
        <v>46539</v>
      </c>
      <c r="B183" s="5" t="s">
        <v>25</v>
      </c>
      <c r="C183" s="3" t="str">
        <f>IFERROR(VLOOKUP(B183,Assets!$A:$B,2,FALSE),"")</f>
        <v>ETF</v>
      </c>
      <c r="D183" s="6"/>
    </row>
    <row r="184" spans="1:4" x14ac:dyDescent="0.35">
      <c r="A184" s="8">
        <v>46539</v>
      </c>
      <c r="B184" s="5" t="s">
        <v>26</v>
      </c>
      <c r="C184" s="3" t="str">
        <f>IFERROR(VLOOKUP(B184,Assets!$A:$B,2,FALSE),"")</f>
        <v>ETF</v>
      </c>
      <c r="D184" s="6"/>
    </row>
    <row r="185" spans="1:4" x14ac:dyDescent="0.35">
      <c r="A185" s="8">
        <v>46539</v>
      </c>
      <c r="B185" s="5" t="s">
        <v>29</v>
      </c>
      <c r="C185" s="3" t="str">
        <f>IFERROR(VLOOKUP(B185,Assets!$A:$B,2,FALSE),"")</f>
        <v>ETF</v>
      </c>
      <c r="D185" s="6"/>
    </row>
    <row r="186" spans="1:4" x14ac:dyDescent="0.35">
      <c r="A186" s="8">
        <v>46539</v>
      </c>
      <c r="B186" s="5" t="s">
        <v>31</v>
      </c>
      <c r="C186" s="3" t="str">
        <f>IFERROR(VLOOKUP(B186,Assets!$A:$B,2,FALSE),"")</f>
        <v>ETF</v>
      </c>
      <c r="D186" s="6"/>
    </row>
    <row r="187" spans="1:4" x14ac:dyDescent="0.35">
      <c r="A187" s="8">
        <v>46539</v>
      </c>
      <c r="B187" s="5" t="s">
        <v>32</v>
      </c>
      <c r="C187" s="3" t="str">
        <f>IFERROR(VLOOKUP(B187,Assets!$A:$B,2,FALSE),"")</f>
        <v>ETF</v>
      </c>
      <c r="D187" s="6"/>
    </row>
    <row r="188" spans="1:4" x14ac:dyDescent="0.35">
      <c r="A188" s="8">
        <v>46539</v>
      </c>
      <c r="B188" s="5" t="s">
        <v>33</v>
      </c>
      <c r="C188" s="3" t="str">
        <f>IFERROR(VLOOKUP(B188,Assets!$A:$B,2,FALSE),"")</f>
        <v>ETF</v>
      </c>
      <c r="D188" s="6"/>
    </row>
    <row r="189" spans="1:4" x14ac:dyDescent="0.35">
      <c r="A189" s="8">
        <v>46539</v>
      </c>
      <c r="B189" s="5" t="s">
        <v>34</v>
      </c>
      <c r="C189" s="3" t="str">
        <f>IFERROR(VLOOKUP(B189,Assets!$A:$B,2,FALSE),"")</f>
        <v>ETF</v>
      </c>
      <c r="D189" s="6"/>
    </row>
    <row r="190" spans="1:4" x14ac:dyDescent="0.35">
      <c r="A190" s="8">
        <v>46539</v>
      </c>
      <c r="B190" s="5" t="s">
        <v>35</v>
      </c>
      <c r="C190" s="3" t="str">
        <f>IFERROR(VLOOKUP(B190,Assets!$A:$B,2,FALSE),"")</f>
        <v>Savings</v>
      </c>
      <c r="D190" s="6"/>
    </row>
    <row r="191" spans="1:4" x14ac:dyDescent="0.35">
      <c r="A191" s="8">
        <v>46569</v>
      </c>
      <c r="B191" s="5" t="s">
        <v>20</v>
      </c>
      <c r="C191" s="3" t="str">
        <f>IFERROR(VLOOKUP(B191,Assets!$A:$B,2,FALSE),"")</f>
        <v>ETF</v>
      </c>
      <c r="D191" s="6"/>
    </row>
    <row r="192" spans="1:4" x14ac:dyDescent="0.35">
      <c r="A192" s="8">
        <v>46569</v>
      </c>
      <c r="B192" s="5" t="s">
        <v>25</v>
      </c>
      <c r="C192" s="3" t="str">
        <f>IFERROR(VLOOKUP(B192,Assets!$A:$B,2,FALSE),"")</f>
        <v>ETF</v>
      </c>
      <c r="D192" s="6"/>
    </row>
    <row r="193" spans="1:4" x14ac:dyDescent="0.35">
      <c r="A193" s="8">
        <v>46569</v>
      </c>
      <c r="B193" s="5" t="s">
        <v>26</v>
      </c>
      <c r="C193" s="3" t="str">
        <f>IFERROR(VLOOKUP(B193,Assets!$A:$B,2,FALSE),"")</f>
        <v>ETF</v>
      </c>
      <c r="D193" s="6"/>
    </row>
    <row r="194" spans="1:4" x14ac:dyDescent="0.35">
      <c r="A194" s="8">
        <v>46569</v>
      </c>
      <c r="B194" s="5" t="s">
        <v>29</v>
      </c>
      <c r="C194" s="3" t="str">
        <f>IFERROR(VLOOKUP(B194,Assets!$A:$B,2,FALSE),"")</f>
        <v>ETF</v>
      </c>
      <c r="D194" s="6"/>
    </row>
    <row r="195" spans="1:4" x14ac:dyDescent="0.35">
      <c r="A195" s="8">
        <v>46569</v>
      </c>
      <c r="B195" s="5" t="s">
        <v>31</v>
      </c>
      <c r="C195" s="3" t="str">
        <f>IFERROR(VLOOKUP(B195,Assets!$A:$B,2,FALSE),"")</f>
        <v>ETF</v>
      </c>
      <c r="D195" s="6"/>
    </row>
    <row r="196" spans="1:4" x14ac:dyDescent="0.35">
      <c r="A196" s="8">
        <v>46569</v>
      </c>
      <c r="B196" s="5" t="s">
        <v>32</v>
      </c>
      <c r="C196" s="3" t="str">
        <f>IFERROR(VLOOKUP(B196,Assets!$A:$B,2,FALSE),"")</f>
        <v>ETF</v>
      </c>
      <c r="D196" s="6"/>
    </row>
    <row r="197" spans="1:4" x14ac:dyDescent="0.35">
      <c r="A197" s="8">
        <v>46569</v>
      </c>
      <c r="B197" s="5" t="s">
        <v>33</v>
      </c>
      <c r="C197" s="3" t="str">
        <f>IFERROR(VLOOKUP(B197,Assets!$A:$B,2,FALSE),"")</f>
        <v>ETF</v>
      </c>
      <c r="D197" s="6"/>
    </row>
    <row r="198" spans="1:4" x14ac:dyDescent="0.35">
      <c r="A198" s="8">
        <v>46569</v>
      </c>
      <c r="B198" s="5" t="s">
        <v>34</v>
      </c>
      <c r="C198" s="3" t="str">
        <f>IFERROR(VLOOKUP(B198,Assets!$A:$B,2,FALSE),"")</f>
        <v>ETF</v>
      </c>
      <c r="D198" s="6"/>
    </row>
    <row r="199" spans="1:4" x14ac:dyDescent="0.35">
      <c r="A199" s="8">
        <v>46569</v>
      </c>
      <c r="B199" s="5" t="s">
        <v>35</v>
      </c>
      <c r="C199" s="3" t="str">
        <f>IFERROR(VLOOKUP(B199,Assets!$A:$B,2,FALSE),"")</f>
        <v>Savings</v>
      </c>
      <c r="D199" s="6"/>
    </row>
    <row r="200" spans="1:4" x14ac:dyDescent="0.35">
      <c r="A200" s="8">
        <v>46600</v>
      </c>
      <c r="B200" s="5" t="s">
        <v>20</v>
      </c>
      <c r="C200" s="3" t="str">
        <f>IFERROR(VLOOKUP(B200,Assets!$A:$B,2,FALSE),"")</f>
        <v>ETF</v>
      </c>
      <c r="D200" s="6"/>
    </row>
    <row r="201" spans="1:4" x14ac:dyDescent="0.35">
      <c r="A201" s="8">
        <v>46600</v>
      </c>
      <c r="B201" s="5" t="s">
        <v>25</v>
      </c>
      <c r="C201" s="3" t="str">
        <f>IFERROR(VLOOKUP(B201,Assets!$A:$B,2,FALSE),"")</f>
        <v>ETF</v>
      </c>
      <c r="D201" s="6"/>
    </row>
    <row r="202" spans="1:4" x14ac:dyDescent="0.35">
      <c r="A202" s="8">
        <v>46600</v>
      </c>
      <c r="B202" s="5" t="s">
        <v>26</v>
      </c>
      <c r="C202" s="3" t="str">
        <f>IFERROR(VLOOKUP(B202,Assets!$A:$B,2,FALSE),"")</f>
        <v>ETF</v>
      </c>
      <c r="D202" s="6"/>
    </row>
    <row r="203" spans="1:4" x14ac:dyDescent="0.35">
      <c r="A203" s="8">
        <v>46600</v>
      </c>
      <c r="B203" s="5" t="s">
        <v>29</v>
      </c>
      <c r="C203" s="3" t="str">
        <f>IFERROR(VLOOKUP(B203,Assets!$A:$B,2,FALSE),"")</f>
        <v>ETF</v>
      </c>
      <c r="D203" s="6"/>
    </row>
    <row r="204" spans="1:4" x14ac:dyDescent="0.35">
      <c r="A204" s="8">
        <v>46600</v>
      </c>
      <c r="B204" s="5" t="s">
        <v>31</v>
      </c>
      <c r="C204" s="3" t="str">
        <f>IFERROR(VLOOKUP(B204,Assets!$A:$B,2,FALSE),"")</f>
        <v>ETF</v>
      </c>
      <c r="D204" s="6"/>
    </row>
    <row r="205" spans="1:4" x14ac:dyDescent="0.35">
      <c r="A205" s="8">
        <v>46600</v>
      </c>
      <c r="B205" s="5" t="s">
        <v>32</v>
      </c>
      <c r="C205" s="3" t="str">
        <f>IFERROR(VLOOKUP(B205,Assets!$A:$B,2,FALSE),"")</f>
        <v>ETF</v>
      </c>
      <c r="D205" s="6"/>
    </row>
    <row r="206" spans="1:4" x14ac:dyDescent="0.35">
      <c r="A206" s="8">
        <v>46600</v>
      </c>
      <c r="B206" s="5" t="s">
        <v>33</v>
      </c>
      <c r="C206" s="3" t="str">
        <f>IFERROR(VLOOKUP(B206,Assets!$A:$B,2,FALSE),"")</f>
        <v>ETF</v>
      </c>
      <c r="D206" s="6"/>
    </row>
    <row r="207" spans="1:4" x14ac:dyDescent="0.35">
      <c r="A207" s="8">
        <v>46600</v>
      </c>
      <c r="B207" s="5" t="s">
        <v>34</v>
      </c>
      <c r="C207" s="3" t="str">
        <f>IFERROR(VLOOKUP(B207,Assets!$A:$B,2,FALSE),"")</f>
        <v>ETF</v>
      </c>
      <c r="D207" s="6"/>
    </row>
    <row r="208" spans="1:4" x14ac:dyDescent="0.35">
      <c r="A208" s="8">
        <v>46600</v>
      </c>
      <c r="B208" s="5" t="s">
        <v>35</v>
      </c>
      <c r="C208" s="3" t="str">
        <f>IFERROR(VLOOKUP(B208,Assets!$A:$B,2,FALSE),"")</f>
        <v>Savings</v>
      </c>
      <c r="D208" s="6"/>
    </row>
    <row r="209" spans="1:4" x14ac:dyDescent="0.35">
      <c r="A209" s="8">
        <v>46631</v>
      </c>
      <c r="B209" s="5" t="s">
        <v>20</v>
      </c>
      <c r="C209" s="3" t="str">
        <f>IFERROR(VLOOKUP(B209,Assets!$A:$B,2,FALSE),"")</f>
        <v>ETF</v>
      </c>
      <c r="D209" s="6"/>
    </row>
    <row r="210" spans="1:4" x14ac:dyDescent="0.35">
      <c r="A210" s="8">
        <v>46631</v>
      </c>
      <c r="B210" s="5" t="s">
        <v>25</v>
      </c>
      <c r="C210" s="3" t="str">
        <f>IFERROR(VLOOKUP(B210,Assets!$A:$B,2,FALSE),"")</f>
        <v>ETF</v>
      </c>
      <c r="D210" s="6"/>
    </row>
    <row r="211" spans="1:4" x14ac:dyDescent="0.35">
      <c r="A211" s="8">
        <v>46631</v>
      </c>
      <c r="B211" s="5" t="s">
        <v>26</v>
      </c>
      <c r="C211" s="3" t="str">
        <f>IFERROR(VLOOKUP(B211,Assets!$A:$B,2,FALSE),"")</f>
        <v>ETF</v>
      </c>
      <c r="D211" s="6"/>
    </row>
    <row r="212" spans="1:4" x14ac:dyDescent="0.35">
      <c r="A212" s="8">
        <v>46631</v>
      </c>
      <c r="B212" s="5" t="s">
        <v>29</v>
      </c>
      <c r="C212" s="3" t="str">
        <f>IFERROR(VLOOKUP(B212,Assets!$A:$B,2,FALSE),"")</f>
        <v>ETF</v>
      </c>
      <c r="D212" s="6"/>
    </row>
    <row r="213" spans="1:4" x14ac:dyDescent="0.35">
      <c r="A213" s="8">
        <v>46631</v>
      </c>
      <c r="B213" s="5" t="s">
        <v>31</v>
      </c>
      <c r="C213" s="3" t="str">
        <f>IFERROR(VLOOKUP(B213,Assets!$A:$B,2,FALSE),"")</f>
        <v>ETF</v>
      </c>
      <c r="D213" s="6"/>
    </row>
    <row r="214" spans="1:4" x14ac:dyDescent="0.35">
      <c r="A214" s="8">
        <v>46631</v>
      </c>
      <c r="B214" s="5" t="s">
        <v>32</v>
      </c>
      <c r="C214" s="3" t="str">
        <f>IFERROR(VLOOKUP(B214,Assets!$A:$B,2,FALSE),"")</f>
        <v>ETF</v>
      </c>
      <c r="D214" s="6"/>
    </row>
    <row r="215" spans="1:4" x14ac:dyDescent="0.35">
      <c r="A215" s="8">
        <v>46631</v>
      </c>
      <c r="B215" s="5" t="s">
        <v>33</v>
      </c>
      <c r="C215" s="3" t="str">
        <f>IFERROR(VLOOKUP(B215,Assets!$A:$B,2,FALSE),"")</f>
        <v>ETF</v>
      </c>
      <c r="D215" s="6"/>
    </row>
    <row r="216" spans="1:4" x14ac:dyDescent="0.35">
      <c r="A216" s="8">
        <v>46631</v>
      </c>
      <c r="B216" s="5" t="s">
        <v>34</v>
      </c>
      <c r="C216" s="3" t="str">
        <f>IFERROR(VLOOKUP(B216,Assets!$A:$B,2,FALSE),"")</f>
        <v>ETF</v>
      </c>
      <c r="D216" s="6"/>
    </row>
    <row r="217" spans="1:4" x14ac:dyDescent="0.35">
      <c r="A217" s="8">
        <v>46631</v>
      </c>
      <c r="B217" s="5" t="s">
        <v>35</v>
      </c>
      <c r="C217" s="3" t="str">
        <f>IFERROR(VLOOKUP(B217,Assets!$A:$B,2,FALSE),"")</f>
        <v>Savings</v>
      </c>
      <c r="D217" s="6"/>
    </row>
    <row r="218" spans="1:4" x14ac:dyDescent="0.35">
      <c r="A218" s="8">
        <v>46661</v>
      </c>
      <c r="B218" s="5" t="s">
        <v>20</v>
      </c>
      <c r="C218" s="3" t="str">
        <f>IFERROR(VLOOKUP(B218,Assets!$A:$B,2,FALSE),"")</f>
        <v>ETF</v>
      </c>
      <c r="D218" s="6"/>
    </row>
    <row r="219" spans="1:4" x14ac:dyDescent="0.35">
      <c r="A219" s="8">
        <v>46661</v>
      </c>
      <c r="B219" s="5" t="s">
        <v>25</v>
      </c>
      <c r="C219" s="3" t="str">
        <f>IFERROR(VLOOKUP(B219,Assets!$A:$B,2,FALSE),"")</f>
        <v>ETF</v>
      </c>
      <c r="D219" s="6"/>
    </row>
    <row r="220" spans="1:4" x14ac:dyDescent="0.35">
      <c r="A220" s="8">
        <v>46661</v>
      </c>
      <c r="B220" s="5" t="s">
        <v>26</v>
      </c>
      <c r="C220" s="3" t="str">
        <f>IFERROR(VLOOKUP(B220,Assets!$A:$B,2,FALSE),"")</f>
        <v>ETF</v>
      </c>
      <c r="D220" s="6"/>
    </row>
    <row r="221" spans="1:4" x14ac:dyDescent="0.35">
      <c r="A221" s="8">
        <v>46661</v>
      </c>
      <c r="B221" s="5" t="s">
        <v>29</v>
      </c>
      <c r="C221" s="3" t="str">
        <f>IFERROR(VLOOKUP(B221,Assets!$A:$B,2,FALSE),"")</f>
        <v>ETF</v>
      </c>
      <c r="D221" s="6"/>
    </row>
    <row r="222" spans="1:4" x14ac:dyDescent="0.35">
      <c r="A222" s="8">
        <v>46661</v>
      </c>
      <c r="B222" s="5" t="s">
        <v>31</v>
      </c>
      <c r="C222" s="3" t="str">
        <f>IFERROR(VLOOKUP(B222,Assets!$A:$B,2,FALSE),"")</f>
        <v>ETF</v>
      </c>
      <c r="D222" s="6"/>
    </row>
    <row r="223" spans="1:4" x14ac:dyDescent="0.35">
      <c r="A223" s="8">
        <v>46661</v>
      </c>
      <c r="B223" s="5" t="s">
        <v>32</v>
      </c>
      <c r="C223" s="3" t="str">
        <f>IFERROR(VLOOKUP(B223,Assets!$A:$B,2,FALSE),"")</f>
        <v>ETF</v>
      </c>
      <c r="D223" s="6"/>
    </row>
    <row r="224" spans="1:4" x14ac:dyDescent="0.35">
      <c r="A224" s="8">
        <v>46661</v>
      </c>
      <c r="B224" s="5" t="s">
        <v>33</v>
      </c>
      <c r="C224" s="3" t="str">
        <f>IFERROR(VLOOKUP(B224,Assets!$A:$B,2,FALSE),"")</f>
        <v>ETF</v>
      </c>
      <c r="D224" s="6"/>
    </row>
    <row r="225" spans="1:4" x14ac:dyDescent="0.35">
      <c r="A225" s="8">
        <v>46661</v>
      </c>
      <c r="B225" s="5" t="s">
        <v>34</v>
      </c>
      <c r="C225" s="3" t="str">
        <f>IFERROR(VLOOKUP(B225,Assets!$A:$B,2,FALSE),"")</f>
        <v>ETF</v>
      </c>
      <c r="D225" s="6"/>
    </row>
    <row r="226" spans="1:4" x14ac:dyDescent="0.35">
      <c r="A226" s="8">
        <v>46661</v>
      </c>
      <c r="B226" s="5" t="s">
        <v>35</v>
      </c>
      <c r="C226" s="3" t="str">
        <f>IFERROR(VLOOKUP(B226,Assets!$A:$B,2,FALSE),"")</f>
        <v>Savings</v>
      </c>
      <c r="D226" s="6"/>
    </row>
    <row r="227" spans="1:4" x14ac:dyDescent="0.35">
      <c r="A227" s="8">
        <v>46692</v>
      </c>
      <c r="B227" s="5" t="s">
        <v>20</v>
      </c>
      <c r="C227" s="3" t="str">
        <f>IFERROR(VLOOKUP(B227,Assets!$A:$B,2,FALSE),"")</f>
        <v>ETF</v>
      </c>
      <c r="D227" s="6"/>
    </row>
    <row r="228" spans="1:4" x14ac:dyDescent="0.35">
      <c r="A228" s="8">
        <v>46692</v>
      </c>
      <c r="B228" s="5" t="s">
        <v>25</v>
      </c>
      <c r="C228" s="3" t="str">
        <f>IFERROR(VLOOKUP(B228,Assets!$A:$B,2,FALSE),"")</f>
        <v>ETF</v>
      </c>
      <c r="D228" s="6"/>
    </row>
    <row r="229" spans="1:4" x14ac:dyDescent="0.35">
      <c r="A229" s="8">
        <v>46692</v>
      </c>
      <c r="B229" s="5" t="s">
        <v>26</v>
      </c>
      <c r="C229" s="3" t="str">
        <f>IFERROR(VLOOKUP(B229,Assets!$A:$B,2,FALSE),"")</f>
        <v>ETF</v>
      </c>
      <c r="D229" s="6"/>
    </row>
    <row r="230" spans="1:4" x14ac:dyDescent="0.35">
      <c r="A230" s="8">
        <v>46692</v>
      </c>
      <c r="B230" s="5" t="s">
        <v>29</v>
      </c>
      <c r="C230" s="3" t="str">
        <f>IFERROR(VLOOKUP(B230,Assets!$A:$B,2,FALSE),"")</f>
        <v>ETF</v>
      </c>
      <c r="D230" s="6"/>
    </row>
    <row r="231" spans="1:4" x14ac:dyDescent="0.35">
      <c r="A231" s="8">
        <v>46692</v>
      </c>
      <c r="B231" s="5" t="s">
        <v>31</v>
      </c>
      <c r="C231" s="3" t="str">
        <f>IFERROR(VLOOKUP(B231,Assets!$A:$B,2,FALSE),"")</f>
        <v>ETF</v>
      </c>
      <c r="D231" s="6"/>
    </row>
    <row r="232" spans="1:4" x14ac:dyDescent="0.35">
      <c r="A232" s="8">
        <v>46692</v>
      </c>
      <c r="B232" s="5" t="s">
        <v>32</v>
      </c>
      <c r="C232" s="3" t="str">
        <f>IFERROR(VLOOKUP(B232,Assets!$A:$B,2,FALSE),"")</f>
        <v>ETF</v>
      </c>
      <c r="D232" s="6"/>
    </row>
    <row r="233" spans="1:4" x14ac:dyDescent="0.35">
      <c r="A233" s="8">
        <v>46692</v>
      </c>
      <c r="B233" s="5" t="s">
        <v>33</v>
      </c>
      <c r="C233" s="3" t="str">
        <f>IFERROR(VLOOKUP(B233,Assets!$A:$B,2,FALSE),"")</f>
        <v>ETF</v>
      </c>
      <c r="D233" s="6"/>
    </row>
    <row r="234" spans="1:4" x14ac:dyDescent="0.35">
      <c r="A234" s="8">
        <v>46692</v>
      </c>
      <c r="B234" s="5" t="s">
        <v>34</v>
      </c>
      <c r="C234" s="3" t="str">
        <f>IFERROR(VLOOKUP(B234,Assets!$A:$B,2,FALSE),"")</f>
        <v>ETF</v>
      </c>
      <c r="D234" s="6"/>
    </row>
    <row r="235" spans="1:4" x14ac:dyDescent="0.35">
      <c r="A235" s="8">
        <v>46692</v>
      </c>
      <c r="B235" s="5" t="s">
        <v>35</v>
      </c>
      <c r="C235" s="3" t="str">
        <f>IFERROR(VLOOKUP(B235,Assets!$A:$B,2,FALSE),"")</f>
        <v>Savings</v>
      </c>
      <c r="D235" s="6"/>
    </row>
    <row r="236" spans="1:4" x14ac:dyDescent="0.35">
      <c r="A236" s="8">
        <v>46722</v>
      </c>
      <c r="B236" s="5" t="s">
        <v>20</v>
      </c>
      <c r="C236" s="3" t="str">
        <f>IFERROR(VLOOKUP(B236,Assets!$A:$B,2,FALSE),"")</f>
        <v>ETF</v>
      </c>
      <c r="D236" s="6"/>
    </row>
    <row r="237" spans="1:4" x14ac:dyDescent="0.35">
      <c r="A237" s="8">
        <v>46722</v>
      </c>
      <c r="B237" s="5" t="s">
        <v>25</v>
      </c>
      <c r="C237" s="3" t="str">
        <f>IFERROR(VLOOKUP(B237,Assets!$A:$B,2,FALSE),"")</f>
        <v>ETF</v>
      </c>
      <c r="D237" s="6"/>
    </row>
    <row r="238" spans="1:4" x14ac:dyDescent="0.35">
      <c r="A238" s="8">
        <v>46722</v>
      </c>
      <c r="B238" s="5" t="s">
        <v>26</v>
      </c>
      <c r="C238" s="3" t="str">
        <f>IFERROR(VLOOKUP(B238,Assets!$A:$B,2,FALSE),"")</f>
        <v>ETF</v>
      </c>
      <c r="D238" s="6"/>
    </row>
    <row r="239" spans="1:4" x14ac:dyDescent="0.35">
      <c r="A239" s="8">
        <v>46722</v>
      </c>
      <c r="B239" s="5" t="s">
        <v>29</v>
      </c>
      <c r="C239" s="3" t="str">
        <f>IFERROR(VLOOKUP(B239,Assets!$A:$B,2,FALSE),"")</f>
        <v>ETF</v>
      </c>
      <c r="D239" s="6"/>
    </row>
    <row r="240" spans="1:4" x14ac:dyDescent="0.35">
      <c r="A240" s="8">
        <v>46722</v>
      </c>
      <c r="B240" s="5" t="s">
        <v>31</v>
      </c>
      <c r="C240" s="3" t="str">
        <f>IFERROR(VLOOKUP(B240,Assets!$A:$B,2,FALSE),"")</f>
        <v>ETF</v>
      </c>
      <c r="D240" s="6"/>
    </row>
    <row r="241" spans="1:4" x14ac:dyDescent="0.35">
      <c r="A241" s="8">
        <v>46722</v>
      </c>
      <c r="B241" s="5" t="s">
        <v>32</v>
      </c>
      <c r="C241" s="3" t="str">
        <f>IFERROR(VLOOKUP(B241,Assets!$A:$B,2,FALSE),"")</f>
        <v>ETF</v>
      </c>
      <c r="D241" s="6"/>
    </row>
    <row r="242" spans="1:4" x14ac:dyDescent="0.35">
      <c r="A242" s="8">
        <v>46722</v>
      </c>
      <c r="B242" s="5" t="s">
        <v>33</v>
      </c>
      <c r="C242" s="3" t="str">
        <f>IFERROR(VLOOKUP(B242,Assets!$A:$B,2,FALSE),"")</f>
        <v>ETF</v>
      </c>
      <c r="D242" s="6"/>
    </row>
    <row r="243" spans="1:4" x14ac:dyDescent="0.35">
      <c r="A243" s="8">
        <v>46722</v>
      </c>
      <c r="B243" s="5" t="s">
        <v>34</v>
      </c>
      <c r="C243" s="3" t="str">
        <f>IFERROR(VLOOKUP(B243,Assets!$A:$B,2,FALSE),"")</f>
        <v>ETF</v>
      </c>
      <c r="D243" s="6"/>
    </row>
    <row r="244" spans="1:4" x14ac:dyDescent="0.35">
      <c r="A244" s="8">
        <v>46722</v>
      </c>
      <c r="B244" s="5" t="s">
        <v>35</v>
      </c>
      <c r="C244" s="3" t="str">
        <f>IFERROR(VLOOKUP(B244,Assets!$A:$B,2,FALSE),"")</f>
        <v>Savings</v>
      </c>
      <c r="D244" s="6"/>
    </row>
    <row r="245" spans="1:4" x14ac:dyDescent="0.35">
      <c r="A245" s="8">
        <v>46753</v>
      </c>
      <c r="B245" s="5" t="s">
        <v>20</v>
      </c>
      <c r="C245" s="3" t="str">
        <f>IFERROR(VLOOKUP(B245,Assets!$A:$B,2,FALSE),"")</f>
        <v>ETF</v>
      </c>
      <c r="D245" s="6"/>
    </row>
    <row r="246" spans="1:4" x14ac:dyDescent="0.35">
      <c r="A246" s="8">
        <v>46753</v>
      </c>
      <c r="B246" s="5" t="s">
        <v>25</v>
      </c>
      <c r="C246" s="3" t="str">
        <f>IFERROR(VLOOKUP(B246,Assets!$A:$B,2,FALSE),"")</f>
        <v>ETF</v>
      </c>
      <c r="D246" s="6"/>
    </row>
    <row r="247" spans="1:4" x14ac:dyDescent="0.35">
      <c r="A247" s="8">
        <v>46753</v>
      </c>
      <c r="B247" s="5" t="s">
        <v>26</v>
      </c>
      <c r="C247" s="3" t="str">
        <f>IFERROR(VLOOKUP(B247,Assets!$A:$B,2,FALSE),"")</f>
        <v>ETF</v>
      </c>
      <c r="D247" s="6"/>
    </row>
    <row r="248" spans="1:4" x14ac:dyDescent="0.35">
      <c r="A248" s="8">
        <v>46753</v>
      </c>
      <c r="B248" s="5" t="s">
        <v>29</v>
      </c>
      <c r="C248" s="3" t="str">
        <f>IFERROR(VLOOKUP(B248,Assets!$A:$B,2,FALSE),"")</f>
        <v>ETF</v>
      </c>
      <c r="D248" s="6"/>
    </row>
    <row r="249" spans="1:4" x14ac:dyDescent="0.35">
      <c r="A249" s="8">
        <v>46753</v>
      </c>
      <c r="B249" s="5" t="s">
        <v>31</v>
      </c>
      <c r="C249" s="3" t="str">
        <f>IFERROR(VLOOKUP(B249,Assets!$A:$B,2,FALSE),"")</f>
        <v>ETF</v>
      </c>
      <c r="D249" s="6"/>
    </row>
    <row r="250" spans="1:4" x14ac:dyDescent="0.35">
      <c r="A250" s="8">
        <v>46753</v>
      </c>
      <c r="B250" s="5" t="s">
        <v>32</v>
      </c>
      <c r="C250" s="3" t="str">
        <f>IFERROR(VLOOKUP(B250,Assets!$A:$B,2,FALSE),"")</f>
        <v>ETF</v>
      </c>
      <c r="D250" s="6"/>
    </row>
    <row r="251" spans="1:4" x14ac:dyDescent="0.35">
      <c r="A251" s="8">
        <v>46753</v>
      </c>
      <c r="B251" s="5" t="s">
        <v>33</v>
      </c>
      <c r="C251" s="3" t="str">
        <f>IFERROR(VLOOKUP(B251,Assets!$A:$B,2,FALSE),"")</f>
        <v>ETF</v>
      </c>
      <c r="D251" s="6"/>
    </row>
    <row r="252" spans="1:4" x14ac:dyDescent="0.35">
      <c r="A252" s="8">
        <v>46753</v>
      </c>
      <c r="B252" s="5" t="s">
        <v>34</v>
      </c>
      <c r="C252" s="3" t="str">
        <f>IFERROR(VLOOKUP(B252,Assets!$A:$B,2,FALSE),"")</f>
        <v>ETF</v>
      </c>
      <c r="D252" s="6"/>
    </row>
    <row r="253" spans="1:4" x14ac:dyDescent="0.35">
      <c r="A253" s="8">
        <v>46753</v>
      </c>
      <c r="B253" s="5" t="s">
        <v>35</v>
      </c>
      <c r="C253" s="3" t="str">
        <f>IFERROR(VLOOKUP(B253,Assets!$A:$B,2,FALSE),"")</f>
        <v>Savings</v>
      </c>
      <c r="D253" s="6"/>
    </row>
    <row r="254" spans="1:4" x14ac:dyDescent="0.35">
      <c r="A254" s="8">
        <v>46784</v>
      </c>
      <c r="B254" s="5" t="s">
        <v>20</v>
      </c>
      <c r="C254" s="3" t="str">
        <f>IFERROR(VLOOKUP(B254,Assets!$A:$B,2,FALSE),"")</f>
        <v>ETF</v>
      </c>
      <c r="D254" s="6"/>
    </row>
    <row r="255" spans="1:4" x14ac:dyDescent="0.35">
      <c r="A255" s="8">
        <v>46784</v>
      </c>
      <c r="B255" s="5" t="s">
        <v>25</v>
      </c>
      <c r="C255" s="3" t="str">
        <f>IFERROR(VLOOKUP(B255,Assets!$A:$B,2,FALSE),"")</f>
        <v>ETF</v>
      </c>
      <c r="D255" s="6"/>
    </row>
    <row r="256" spans="1:4" x14ac:dyDescent="0.35">
      <c r="A256" s="8">
        <v>46784</v>
      </c>
      <c r="B256" s="5" t="s">
        <v>26</v>
      </c>
      <c r="C256" s="3" t="str">
        <f>IFERROR(VLOOKUP(B256,Assets!$A:$B,2,FALSE),"")</f>
        <v>ETF</v>
      </c>
      <c r="D256" s="6"/>
    </row>
    <row r="257" spans="1:4" x14ac:dyDescent="0.35">
      <c r="A257" s="8">
        <v>46784</v>
      </c>
      <c r="B257" s="5" t="s">
        <v>29</v>
      </c>
      <c r="C257" s="3" t="str">
        <f>IFERROR(VLOOKUP(B257,Assets!$A:$B,2,FALSE),"")</f>
        <v>ETF</v>
      </c>
      <c r="D257" s="6"/>
    </row>
    <row r="258" spans="1:4" x14ac:dyDescent="0.35">
      <c r="A258" s="8">
        <v>46784</v>
      </c>
      <c r="B258" s="5" t="s">
        <v>31</v>
      </c>
      <c r="C258" s="3" t="str">
        <f>IFERROR(VLOOKUP(B258,Assets!$A:$B,2,FALSE),"")</f>
        <v>ETF</v>
      </c>
      <c r="D258" s="6"/>
    </row>
    <row r="259" spans="1:4" x14ac:dyDescent="0.35">
      <c r="A259" s="8">
        <v>46784</v>
      </c>
      <c r="B259" s="5" t="s">
        <v>32</v>
      </c>
      <c r="C259" s="3" t="str">
        <f>IFERROR(VLOOKUP(B259,Assets!$A:$B,2,FALSE),"")</f>
        <v>ETF</v>
      </c>
      <c r="D259" s="6"/>
    </row>
    <row r="260" spans="1:4" x14ac:dyDescent="0.35">
      <c r="A260" s="8">
        <v>46784</v>
      </c>
      <c r="B260" s="5" t="s">
        <v>33</v>
      </c>
      <c r="C260" s="3" t="str">
        <f>IFERROR(VLOOKUP(B260,Assets!$A:$B,2,FALSE),"")</f>
        <v>ETF</v>
      </c>
      <c r="D260" s="6"/>
    </row>
    <row r="261" spans="1:4" x14ac:dyDescent="0.35">
      <c r="A261" s="8">
        <v>46784</v>
      </c>
      <c r="B261" s="5" t="s">
        <v>34</v>
      </c>
      <c r="C261" s="3" t="str">
        <f>IFERROR(VLOOKUP(B261,Assets!$A:$B,2,FALSE),"")</f>
        <v>ETF</v>
      </c>
      <c r="D261" s="6"/>
    </row>
    <row r="262" spans="1:4" x14ac:dyDescent="0.35">
      <c r="A262" s="8">
        <v>46784</v>
      </c>
      <c r="B262" s="5" t="s">
        <v>35</v>
      </c>
      <c r="C262" s="3" t="str">
        <f>IFERROR(VLOOKUP(B262,Assets!$A:$B,2,FALSE),"")</f>
        <v>Savings</v>
      </c>
      <c r="D262" s="6"/>
    </row>
    <row r="263" spans="1:4" x14ac:dyDescent="0.35">
      <c r="A263" s="8">
        <v>46813</v>
      </c>
      <c r="B263" s="5" t="s">
        <v>20</v>
      </c>
      <c r="C263" s="3" t="str">
        <f>IFERROR(VLOOKUP(B263,Assets!$A:$B,2,FALSE),"")</f>
        <v>ETF</v>
      </c>
      <c r="D263" s="6"/>
    </row>
    <row r="264" spans="1:4" x14ac:dyDescent="0.35">
      <c r="A264" s="8">
        <v>46813</v>
      </c>
      <c r="B264" s="5" t="s">
        <v>25</v>
      </c>
      <c r="C264" s="3" t="str">
        <f>IFERROR(VLOOKUP(B264,Assets!$A:$B,2,FALSE),"")</f>
        <v>ETF</v>
      </c>
      <c r="D264" s="6"/>
    </row>
    <row r="265" spans="1:4" x14ac:dyDescent="0.35">
      <c r="A265" s="8">
        <v>46813</v>
      </c>
      <c r="B265" s="5" t="s">
        <v>26</v>
      </c>
      <c r="C265" s="3" t="str">
        <f>IFERROR(VLOOKUP(B265,Assets!$A:$B,2,FALSE),"")</f>
        <v>ETF</v>
      </c>
      <c r="D265" s="6"/>
    </row>
    <row r="266" spans="1:4" x14ac:dyDescent="0.35">
      <c r="A266" s="8">
        <v>46813</v>
      </c>
      <c r="B266" s="5" t="s">
        <v>29</v>
      </c>
      <c r="C266" s="3" t="str">
        <f>IFERROR(VLOOKUP(B266,Assets!$A:$B,2,FALSE),"")</f>
        <v>ETF</v>
      </c>
      <c r="D266" s="6"/>
    </row>
    <row r="267" spans="1:4" x14ac:dyDescent="0.35">
      <c r="A267" s="8">
        <v>46813</v>
      </c>
      <c r="B267" s="5" t="s">
        <v>31</v>
      </c>
      <c r="C267" s="3" t="str">
        <f>IFERROR(VLOOKUP(B267,Assets!$A:$B,2,FALSE),"")</f>
        <v>ETF</v>
      </c>
      <c r="D267" s="6"/>
    </row>
    <row r="268" spans="1:4" x14ac:dyDescent="0.35">
      <c r="A268" s="8">
        <v>46813</v>
      </c>
      <c r="B268" s="5" t="s">
        <v>32</v>
      </c>
      <c r="C268" s="3" t="str">
        <f>IFERROR(VLOOKUP(B268,Assets!$A:$B,2,FALSE),"")</f>
        <v>ETF</v>
      </c>
      <c r="D268" s="6"/>
    </row>
    <row r="269" spans="1:4" x14ac:dyDescent="0.35">
      <c r="A269" s="8">
        <v>46813</v>
      </c>
      <c r="B269" s="5" t="s">
        <v>33</v>
      </c>
      <c r="C269" s="3" t="str">
        <f>IFERROR(VLOOKUP(B269,Assets!$A:$B,2,FALSE),"")</f>
        <v>ETF</v>
      </c>
      <c r="D269" s="6"/>
    </row>
    <row r="270" spans="1:4" x14ac:dyDescent="0.35">
      <c r="A270" s="8">
        <v>46813</v>
      </c>
      <c r="B270" s="5" t="s">
        <v>34</v>
      </c>
      <c r="C270" s="3" t="str">
        <f>IFERROR(VLOOKUP(B270,Assets!$A:$B,2,FALSE),"")</f>
        <v>ETF</v>
      </c>
      <c r="D270" s="6"/>
    </row>
    <row r="271" spans="1:4" x14ac:dyDescent="0.35">
      <c r="A271" s="8">
        <v>46813</v>
      </c>
      <c r="B271" s="5" t="s">
        <v>35</v>
      </c>
      <c r="C271" s="3" t="str">
        <f>IFERROR(VLOOKUP(B271,Assets!$A:$B,2,FALSE),"")</f>
        <v>Savings</v>
      </c>
      <c r="D271" s="6"/>
    </row>
    <row r="272" spans="1:4" x14ac:dyDescent="0.35">
      <c r="A272" s="8">
        <v>46844</v>
      </c>
      <c r="B272" s="5" t="s">
        <v>20</v>
      </c>
      <c r="C272" s="3" t="str">
        <f>IFERROR(VLOOKUP(B272,Assets!$A:$B,2,FALSE),"")</f>
        <v>ETF</v>
      </c>
      <c r="D272" s="6"/>
    </row>
    <row r="273" spans="1:4" x14ac:dyDescent="0.35">
      <c r="A273" s="8">
        <v>46844</v>
      </c>
      <c r="B273" s="5" t="s">
        <v>25</v>
      </c>
      <c r="C273" s="3" t="str">
        <f>IFERROR(VLOOKUP(B273,Assets!$A:$B,2,FALSE),"")</f>
        <v>ETF</v>
      </c>
      <c r="D273" s="6"/>
    </row>
    <row r="274" spans="1:4" x14ac:dyDescent="0.35">
      <c r="A274" s="8">
        <v>46844</v>
      </c>
      <c r="B274" s="5" t="s">
        <v>26</v>
      </c>
      <c r="C274" s="3" t="str">
        <f>IFERROR(VLOOKUP(B274,Assets!$A:$B,2,FALSE),"")</f>
        <v>ETF</v>
      </c>
      <c r="D274" s="6"/>
    </row>
    <row r="275" spans="1:4" x14ac:dyDescent="0.35">
      <c r="A275" s="8">
        <v>46844</v>
      </c>
      <c r="B275" s="5" t="s">
        <v>29</v>
      </c>
      <c r="C275" s="3" t="str">
        <f>IFERROR(VLOOKUP(B275,Assets!$A:$B,2,FALSE),"")</f>
        <v>ETF</v>
      </c>
      <c r="D275" s="6"/>
    </row>
    <row r="276" spans="1:4" x14ac:dyDescent="0.35">
      <c r="A276" s="8">
        <v>46844</v>
      </c>
      <c r="B276" s="5" t="s">
        <v>31</v>
      </c>
      <c r="C276" s="3" t="str">
        <f>IFERROR(VLOOKUP(B276,Assets!$A:$B,2,FALSE),"")</f>
        <v>ETF</v>
      </c>
      <c r="D276" s="6"/>
    </row>
    <row r="277" spans="1:4" x14ac:dyDescent="0.35">
      <c r="A277" s="8">
        <v>46844</v>
      </c>
      <c r="B277" s="5" t="s">
        <v>32</v>
      </c>
      <c r="C277" s="3" t="str">
        <f>IFERROR(VLOOKUP(B277,Assets!$A:$B,2,FALSE),"")</f>
        <v>ETF</v>
      </c>
      <c r="D277" s="6"/>
    </row>
    <row r="278" spans="1:4" x14ac:dyDescent="0.35">
      <c r="A278" s="8">
        <v>46844</v>
      </c>
      <c r="B278" s="5" t="s">
        <v>33</v>
      </c>
      <c r="C278" s="3" t="str">
        <f>IFERROR(VLOOKUP(B278,Assets!$A:$B,2,FALSE),"")</f>
        <v>ETF</v>
      </c>
      <c r="D278" s="6"/>
    </row>
    <row r="279" spans="1:4" x14ac:dyDescent="0.35">
      <c r="A279" s="8">
        <v>46844</v>
      </c>
      <c r="B279" s="5" t="s">
        <v>34</v>
      </c>
      <c r="C279" s="3" t="str">
        <f>IFERROR(VLOOKUP(B279,Assets!$A:$B,2,FALSE),"")</f>
        <v>ETF</v>
      </c>
      <c r="D279" s="6"/>
    </row>
    <row r="280" spans="1:4" x14ac:dyDescent="0.35">
      <c r="A280" s="8">
        <v>46844</v>
      </c>
      <c r="B280" s="5" t="s">
        <v>35</v>
      </c>
      <c r="C280" s="3" t="str">
        <f>IFERROR(VLOOKUP(B280,Assets!$A:$B,2,FALSE),"")</f>
        <v>Savings</v>
      </c>
      <c r="D280" s="6"/>
    </row>
    <row r="281" spans="1:4" x14ac:dyDescent="0.35">
      <c r="A281" s="8">
        <v>46874</v>
      </c>
      <c r="B281" s="5" t="s">
        <v>20</v>
      </c>
      <c r="C281" s="3" t="str">
        <f>IFERROR(VLOOKUP(B281,Assets!$A:$B,2,FALSE),"")</f>
        <v>ETF</v>
      </c>
      <c r="D281" s="6"/>
    </row>
    <row r="282" spans="1:4" x14ac:dyDescent="0.35">
      <c r="A282" s="8">
        <v>46874</v>
      </c>
      <c r="B282" s="5" t="s">
        <v>25</v>
      </c>
      <c r="C282" s="3" t="str">
        <f>IFERROR(VLOOKUP(B282,Assets!$A:$B,2,FALSE),"")</f>
        <v>ETF</v>
      </c>
      <c r="D282" s="6"/>
    </row>
    <row r="283" spans="1:4" x14ac:dyDescent="0.35">
      <c r="A283" s="8">
        <v>46874</v>
      </c>
      <c r="B283" s="5" t="s">
        <v>26</v>
      </c>
      <c r="C283" s="3" t="str">
        <f>IFERROR(VLOOKUP(B283,Assets!$A:$B,2,FALSE),"")</f>
        <v>ETF</v>
      </c>
      <c r="D283" s="6"/>
    </row>
    <row r="284" spans="1:4" x14ac:dyDescent="0.35">
      <c r="A284" s="8">
        <v>46874</v>
      </c>
      <c r="B284" s="5" t="s">
        <v>29</v>
      </c>
      <c r="C284" s="3" t="str">
        <f>IFERROR(VLOOKUP(B284,Assets!$A:$B,2,FALSE),"")</f>
        <v>ETF</v>
      </c>
      <c r="D284" s="6"/>
    </row>
    <row r="285" spans="1:4" x14ac:dyDescent="0.35">
      <c r="A285" s="8">
        <v>46874</v>
      </c>
      <c r="B285" s="5" t="s">
        <v>31</v>
      </c>
      <c r="C285" s="3" t="str">
        <f>IFERROR(VLOOKUP(B285,Assets!$A:$B,2,FALSE),"")</f>
        <v>ETF</v>
      </c>
      <c r="D285" s="6"/>
    </row>
    <row r="286" spans="1:4" x14ac:dyDescent="0.35">
      <c r="A286" s="8">
        <v>46874</v>
      </c>
      <c r="B286" s="5" t="s">
        <v>32</v>
      </c>
      <c r="C286" s="3" t="str">
        <f>IFERROR(VLOOKUP(B286,Assets!$A:$B,2,FALSE),"")</f>
        <v>ETF</v>
      </c>
      <c r="D286" s="6"/>
    </row>
    <row r="287" spans="1:4" x14ac:dyDescent="0.35">
      <c r="A287" s="8">
        <v>46874</v>
      </c>
      <c r="B287" s="5" t="s">
        <v>33</v>
      </c>
      <c r="C287" s="3" t="str">
        <f>IFERROR(VLOOKUP(B287,Assets!$A:$B,2,FALSE),"")</f>
        <v>ETF</v>
      </c>
      <c r="D287" s="6"/>
    </row>
    <row r="288" spans="1:4" x14ac:dyDescent="0.35">
      <c r="A288" s="8">
        <v>46874</v>
      </c>
      <c r="B288" s="5" t="s">
        <v>34</v>
      </c>
      <c r="C288" s="3" t="str">
        <f>IFERROR(VLOOKUP(B288,Assets!$A:$B,2,FALSE),"")</f>
        <v>ETF</v>
      </c>
      <c r="D288" s="6"/>
    </row>
    <row r="289" spans="1:4" x14ac:dyDescent="0.35">
      <c r="A289" s="8">
        <v>46874</v>
      </c>
      <c r="B289" s="5" t="s">
        <v>35</v>
      </c>
      <c r="C289" s="3" t="str">
        <f>IFERROR(VLOOKUP(B289,Assets!$A:$B,2,FALSE),"")</f>
        <v>Savings</v>
      </c>
      <c r="D289" s="6"/>
    </row>
    <row r="290" spans="1:4" x14ac:dyDescent="0.35">
      <c r="A290" s="8">
        <v>46905</v>
      </c>
      <c r="B290" s="5" t="s">
        <v>20</v>
      </c>
      <c r="C290" s="3" t="str">
        <f>IFERROR(VLOOKUP(B290,Assets!$A:$B,2,FALSE),"")</f>
        <v>ETF</v>
      </c>
      <c r="D290" s="6"/>
    </row>
    <row r="291" spans="1:4" x14ac:dyDescent="0.35">
      <c r="A291" s="8">
        <v>46905</v>
      </c>
      <c r="B291" s="5" t="s">
        <v>25</v>
      </c>
      <c r="C291" s="3" t="str">
        <f>IFERROR(VLOOKUP(B291,Assets!$A:$B,2,FALSE),"")</f>
        <v>ETF</v>
      </c>
      <c r="D291" s="6"/>
    </row>
    <row r="292" spans="1:4" x14ac:dyDescent="0.35">
      <c r="A292" s="8">
        <v>46905</v>
      </c>
      <c r="B292" s="5" t="s">
        <v>26</v>
      </c>
      <c r="C292" s="3" t="str">
        <f>IFERROR(VLOOKUP(B292,Assets!$A:$B,2,FALSE),"")</f>
        <v>ETF</v>
      </c>
      <c r="D292" s="6"/>
    </row>
    <row r="293" spans="1:4" x14ac:dyDescent="0.35">
      <c r="A293" s="8">
        <v>46905</v>
      </c>
      <c r="B293" s="5" t="s">
        <v>29</v>
      </c>
      <c r="C293" s="3" t="str">
        <f>IFERROR(VLOOKUP(B293,Assets!$A:$B,2,FALSE),"")</f>
        <v>ETF</v>
      </c>
      <c r="D293" s="6"/>
    </row>
    <row r="294" spans="1:4" x14ac:dyDescent="0.35">
      <c r="A294" s="8">
        <v>46905</v>
      </c>
      <c r="B294" s="5" t="s">
        <v>31</v>
      </c>
      <c r="C294" s="3" t="str">
        <f>IFERROR(VLOOKUP(B294,Assets!$A:$B,2,FALSE),"")</f>
        <v>ETF</v>
      </c>
      <c r="D294" s="6"/>
    </row>
    <row r="295" spans="1:4" x14ac:dyDescent="0.35">
      <c r="A295" s="8">
        <v>46905</v>
      </c>
      <c r="B295" s="5" t="s">
        <v>32</v>
      </c>
      <c r="C295" s="3" t="str">
        <f>IFERROR(VLOOKUP(B295,Assets!$A:$B,2,FALSE),"")</f>
        <v>ETF</v>
      </c>
      <c r="D295" s="6"/>
    </row>
    <row r="296" spans="1:4" x14ac:dyDescent="0.35">
      <c r="A296" s="8">
        <v>46905</v>
      </c>
      <c r="B296" s="5" t="s">
        <v>33</v>
      </c>
      <c r="C296" s="3" t="str">
        <f>IFERROR(VLOOKUP(B296,Assets!$A:$B,2,FALSE),"")</f>
        <v>ETF</v>
      </c>
      <c r="D296" s="6"/>
    </row>
    <row r="297" spans="1:4" x14ac:dyDescent="0.35">
      <c r="A297" s="8">
        <v>46905</v>
      </c>
      <c r="B297" s="5" t="s">
        <v>34</v>
      </c>
      <c r="C297" s="3" t="str">
        <f>IFERROR(VLOOKUP(B297,Assets!$A:$B,2,FALSE),"")</f>
        <v>ETF</v>
      </c>
      <c r="D297" s="6"/>
    </row>
    <row r="298" spans="1:4" x14ac:dyDescent="0.35">
      <c r="A298" s="8">
        <v>46905</v>
      </c>
      <c r="B298" s="5" t="s">
        <v>35</v>
      </c>
      <c r="C298" s="3" t="str">
        <f>IFERROR(VLOOKUP(B298,Assets!$A:$B,2,FALSE),"")</f>
        <v>Savings</v>
      </c>
      <c r="D298" s="6"/>
    </row>
    <row r="299" spans="1:4" x14ac:dyDescent="0.35">
      <c r="A299" s="8">
        <v>46935</v>
      </c>
      <c r="B299" s="5" t="s">
        <v>20</v>
      </c>
      <c r="C299" s="3" t="str">
        <f>IFERROR(VLOOKUP(B299,Assets!$A:$B,2,FALSE),"")</f>
        <v>ETF</v>
      </c>
      <c r="D299" s="6"/>
    </row>
    <row r="300" spans="1:4" x14ac:dyDescent="0.35">
      <c r="A300" s="8">
        <v>46935</v>
      </c>
      <c r="B300" s="5" t="s">
        <v>25</v>
      </c>
      <c r="C300" s="3" t="str">
        <f>IFERROR(VLOOKUP(B300,Assets!$A:$B,2,FALSE),"")</f>
        <v>ETF</v>
      </c>
      <c r="D300" s="6"/>
    </row>
    <row r="301" spans="1:4" x14ac:dyDescent="0.35">
      <c r="A301" s="8">
        <v>46935</v>
      </c>
      <c r="B301" s="5" t="s">
        <v>26</v>
      </c>
      <c r="C301" s="3" t="str">
        <f>IFERROR(VLOOKUP(B301,Assets!$A:$B,2,FALSE),"")</f>
        <v>ETF</v>
      </c>
      <c r="D301" s="6"/>
    </row>
    <row r="302" spans="1:4" x14ac:dyDescent="0.35">
      <c r="A302" s="8">
        <v>46935</v>
      </c>
      <c r="B302" s="5" t="s">
        <v>29</v>
      </c>
      <c r="C302" s="3" t="str">
        <f>IFERROR(VLOOKUP(B302,Assets!$A:$B,2,FALSE),"")</f>
        <v>ETF</v>
      </c>
      <c r="D302" s="6"/>
    </row>
    <row r="303" spans="1:4" x14ac:dyDescent="0.35">
      <c r="A303" s="8">
        <v>46935</v>
      </c>
      <c r="B303" s="5" t="s">
        <v>31</v>
      </c>
      <c r="C303" s="3" t="str">
        <f>IFERROR(VLOOKUP(B303,Assets!$A:$B,2,FALSE),"")</f>
        <v>ETF</v>
      </c>
      <c r="D303" s="6"/>
    </row>
    <row r="304" spans="1:4" x14ac:dyDescent="0.35">
      <c r="A304" s="8">
        <v>46935</v>
      </c>
      <c r="B304" s="5" t="s">
        <v>32</v>
      </c>
      <c r="C304" s="3" t="str">
        <f>IFERROR(VLOOKUP(B304,Assets!$A:$B,2,FALSE),"")</f>
        <v>ETF</v>
      </c>
      <c r="D304" s="6"/>
    </row>
    <row r="305" spans="1:4" x14ac:dyDescent="0.35">
      <c r="A305" s="8">
        <v>46935</v>
      </c>
      <c r="B305" s="5" t="s">
        <v>33</v>
      </c>
      <c r="C305" s="3" t="str">
        <f>IFERROR(VLOOKUP(B305,Assets!$A:$B,2,FALSE),"")</f>
        <v>ETF</v>
      </c>
      <c r="D305" s="6"/>
    </row>
    <row r="306" spans="1:4" x14ac:dyDescent="0.35">
      <c r="A306" s="8">
        <v>46935</v>
      </c>
      <c r="B306" s="5" t="s">
        <v>34</v>
      </c>
      <c r="C306" s="3" t="str">
        <f>IFERROR(VLOOKUP(B306,Assets!$A:$B,2,FALSE),"")</f>
        <v>ETF</v>
      </c>
      <c r="D306" s="6"/>
    </row>
    <row r="307" spans="1:4" x14ac:dyDescent="0.35">
      <c r="A307" s="8">
        <v>46935</v>
      </c>
      <c r="B307" s="5" t="s">
        <v>35</v>
      </c>
      <c r="C307" s="3" t="str">
        <f>IFERROR(VLOOKUP(B307,Assets!$A:$B,2,FALSE),"")</f>
        <v>Savings</v>
      </c>
      <c r="D307" s="6"/>
    </row>
    <row r="308" spans="1:4" x14ac:dyDescent="0.35">
      <c r="A308" s="8">
        <v>46966</v>
      </c>
      <c r="B308" s="5" t="s">
        <v>20</v>
      </c>
      <c r="C308" s="3" t="str">
        <f>IFERROR(VLOOKUP(B308,Assets!$A:$B,2,FALSE),"")</f>
        <v>ETF</v>
      </c>
      <c r="D308" s="6"/>
    </row>
    <row r="309" spans="1:4" x14ac:dyDescent="0.35">
      <c r="A309" s="8">
        <v>46966</v>
      </c>
      <c r="B309" s="5" t="s">
        <v>25</v>
      </c>
      <c r="C309" s="3" t="str">
        <f>IFERROR(VLOOKUP(B309,Assets!$A:$B,2,FALSE),"")</f>
        <v>ETF</v>
      </c>
      <c r="D309" s="6"/>
    </row>
    <row r="310" spans="1:4" x14ac:dyDescent="0.35">
      <c r="A310" s="8">
        <v>46966</v>
      </c>
      <c r="B310" s="5" t="s">
        <v>26</v>
      </c>
      <c r="C310" s="3" t="str">
        <f>IFERROR(VLOOKUP(B310,Assets!$A:$B,2,FALSE),"")</f>
        <v>ETF</v>
      </c>
      <c r="D310" s="6"/>
    </row>
    <row r="311" spans="1:4" x14ac:dyDescent="0.35">
      <c r="A311" s="8">
        <v>46966</v>
      </c>
      <c r="B311" s="5" t="s">
        <v>29</v>
      </c>
      <c r="C311" s="3" t="str">
        <f>IFERROR(VLOOKUP(B311,Assets!$A:$B,2,FALSE),"")</f>
        <v>ETF</v>
      </c>
      <c r="D311" s="6"/>
    </row>
    <row r="312" spans="1:4" x14ac:dyDescent="0.35">
      <c r="A312" s="8">
        <v>46966</v>
      </c>
      <c r="B312" s="5" t="s">
        <v>31</v>
      </c>
      <c r="C312" s="3" t="str">
        <f>IFERROR(VLOOKUP(B312,Assets!$A:$B,2,FALSE),"")</f>
        <v>ETF</v>
      </c>
      <c r="D312" s="6"/>
    </row>
    <row r="313" spans="1:4" x14ac:dyDescent="0.35">
      <c r="A313" s="8">
        <v>46966</v>
      </c>
      <c r="B313" s="5" t="s">
        <v>32</v>
      </c>
      <c r="C313" s="3" t="str">
        <f>IFERROR(VLOOKUP(B313,Assets!$A:$B,2,FALSE),"")</f>
        <v>ETF</v>
      </c>
      <c r="D313" s="6"/>
    </row>
    <row r="314" spans="1:4" x14ac:dyDescent="0.35">
      <c r="A314" s="8">
        <v>46966</v>
      </c>
      <c r="B314" s="5" t="s">
        <v>33</v>
      </c>
      <c r="C314" s="3" t="str">
        <f>IFERROR(VLOOKUP(B314,Assets!$A:$B,2,FALSE),"")</f>
        <v>ETF</v>
      </c>
      <c r="D314" s="6"/>
    </row>
    <row r="315" spans="1:4" x14ac:dyDescent="0.35">
      <c r="A315" s="8">
        <v>46966</v>
      </c>
      <c r="B315" s="5" t="s">
        <v>34</v>
      </c>
      <c r="C315" s="3" t="str">
        <f>IFERROR(VLOOKUP(B315,Assets!$A:$B,2,FALSE),"")</f>
        <v>ETF</v>
      </c>
      <c r="D315" s="6"/>
    </row>
    <row r="316" spans="1:4" x14ac:dyDescent="0.35">
      <c r="A316" s="8">
        <v>46966</v>
      </c>
      <c r="B316" s="5" t="s">
        <v>35</v>
      </c>
      <c r="C316" s="3" t="str">
        <f>IFERROR(VLOOKUP(B316,Assets!$A:$B,2,FALSE),"")</f>
        <v>Savings</v>
      </c>
      <c r="D316" s="6"/>
    </row>
    <row r="317" spans="1:4" x14ac:dyDescent="0.35">
      <c r="A317" s="8">
        <v>46997</v>
      </c>
      <c r="B317" s="5" t="s">
        <v>20</v>
      </c>
      <c r="C317" s="3" t="str">
        <f>IFERROR(VLOOKUP(B317,Assets!$A:$B,2,FALSE),"")</f>
        <v>ETF</v>
      </c>
      <c r="D317" s="6"/>
    </row>
    <row r="318" spans="1:4" x14ac:dyDescent="0.35">
      <c r="A318" s="8">
        <v>46997</v>
      </c>
      <c r="B318" s="5" t="s">
        <v>25</v>
      </c>
      <c r="C318" s="3" t="str">
        <f>IFERROR(VLOOKUP(B318,Assets!$A:$B,2,FALSE),"")</f>
        <v>ETF</v>
      </c>
      <c r="D318" s="6"/>
    </row>
    <row r="319" spans="1:4" x14ac:dyDescent="0.35">
      <c r="A319" s="8">
        <v>46997</v>
      </c>
      <c r="B319" s="5" t="s">
        <v>26</v>
      </c>
      <c r="C319" s="3" t="str">
        <f>IFERROR(VLOOKUP(B319,Assets!$A:$B,2,FALSE),"")</f>
        <v>ETF</v>
      </c>
      <c r="D319" s="6"/>
    </row>
    <row r="320" spans="1:4" x14ac:dyDescent="0.35">
      <c r="A320" s="8">
        <v>46997</v>
      </c>
      <c r="B320" s="5" t="s">
        <v>29</v>
      </c>
      <c r="C320" s="3" t="str">
        <f>IFERROR(VLOOKUP(B320,Assets!$A:$B,2,FALSE),"")</f>
        <v>ETF</v>
      </c>
      <c r="D320" s="6"/>
    </row>
    <row r="321" spans="1:4" x14ac:dyDescent="0.35">
      <c r="A321" s="8">
        <v>46997</v>
      </c>
      <c r="B321" s="5" t="s">
        <v>31</v>
      </c>
      <c r="C321" s="3" t="str">
        <f>IFERROR(VLOOKUP(B321,Assets!$A:$B,2,FALSE),"")</f>
        <v>ETF</v>
      </c>
      <c r="D321" s="6"/>
    </row>
    <row r="322" spans="1:4" x14ac:dyDescent="0.35">
      <c r="A322" s="8">
        <v>46997</v>
      </c>
      <c r="B322" s="5" t="s">
        <v>32</v>
      </c>
      <c r="C322" s="3" t="str">
        <f>IFERROR(VLOOKUP(B322,Assets!$A:$B,2,FALSE),"")</f>
        <v>ETF</v>
      </c>
      <c r="D322" s="6"/>
    </row>
    <row r="323" spans="1:4" x14ac:dyDescent="0.35">
      <c r="A323" s="8">
        <v>46997</v>
      </c>
      <c r="B323" s="5" t="s">
        <v>33</v>
      </c>
      <c r="C323" s="3" t="str">
        <f>IFERROR(VLOOKUP(B323,Assets!$A:$B,2,FALSE),"")</f>
        <v>ETF</v>
      </c>
      <c r="D323" s="6"/>
    </row>
    <row r="324" spans="1:4" x14ac:dyDescent="0.35">
      <c r="A324" s="8">
        <v>46997</v>
      </c>
      <c r="B324" s="5" t="s">
        <v>34</v>
      </c>
      <c r="C324" s="3" t="str">
        <f>IFERROR(VLOOKUP(B324,Assets!$A:$B,2,FALSE),"")</f>
        <v>ETF</v>
      </c>
      <c r="D324" s="6"/>
    </row>
    <row r="325" spans="1:4" x14ac:dyDescent="0.35">
      <c r="A325" s="8">
        <v>46997</v>
      </c>
      <c r="B325" s="5" t="s">
        <v>35</v>
      </c>
      <c r="C325" s="3" t="str">
        <f>IFERROR(VLOOKUP(B325,Assets!$A:$B,2,FALSE),"")</f>
        <v>Savings</v>
      </c>
      <c r="D325" s="6"/>
    </row>
    <row r="326" spans="1:4" x14ac:dyDescent="0.35">
      <c r="A326" s="8">
        <v>47027</v>
      </c>
      <c r="B326" s="5" t="s">
        <v>20</v>
      </c>
      <c r="C326" s="3" t="str">
        <f>IFERROR(VLOOKUP(B326,Assets!$A:$B,2,FALSE),"")</f>
        <v>ETF</v>
      </c>
      <c r="D326" s="6"/>
    </row>
    <row r="327" spans="1:4" x14ac:dyDescent="0.35">
      <c r="A327" s="8">
        <v>47027</v>
      </c>
      <c r="B327" s="5" t="s">
        <v>25</v>
      </c>
      <c r="C327" s="3" t="str">
        <f>IFERROR(VLOOKUP(B327,Assets!$A:$B,2,FALSE),"")</f>
        <v>ETF</v>
      </c>
      <c r="D327" s="6"/>
    </row>
    <row r="328" spans="1:4" x14ac:dyDescent="0.35">
      <c r="A328" s="8">
        <v>47027</v>
      </c>
      <c r="B328" s="5" t="s">
        <v>26</v>
      </c>
      <c r="C328" s="3" t="str">
        <f>IFERROR(VLOOKUP(B328,Assets!$A:$B,2,FALSE),"")</f>
        <v>ETF</v>
      </c>
      <c r="D328" s="6"/>
    </row>
    <row r="329" spans="1:4" x14ac:dyDescent="0.35">
      <c r="A329" s="8">
        <v>47027</v>
      </c>
      <c r="B329" s="5" t="s">
        <v>29</v>
      </c>
      <c r="C329" s="3" t="str">
        <f>IFERROR(VLOOKUP(B329,Assets!$A:$B,2,FALSE),"")</f>
        <v>ETF</v>
      </c>
      <c r="D329" s="6"/>
    </row>
    <row r="330" spans="1:4" x14ac:dyDescent="0.35">
      <c r="A330" s="8">
        <v>47027</v>
      </c>
      <c r="B330" s="5" t="s">
        <v>31</v>
      </c>
      <c r="C330" s="3" t="str">
        <f>IFERROR(VLOOKUP(B330,Assets!$A:$B,2,FALSE),"")</f>
        <v>ETF</v>
      </c>
      <c r="D330" s="6"/>
    </row>
    <row r="331" spans="1:4" x14ac:dyDescent="0.35">
      <c r="A331" s="8">
        <v>47027</v>
      </c>
      <c r="B331" s="5" t="s">
        <v>32</v>
      </c>
      <c r="C331" s="3" t="str">
        <f>IFERROR(VLOOKUP(B331,Assets!$A:$B,2,FALSE),"")</f>
        <v>ETF</v>
      </c>
      <c r="D331" s="6"/>
    </row>
    <row r="332" spans="1:4" x14ac:dyDescent="0.35">
      <c r="A332" s="8">
        <v>47027</v>
      </c>
      <c r="B332" s="5" t="s">
        <v>33</v>
      </c>
      <c r="C332" s="3" t="str">
        <f>IFERROR(VLOOKUP(B332,Assets!$A:$B,2,FALSE),"")</f>
        <v>ETF</v>
      </c>
      <c r="D332" s="6"/>
    </row>
    <row r="333" spans="1:4" x14ac:dyDescent="0.35">
      <c r="A333" s="8">
        <v>47027</v>
      </c>
      <c r="B333" s="5" t="s">
        <v>34</v>
      </c>
      <c r="C333" s="3" t="str">
        <f>IFERROR(VLOOKUP(B333,Assets!$A:$B,2,FALSE),"")</f>
        <v>ETF</v>
      </c>
      <c r="D333" s="6"/>
    </row>
    <row r="334" spans="1:4" x14ac:dyDescent="0.35">
      <c r="A334" s="8">
        <v>47027</v>
      </c>
      <c r="B334" s="5" t="s">
        <v>35</v>
      </c>
      <c r="C334" s="3" t="str">
        <f>IFERROR(VLOOKUP(B334,Assets!$A:$B,2,FALSE),"")</f>
        <v>Savings</v>
      </c>
      <c r="D334" s="6"/>
    </row>
    <row r="335" spans="1:4" x14ac:dyDescent="0.35">
      <c r="A335" s="8">
        <v>47058</v>
      </c>
      <c r="B335" s="5" t="s">
        <v>20</v>
      </c>
      <c r="C335" s="3" t="str">
        <f>IFERROR(VLOOKUP(B335,Assets!$A:$B,2,FALSE),"")</f>
        <v>ETF</v>
      </c>
      <c r="D335" s="6"/>
    </row>
    <row r="336" spans="1:4" x14ac:dyDescent="0.35">
      <c r="A336" s="8">
        <v>47058</v>
      </c>
      <c r="B336" s="5" t="s">
        <v>25</v>
      </c>
      <c r="C336" s="3" t="str">
        <f>IFERROR(VLOOKUP(B336,Assets!$A:$B,2,FALSE),"")</f>
        <v>ETF</v>
      </c>
      <c r="D336" s="6"/>
    </row>
    <row r="337" spans="1:4" x14ac:dyDescent="0.35">
      <c r="A337" s="8">
        <v>47058</v>
      </c>
      <c r="B337" s="5" t="s">
        <v>26</v>
      </c>
      <c r="C337" s="3" t="str">
        <f>IFERROR(VLOOKUP(B337,Assets!$A:$B,2,FALSE),"")</f>
        <v>ETF</v>
      </c>
      <c r="D337" s="6"/>
    </row>
    <row r="338" spans="1:4" x14ac:dyDescent="0.35">
      <c r="A338" s="8">
        <v>47058</v>
      </c>
      <c r="B338" s="5" t="s">
        <v>29</v>
      </c>
      <c r="C338" s="3" t="str">
        <f>IFERROR(VLOOKUP(B338,Assets!$A:$B,2,FALSE),"")</f>
        <v>ETF</v>
      </c>
      <c r="D338" s="6"/>
    </row>
    <row r="339" spans="1:4" x14ac:dyDescent="0.35">
      <c r="A339" s="8">
        <v>47058</v>
      </c>
      <c r="B339" s="5" t="s">
        <v>31</v>
      </c>
      <c r="C339" s="3" t="str">
        <f>IFERROR(VLOOKUP(B339,Assets!$A:$B,2,FALSE),"")</f>
        <v>ETF</v>
      </c>
      <c r="D339" s="6"/>
    </row>
    <row r="340" spans="1:4" x14ac:dyDescent="0.35">
      <c r="A340" s="8">
        <v>47058</v>
      </c>
      <c r="B340" s="5" t="s">
        <v>32</v>
      </c>
      <c r="C340" s="3" t="str">
        <f>IFERROR(VLOOKUP(B340,Assets!$A:$B,2,FALSE),"")</f>
        <v>ETF</v>
      </c>
      <c r="D340" s="6"/>
    </row>
    <row r="341" spans="1:4" x14ac:dyDescent="0.35">
      <c r="A341" s="8">
        <v>47058</v>
      </c>
      <c r="B341" s="5" t="s">
        <v>33</v>
      </c>
      <c r="C341" s="3" t="str">
        <f>IFERROR(VLOOKUP(B341,Assets!$A:$B,2,FALSE),"")</f>
        <v>ETF</v>
      </c>
      <c r="D341" s="6"/>
    </row>
    <row r="342" spans="1:4" x14ac:dyDescent="0.35">
      <c r="A342" s="8">
        <v>47058</v>
      </c>
      <c r="B342" s="5" t="s">
        <v>34</v>
      </c>
      <c r="C342" s="3" t="str">
        <f>IFERROR(VLOOKUP(B342,Assets!$A:$B,2,FALSE),"")</f>
        <v>ETF</v>
      </c>
      <c r="D342" s="6"/>
    </row>
    <row r="343" spans="1:4" x14ac:dyDescent="0.35">
      <c r="A343" s="8">
        <v>47058</v>
      </c>
      <c r="B343" s="5" t="s">
        <v>35</v>
      </c>
      <c r="C343" s="3" t="str">
        <f>IFERROR(VLOOKUP(B343,Assets!$A:$B,2,FALSE),"")</f>
        <v>Savings</v>
      </c>
      <c r="D343" s="6"/>
    </row>
    <row r="344" spans="1:4" x14ac:dyDescent="0.35">
      <c r="A344" s="8">
        <v>47088</v>
      </c>
      <c r="B344" s="5" t="s">
        <v>20</v>
      </c>
      <c r="C344" s="3" t="str">
        <f>IFERROR(VLOOKUP(B344,Assets!$A:$B,2,FALSE),"")</f>
        <v>ETF</v>
      </c>
      <c r="D344" s="6"/>
    </row>
    <row r="345" spans="1:4" x14ac:dyDescent="0.35">
      <c r="A345" s="8">
        <v>47088</v>
      </c>
      <c r="B345" s="5" t="s">
        <v>25</v>
      </c>
      <c r="C345" s="3" t="str">
        <f>IFERROR(VLOOKUP(B345,Assets!$A:$B,2,FALSE),"")</f>
        <v>ETF</v>
      </c>
      <c r="D345" s="6"/>
    </row>
    <row r="346" spans="1:4" x14ac:dyDescent="0.35">
      <c r="A346" s="8">
        <v>47088</v>
      </c>
      <c r="B346" s="5" t="s">
        <v>26</v>
      </c>
      <c r="C346" s="3" t="str">
        <f>IFERROR(VLOOKUP(B346,Assets!$A:$B,2,FALSE),"")</f>
        <v>ETF</v>
      </c>
      <c r="D346" s="6"/>
    </row>
    <row r="347" spans="1:4" x14ac:dyDescent="0.35">
      <c r="A347" s="8">
        <v>47088</v>
      </c>
      <c r="B347" s="5" t="s">
        <v>29</v>
      </c>
      <c r="C347" s="3" t="str">
        <f>IFERROR(VLOOKUP(B347,Assets!$A:$B,2,FALSE),"")</f>
        <v>ETF</v>
      </c>
      <c r="D347" s="6"/>
    </row>
    <row r="348" spans="1:4" x14ac:dyDescent="0.35">
      <c r="A348" s="8">
        <v>47088</v>
      </c>
      <c r="B348" s="5" t="s">
        <v>31</v>
      </c>
      <c r="C348" s="3" t="str">
        <f>IFERROR(VLOOKUP(B348,Assets!$A:$B,2,FALSE),"")</f>
        <v>ETF</v>
      </c>
      <c r="D348" s="6"/>
    </row>
    <row r="349" spans="1:4" x14ac:dyDescent="0.35">
      <c r="A349" s="8">
        <v>47088</v>
      </c>
      <c r="B349" s="5" t="s">
        <v>32</v>
      </c>
      <c r="C349" s="3" t="str">
        <f>IFERROR(VLOOKUP(B349,Assets!$A:$B,2,FALSE),"")</f>
        <v>ETF</v>
      </c>
      <c r="D349" s="6"/>
    </row>
    <row r="350" spans="1:4" x14ac:dyDescent="0.35">
      <c r="A350" s="8">
        <v>47088</v>
      </c>
      <c r="B350" s="5" t="s">
        <v>33</v>
      </c>
      <c r="C350" s="3" t="str">
        <f>IFERROR(VLOOKUP(B350,Assets!$A:$B,2,FALSE),"")</f>
        <v>ETF</v>
      </c>
      <c r="D350" s="6"/>
    </row>
    <row r="351" spans="1:4" x14ac:dyDescent="0.35">
      <c r="A351" s="8">
        <v>47088</v>
      </c>
      <c r="B351" s="5" t="s">
        <v>34</v>
      </c>
      <c r="C351" s="3" t="str">
        <f>IFERROR(VLOOKUP(B351,Assets!$A:$B,2,FALSE),"")</f>
        <v>ETF</v>
      </c>
      <c r="D351" s="6"/>
    </row>
    <row r="352" spans="1:4" x14ac:dyDescent="0.35">
      <c r="A352" s="8">
        <v>47088</v>
      </c>
      <c r="B352" s="5" t="s">
        <v>35</v>
      </c>
      <c r="C352" s="3" t="str">
        <f>IFERROR(VLOOKUP(B352,Assets!$A:$B,2,FALSE),"")</f>
        <v>Savings</v>
      </c>
      <c r="D352" s="6"/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52"/>
  <sheetViews>
    <sheetView showGridLines="0" workbookViewId="0">
      <pane ySplit="1" topLeftCell="A2" activePane="bottomLeft" state="frozen"/>
      <selection pane="bottomLeft" activeCell="M13" sqref="M13"/>
    </sheetView>
  </sheetViews>
  <sheetFormatPr defaultRowHeight="14.5" x14ac:dyDescent="0.35"/>
  <cols>
    <col min="1" max="1" width="24" customWidth="1"/>
    <col min="2" max="2" width="10.453125" bestFit="1" customWidth="1"/>
    <col min="3" max="3" width="15" style="35" customWidth="1"/>
    <col min="4" max="8" width="14" customWidth="1"/>
    <col min="9" max="9" width="11" customWidth="1"/>
  </cols>
  <sheetData>
    <row r="1" spans="1:9" x14ac:dyDescent="0.35">
      <c r="A1" s="7" t="s">
        <v>13</v>
      </c>
      <c r="B1" s="7" t="s">
        <v>37</v>
      </c>
      <c r="C1" s="33" t="s">
        <v>50</v>
      </c>
      <c r="D1" s="7" t="s">
        <v>51</v>
      </c>
      <c r="E1" s="7" t="s">
        <v>52</v>
      </c>
      <c r="F1" s="7" t="s">
        <v>53</v>
      </c>
      <c r="G1" s="7" t="s">
        <v>54</v>
      </c>
      <c r="H1" s="7" t="s">
        <v>55</v>
      </c>
      <c r="I1" s="7" t="s">
        <v>56</v>
      </c>
    </row>
    <row r="2" spans="1:9" x14ac:dyDescent="0.35">
      <c r="A2" s="5" t="s">
        <v>20</v>
      </c>
      <c r="B2" s="8">
        <v>45931</v>
      </c>
      <c r="C2" s="34">
        <f>SUMIFS(Month_End!$D:$D,Month_End!$A:$A,B2,Month_End!$B:$B,A2)</f>
        <v>11058</v>
      </c>
      <c r="D2" s="10">
        <f>SUMIFS(Transactions_PAC!$H:$H,Transactions_PAC!$B:$B,B2,Transactions_PAC!$C:$C,A2)</f>
        <v>0</v>
      </c>
      <c r="E2" s="10">
        <f>SUMIFS(Transactions_Manual!$E:$E,Transactions_Manual!$B:$B,B2,Transactions_Manual!$C:$C,A2)</f>
        <v>690.4</v>
      </c>
      <c r="F2" s="10">
        <f t="shared" ref="F2:F65" si="0">D2+E2</f>
        <v>690.4</v>
      </c>
      <c r="G2" s="10"/>
      <c r="H2" s="10" t="str">
        <f>IF(OR(C2=0,G2=0),"",C2-G2-F2)</f>
        <v/>
      </c>
      <c r="I2" s="28" t="str">
        <f>IF(OR(C2=0,G2=0,H2=0),"",H2/(G2+F2/2))</f>
        <v/>
      </c>
    </row>
    <row r="3" spans="1:9" x14ac:dyDescent="0.35">
      <c r="A3" s="5" t="s">
        <v>20</v>
      </c>
      <c r="B3" s="8">
        <v>45962</v>
      </c>
      <c r="C3" s="34">
        <f>SUMIFS(Month_End!$D:$D,Month_End!$A:$A,B3,Month_End!$B:$B,A3)</f>
        <v>11303</v>
      </c>
      <c r="D3" s="10">
        <f>SUMIFS(Transactions_PAC!$H:$H,Transactions_PAC!$B:$B,B3,Transactions_PAC!$C:$C,A3)</f>
        <v>0</v>
      </c>
      <c r="E3" s="10">
        <f>SUMIFS(Transactions_Manual!$E:$E,Transactions_Manual!$B:$B,B3,Transactions_Manual!$C:$C,A3)</f>
        <v>486</v>
      </c>
      <c r="F3" s="10">
        <f t="shared" si="0"/>
        <v>486</v>
      </c>
      <c r="G3" s="10">
        <f t="shared" ref="G3:G40" si="1">C2</f>
        <v>11058</v>
      </c>
      <c r="H3" s="10">
        <f t="shared" ref="H3:H66" si="2">IF(OR(C3=0,G3=0),"",C3-G3-F3)</f>
        <v>-241</v>
      </c>
      <c r="I3" s="28">
        <f t="shared" ref="I3:I66" si="3">IF(OR(C3=0,G3=0,H3=0),"",H3/(G3+F3/2))</f>
        <v>-2.1325546411821963E-2</v>
      </c>
    </row>
    <row r="4" spans="1:9" x14ac:dyDescent="0.35">
      <c r="A4" s="5" t="s">
        <v>20</v>
      </c>
      <c r="B4" s="8">
        <v>45992</v>
      </c>
      <c r="C4" s="34">
        <f>SUMIFS(Month_End!$D:$D,Month_End!$A:$A,B4,Month_End!$B:$B,A4)</f>
        <v>11866</v>
      </c>
      <c r="D4" s="10">
        <f>SUMIFS(Transactions_PAC!$H:$H,Transactions_PAC!$B:$B,B4,Transactions_PAC!$C:$C,A4)</f>
        <v>0</v>
      </c>
      <c r="E4" s="10">
        <f>SUMIFS(Transactions_Manual!$E:$E,Transactions_Manual!$B:$B,B4,Transactions_Manual!$C:$C,A4)</f>
        <v>486</v>
      </c>
      <c r="F4" s="10">
        <f t="shared" si="0"/>
        <v>486</v>
      </c>
      <c r="G4" s="10">
        <f t="shared" si="1"/>
        <v>11303</v>
      </c>
      <c r="H4" s="10">
        <f t="shared" si="2"/>
        <v>77</v>
      </c>
      <c r="I4" s="28">
        <f t="shared" si="3"/>
        <v>6.6689762688376926E-3</v>
      </c>
    </row>
    <row r="5" spans="1:9" x14ac:dyDescent="0.35">
      <c r="A5" s="5" t="s">
        <v>20</v>
      </c>
      <c r="B5" s="8">
        <v>46023</v>
      </c>
      <c r="C5" s="34">
        <f>SUMIFS(Month_End!$D:$D,Month_End!$A:$A,B5,Month_End!$B:$B,A5)</f>
        <v>12365</v>
      </c>
      <c r="D5" s="10">
        <f>SUMIFS(Transactions_PAC!$H:$H,Transactions_PAC!$B:$B,B5,Transactions_PAC!$C:$C,A5)</f>
        <v>0</v>
      </c>
      <c r="E5" s="10">
        <f>SUMIFS(Transactions_Manual!$E:$E,Transactions_Manual!$B:$B,B5,Transactions_Manual!$C:$C,A5)</f>
        <v>486</v>
      </c>
      <c r="F5" s="10">
        <f t="shared" si="0"/>
        <v>486</v>
      </c>
      <c r="G5" s="10">
        <f t="shared" si="1"/>
        <v>11866</v>
      </c>
      <c r="H5" s="10">
        <f t="shared" si="2"/>
        <v>13</v>
      </c>
      <c r="I5" s="28">
        <f t="shared" si="3"/>
        <v>1.0735816334957471E-3</v>
      </c>
    </row>
    <row r="6" spans="1:9" x14ac:dyDescent="0.35">
      <c r="A6" s="5" t="s">
        <v>20</v>
      </c>
      <c r="B6" s="8">
        <v>46054</v>
      </c>
      <c r="C6" s="34">
        <f>SUMIFS(Month_End!$D:$D,Month_End!$A:$A,B6,Month_End!$B:$B,A6)</f>
        <v>13001</v>
      </c>
      <c r="D6" s="10">
        <f>SUMIFS(Transactions_PAC!$H:$H,Transactions_PAC!$B:$B,B6,Transactions_PAC!$C:$C,A6)</f>
        <v>0</v>
      </c>
      <c r="E6" s="10">
        <f>SUMIFS(Transactions_Manual!$E:$E,Transactions_Manual!$B:$B,B6,Transactions_Manual!$C:$C,A6)</f>
        <v>486</v>
      </c>
      <c r="F6" s="10">
        <f t="shared" si="0"/>
        <v>486</v>
      </c>
      <c r="G6" s="10">
        <f t="shared" si="1"/>
        <v>12365</v>
      </c>
      <c r="H6" s="10">
        <f t="shared" si="2"/>
        <v>150</v>
      </c>
      <c r="I6" s="28">
        <f t="shared" si="3"/>
        <v>1.189720812182741E-2</v>
      </c>
    </row>
    <row r="7" spans="1:9" x14ac:dyDescent="0.35">
      <c r="A7" s="5" t="s">
        <v>20</v>
      </c>
      <c r="B7" s="8">
        <v>46082</v>
      </c>
      <c r="C7" s="34">
        <f>SUMIFS(Month_End!$D:$D,Month_End!$A:$A,B7,Month_End!$B:$B,A7)</f>
        <v>13914</v>
      </c>
      <c r="D7" s="10">
        <f>SUMIFS(Transactions_PAC!$H:$H,Transactions_PAC!$B:$B,B7,Transactions_PAC!$C:$C,A7)</f>
        <v>0</v>
      </c>
      <c r="E7" s="10">
        <f>SUMIFS(Transactions_Manual!$E:$E,Transactions_Manual!$B:$B,B7,Transactions_Manual!$C:$C,A7)</f>
        <v>1539.76</v>
      </c>
      <c r="F7" s="10">
        <f t="shared" si="0"/>
        <v>1539.76</v>
      </c>
      <c r="G7" s="10">
        <f t="shared" si="1"/>
        <v>13001</v>
      </c>
      <c r="H7" s="10">
        <f t="shared" si="2"/>
        <v>-626.76</v>
      </c>
      <c r="I7" s="28">
        <f t="shared" si="3"/>
        <v>-4.5513431240414556E-2</v>
      </c>
    </row>
    <row r="8" spans="1:9" x14ac:dyDescent="0.35">
      <c r="A8" s="5" t="s">
        <v>20</v>
      </c>
      <c r="B8" s="8">
        <v>46113</v>
      </c>
      <c r="C8" s="34">
        <f>SUMIFS(Month_End!$D:$D,Month_End!$A:$A,B8,Month_End!$B:$B,A8)</f>
        <v>0</v>
      </c>
      <c r="D8" s="10">
        <f>SUMIFS(Transactions_PAC!$H:$H,Transactions_PAC!$B:$B,B8,Transactions_PAC!$C:$C,A8)</f>
        <v>640</v>
      </c>
      <c r="E8" s="10">
        <f>SUMIFS(Transactions_Manual!$E:$E,Transactions_Manual!$B:$B,B8,Transactions_Manual!$C:$C,A8)</f>
        <v>0</v>
      </c>
      <c r="F8" s="10">
        <f t="shared" si="0"/>
        <v>640</v>
      </c>
      <c r="G8" s="10">
        <f t="shared" si="1"/>
        <v>13914</v>
      </c>
      <c r="H8" s="10" t="str">
        <f t="shared" si="2"/>
        <v/>
      </c>
      <c r="I8" s="28" t="str">
        <f t="shared" si="3"/>
        <v/>
      </c>
    </row>
    <row r="9" spans="1:9" x14ac:dyDescent="0.35">
      <c r="A9" s="5" t="s">
        <v>20</v>
      </c>
      <c r="B9" s="8">
        <v>46143</v>
      </c>
      <c r="C9" s="34">
        <f>SUMIFS(Month_End!$D:$D,Month_End!$A:$A,B9,Month_End!$B:$B,A9)</f>
        <v>0</v>
      </c>
      <c r="D9" s="10">
        <f>SUMIFS(Transactions_PAC!$H:$H,Transactions_PAC!$B:$B,B9,Transactions_PAC!$C:$C,A9)</f>
        <v>640</v>
      </c>
      <c r="E9" s="10">
        <f>SUMIFS(Transactions_Manual!$E:$E,Transactions_Manual!$B:$B,B9,Transactions_Manual!$C:$C,A9)</f>
        <v>0</v>
      </c>
      <c r="F9" s="10">
        <f t="shared" si="0"/>
        <v>640</v>
      </c>
      <c r="G9" s="10">
        <f t="shared" si="1"/>
        <v>0</v>
      </c>
      <c r="H9" s="10" t="str">
        <f t="shared" si="2"/>
        <v/>
      </c>
      <c r="I9" s="28" t="str">
        <f t="shared" si="3"/>
        <v/>
      </c>
    </row>
    <row r="10" spans="1:9" x14ac:dyDescent="0.35">
      <c r="A10" s="5" t="s">
        <v>20</v>
      </c>
      <c r="B10" s="8">
        <v>46174</v>
      </c>
      <c r="C10" s="34">
        <f>SUMIFS(Month_End!$D:$D,Month_End!$A:$A,B10,Month_End!$B:$B,A10)</f>
        <v>0</v>
      </c>
      <c r="D10" s="10">
        <f>SUMIFS(Transactions_PAC!$H:$H,Transactions_PAC!$B:$B,B10,Transactions_PAC!$C:$C,A10)</f>
        <v>640</v>
      </c>
      <c r="E10" s="10">
        <f>SUMIFS(Transactions_Manual!$E:$E,Transactions_Manual!$B:$B,B10,Transactions_Manual!$C:$C,A10)</f>
        <v>0</v>
      </c>
      <c r="F10" s="10">
        <f t="shared" si="0"/>
        <v>640</v>
      </c>
      <c r="G10" s="10">
        <f t="shared" si="1"/>
        <v>0</v>
      </c>
      <c r="H10" s="10" t="str">
        <f t="shared" si="2"/>
        <v/>
      </c>
      <c r="I10" s="28" t="str">
        <f t="shared" si="3"/>
        <v/>
      </c>
    </row>
    <row r="11" spans="1:9" x14ac:dyDescent="0.35">
      <c r="A11" s="5" t="s">
        <v>20</v>
      </c>
      <c r="B11" s="8">
        <v>46204</v>
      </c>
      <c r="C11" s="34">
        <f>SUMIFS(Month_End!$D:$D,Month_End!$A:$A,B11,Month_End!$B:$B,A11)</f>
        <v>0</v>
      </c>
      <c r="D11" s="10">
        <f>SUMIFS(Transactions_PAC!$H:$H,Transactions_PAC!$B:$B,B11,Transactions_PAC!$C:$C,A11)</f>
        <v>640</v>
      </c>
      <c r="E11" s="10">
        <f>SUMIFS(Transactions_Manual!$E:$E,Transactions_Manual!$B:$B,B11,Transactions_Manual!$C:$C,A11)</f>
        <v>0</v>
      </c>
      <c r="F11" s="10">
        <f t="shared" si="0"/>
        <v>640</v>
      </c>
      <c r="G11" s="10">
        <f t="shared" si="1"/>
        <v>0</v>
      </c>
      <c r="H11" s="10" t="str">
        <f t="shared" si="2"/>
        <v/>
      </c>
      <c r="I11" s="28" t="str">
        <f t="shared" si="3"/>
        <v/>
      </c>
    </row>
    <row r="12" spans="1:9" x14ac:dyDescent="0.35">
      <c r="A12" s="5" t="s">
        <v>20</v>
      </c>
      <c r="B12" s="8">
        <v>46235</v>
      </c>
      <c r="C12" s="34">
        <f>SUMIFS(Month_End!$D:$D,Month_End!$A:$A,B12,Month_End!$B:$B,A12)</f>
        <v>0</v>
      </c>
      <c r="D12" s="10">
        <f>SUMIFS(Transactions_PAC!$H:$H,Transactions_PAC!$B:$B,B12,Transactions_PAC!$C:$C,A12)</f>
        <v>640</v>
      </c>
      <c r="E12" s="10">
        <f>SUMIFS(Transactions_Manual!$E:$E,Transactions_Manual!$B:$B,B12,Transactions_Manual!$C:$C,A12)</f>
        <v>0</v>
      </c>
      <c r="F12" s="10">
        <f t="shared" si="0"/>
        <v>640</v>
      </c>
      <c r="G12" s="10">
        <f t="shared" si="1"/>
        <v>0</v>
      </c>
      <c r="H12" s="10" t="str">
        <f t="shared" si="2"/>
        <v/>
      </c>
      <c r="I12" s="28" t="str">
        <f t="shared" si="3"/>
        <v/>
      </c>
    </row>
    <row r="13" spans="1:9" x14ac:dyDescent="0.35">
      <c r="A13" s="5" t="s">
        <v>20</v>
      </c>
      <c r="B13" s="8">
        <v>46266</v>
      </c>
      <c r="C13" s="34">
        <f>SUMIFS(Month_End!$D:$D,Month_End!$A:$A,B13,Month_End!$B:$B,A13)</f>
        <v>0</v>
      </c>
      <c r="D13" s="10">
        <f>SUMIFS(Transactions_PAC!$H:$H,Transactions_PAC!$B:$B,B13,Transactions_PAC!$C:$C,A13)</f>
        <v>640</v>
      </c>
      <c r="E13" s="10">
        <f>SUMIFS(Transactions_Manual!$E:$E,Transactions_Manual!$B:$B,B13,Transactions_Manual!$C:$C,A13)</f>
        <v>0</v>
      </c>
      <c r="F13" s="10">
        <f t="shared" si="0"/>
        <v>640</v>
      </c>
      <c r="G13" s="10">
        <f t="shared" si="1"/>
        <v>0</v>
      </c>
      <c r="H13" s="10" t="str">
        <f t="shared" si="2"/>
        <v/>
      </c>
      <c r="I13" s="28" t="str">
        <f t="shared" si="3"/>
        <v/>
      </c>
    </row>
    <row r="14" spans="1:9" x14ac:dyDescent="0.35">
      <c r="A14" s="5" t="s">
        <v>20</v>
      </c>
      <c r="B14" s="8">
        <v>46296</v>
      </c>
      <c r="C14" s="34">
        <f>SUMIFS(Month_End!$D:$D,Month_End!$A:$A,B14,Month_End!$B:$B,A14)</f>
        <v>0</v>
      </c>
      <c r="D14" s="10">
        <f>SUMIFS(Transactions_PAC!$H:$H,Transactions_PAC!$B:$B,B14,Transactions_PAC!$C:$C,A14)</f>
        <v>640</v>
      </c>
      <c r="E14" s="10">
        <f>SUMIFS(Transactions_Manual!$E:$E,Transactions_Manual!$B:$B,B14,Transactions_Manual!$C:$C,A14)</f>
        <v>0</v>
      </c>
      <c r="F14" s="10">
        <f t="shared" si="0"/>
        <v>640</v>
      </c>
      <c r="G14" s="10">
        <f t="shared" si="1"/>
        <v>0</v>
      </c>
      <c r="H14" s="10" t="str">
        <f t="shared" si="2"/>
        <v/>
      </c>
      <c r="I14" s="28" t="str">
        <f t="shared" si="3"/>
        <v/>
      </c>
    </row>
    <row r="15" spans="1:9" x14ac:dyDescent="0.35">
      <c r="A15" s="5" t="s">
        <v>20</v>
      </c>
      <c r="B15" s="8">
        <v>46327</v>
      </c>
      <c r="C15" s="34">
        <f>SUMIFS(Month_End!$D:$D,Month_End!$A:$A,B15,Month_End!$B:$B,A15)</f>
        <v>0</v>
      </c>
      <c r="D15" s="10">
        <f>SUMIFS(Transactions_PAC!$H:$H,Transactions_PAC!$B:$B,B15,Transactions_PAC!$C:$C,A15)</f>
        <v>640</v>
      </c>
      <c r="E15" s="10">
        <f>SUMIFS(Transactions_Manual!$E:$E,Transactions_Manual!$B:$B,B15,Transactions_Manual!$C:$C,A15)</f>
        <v>0</v>
      </c>
      <c r="F15" s="10">
        <f t="shared" si="0"/>
        <v>640</v>
      </c>
      <c r="G15" s="10">
        <f t="shared" si="1"/>
        <v>0</v>
      </c>
      <c r="H15" s="10" t="str">
        <f t="shared" si="2"/>
        <v/>
      </c>
      <c r="I15" s="28" t="str">
        <f t="shared" si="3"/>
        <v/>
      </c>
    </row>
    <row r="16" spans="1:9" x14ac:dyDescent="0.35">
      <c r="A16" s="5" t="s">
        <v>20</v>
      </c>
      <c r="B16" s="8">
        <v>46357</v>
      </c>
      <c r="C16" s="34">
        <f>SUMIFS(Month_End!$D:$D,Month_End!$A:$A,B16,Month_End!$B:$B,A16)</f>
        <v>0</v>
      </c>
      <c r="D16" s="10">
        <f>SUMIFS(Transactions_PAC!$H:$H,Transactions_PAC!$B:$B,B16,Transactions_PAC!$C:$C,A16)</f>
        <v>640</v>
      </c>
      <c r="E16" s="10">
        <f>SUMIFS(Transactions_Manual!$E:$E,Transactions_Manual!$B:$B,B16,Transactions_Manual!$C:$C,A16)</f>
        <v>0</v>
      </c>
      <c r="F16" s="10">
        <f t="shared" si="0"/>
        <v>640</v>
      </c>
      <c r="G16" s="10">
        <f t="shared" si="1"/>
        <v>0</v>
      </c>
      <c r="H16" s="10" t="str">
        <f t="shared" si="2"/>
        <v/>
      </c>
      <c r="I16" s="28" t="str">
        <f t="shared" si="3"/>
        <v/>
      </c>
    </row>
    <row r="17" spans="1:9" x14ac:dyDescent="0.35">
      <c r="A17" s="5" t="s">
        <v>20</v>
      </c>
      <c r="B17" s="8">
        <v>46388</v>
      </c>
      <c r="C17" s="34">
        <f>SUMIFS(Month_End!$D:$D,Month_End!$A:$A,B17,Month_End!$B:$B,A17)</f>
        <v>0</v>
      </c>
      <c r="D17" s="10">
        <f>SUMIFS(Transactions_PAC!$H:$H,Transactions_PAC!$B:$B,B17,Transactions_PAC!$C:$C,A17)</f>
        <v>640</v>
      </c>
      <c r="E17" s="10">
        <f>SUMIFS(Transactions_Manual!$E:$E,Transactions_Manual!$B:$B,B17,Transactions_Manual!$C:$C,A17)</f>
        <v>0</v>
      </c>
      <c r="F17" s="10">
        <f t="shared" si="0"/>
        <v>640</v>
      </c>
      <c r="G17" s="10">
        <f t="shared" si="1"/>
        <v>0</v>
      </c>
      <c r="H17" s="10" t="str">
        <f t="shared" si="2"/>
        <v/>
      </c>
      <c r="I17" s="28" t="str">
        <f t="shared" si="3"/>
        <v/>
      </c>
    </row>
    <row r="18" spans="1:9" x14ac:dyDescent="0.35">
      <c r="A18" s="5" t="s">
        <v>20</v>
      </c>
      <c r="B18" s="8">
        <v>46419</v>
      </c>
      <c r="C18" s="34">
        <f>SUMIFS(Month_End!$D:$D,Month_End!$A:$A,B18,Month_End!$B:$B,A18)</f>
        <v>0</v>
      </c>
      <c r="D18" s="10">
        <f>SUMIFS(Transactions_PAC!$H:$H,Transactions_PAC!$B:$B,B18,Transactions_PAC!$C:$C,A18)</f>
        <v>640</v>
      </c>
      <c r="E18" s="10">
        <f>SUMIFS(Transactions_Manual!$E:$E,Transactions_Manual!$B:$B,B18,Transactions_Manual!$C:$C,A18)</f>
        <v>0</v>
      </c>
      <c r="F18" s="10">
        <f t="shared" si="0"/>
        <v>640</v>
      </c>
      <c r="G18" s="10">
        <f t="shared" si="1"/>
        <v>0</v>
      </c>
      <c r="H18" s="10" t="str">
        <f t="shared" si="2"/>
        <v/>
      </c>
      <c r="I18" s="28" t="str">
        <f t="shared" si="3"/>
        <v/>
      </c>
    </row>
    <row r="19" spans="1:9" x14ac:dyDescent="0.35">
      <c r="A19" s="5" t="s">
        <v>20</v>
      </c>
      <c r="B19" s="8">
        <v>46447</v>
      </c>
      <c r="C19" s="34">
        <f>SUMIFS(Month_End!$D:$D,Month_End!$A:$A,B19,Month_End!$B:$B,A19)</f>
        <v>0</v>
      </c>
      <c r="D19" s="10">
        <f>SUMIFS(Transactions_PAC!$H:$H,Transactions_PAC!$B:$B,B19,Transactions_PAC!$C:$C,A19)</f>
        <v>640</v>
      </c>
      <c r="E19" s="10">
        <f>SUMIFS(Transactions_Manual!$E:$E,Transactions_Manual!$B:$B,B19,Transactions_Manual!$C:$C,A19)</f>
        <v>0</v>
      </c>
      <c r="F19" s="10">
        <f t="shared" si="0"/>
        <v>640</v>
      </c>
      <c r="G19" s="10">
        <f t="shared" si="1"/>
        <v>0</v>
      </c>
      <c r="H19" s="10" t="str">
        <f t="shared" si="2"/>
        <v/>
      </c>
      <c r="I19" s="28" t="str">
        <f t="shared" si="3"/>
        <v/>
      </c>
    </row>
    <row r="20" spans="1:9" x14ac:dyDescent="0.35">
      <c r="A20" s="5" t="s">
        <v>20</v>
      </c>
      <c r="B20" s="8">
        <v>46478</v>
      </c>
      <c r="C20" s="34">
        <f>SUMIFS(Month_End!$D:$D,Month_End!$A:$A,B20,Month_End!$B:$B,A20)</f>
        <v>0</v>
      </c>
      <c r="D20" s="10">
        <f>SUMIFS(Transactions_PAC!$H:$H,Transactions_PAC!$B:$B,B20,Transactions_PAC!$C:$C,A20)</f>
        <v>640</v>
      </c>
      <c r="E20" s="10">
        <f>SUMIFS(Transactions_Manual!$E:$E,Transactions_Manual!$B:$B,B20,Transactions_Manual!$C:$C,A20)</f>
        <v>0</v>
      </c>
      <c r="F20" s="10">
        <f t="shared" si="0"/>
        <v>640</v>
      </c>
      <c r="G20" s="10">
        <f t="shared" si="1"/>
        <v>0</v>
      </c>
      <c r="H20" s="10" t="str">
        <f t="shared" si="2"/>
        <v/>
      </c>
      <c r="I20" s="28" t="str">
        <f t="shared" si="3"/>
        <v/>
      </c>
    </row>
    <row r="21" spans="1:9" x14ac:dyDescent="0.35">
      <c r="A21" s="5" t="s">
        <v>20</v>
      </c>
      <c r="B21" s="8">
        <v>46508</v>
      </c>
      <c r="C21" s="34">
        <f>SUMIFS(Month_End!$D:$D,Month_End!$A:$A,B21,Month_End!$B:$B,A21)</f>
        <v>0</v>
      </c>
      <c r="D21" s="10">
        <f>SUMIFS(Transactions_PAC!$H:$H,Transactions_PAC!$B:$B,B21,Transactions_PAC!$C:$C,A21)</f>
        <v>640</v>
      </c>
      <c r="E21" s="10">
        <f>SUMIFS(Transactions_Manual!$E:$E,Transactions_Manual!$B:$B,B21,Transactions_Manual!$C:$C,A21)</f>
        <v>0</v>
      </c>
      <c r="F21" s="10">
        <f t="shared" si="0"/>
        <v>640</v>
      </c>
      <c r="G21" s="10">
        <f t="shared" si="1"/>
        <v>0</v>
      </c>
      <c r="H21" s="10" t="str">
        <f t="shared" si="2"/>
        <v/>
      </c>
      <c r="I21" s="28" t="str">
        <f t="shared" si="3"/>
        <v/>
      </c>
    </row>
    <row r="22" spans="1:9" x14ac:dyDescent="0.35">
      <c r="A22" s="5" t="s">
        <v>20</v>
      </c>
      <c r="B22" s="8">
        <v>46539</v>
      </c>
      <c r="C22" s="34">
        <f>SUMIFS(Month_End!$D:$D,Month_End!$A:$A,B22,Month_End!$B:$B,A22)</f>
        <v>0</v>
      </c>
      <c r="D22" s="10">
        <f>SUMIFS(Transactions_PAC!$H:$H,Transactions_PAC!$B:$B,B22,Transactions_PAC!$C:$C,A22)</f>
        <v>640</v>
      </c>
      <c r="E22" s="10">
        <f>SUMIFS(Transactions_Manual!$E:$E,Transactions_Manual!$B:$B,B22,Transactions_Manual!$C:$C,A22)</f>
        <v>0</v>
      </c>
      <c r="F22" s="10">
        <f t="shared" si="0"/>
        <v>640</v>
      </c>
      <c r="G22" s="10">
        <f t="shared" si="1"/>
        <v>0</v>
      </c>
      <c r="H22" s="10" t="str">
        <f t="shared" si="2"/>
        <v/>
      </c>
      <c r="I22" s="28" t="str">
        <f t="shared" si="3"/>
        <v/>
      </c>
    </row>
    <row r="23" spans="1:9" x14ac:dyDescent="0.35">
      <c r="A23" s="5" t="s">
        <v>20</v>
      </c>
      <c r="B23" s="8">
        <v>46569</v>
      </c>
      <c r="C23" s="34">
        <f>SUMIFS(Month_End!$D:$D,Month_End!$A:$A,B23,Month_End!$B:$B,A23)</f>
        <v>0</v>
      </c>
      <c r="D23" s="10">
        <f>SUMIFS(Transactions_PAC!$H:$H,Transactions_PAC!$B:$B,B23,Transactions_PAC!$C:$C,A23)</f>
        <v>640</v>
      </c>
      <c r="E23" s="10">
        <f>SUMIFS(Transactions_Manual!$E:$E,Transactions_Manual!$B:$B,B23,Transactions_Manual!$C:$C,A23)</f>
        <v>0</v>
      </c>
      <c r="F23" s="10">
        <f t="shared" si="0"/>
        <v>640</v>
      </c>
      <c r="G23" s="10">
        <f t="shared" si="1"/>
        <v>0</v>
      </c>
      <c r="H23" s="10" t="str">
        <f t="shared" si="2"/>
        <v/>
      </c>
      <c r="I23" s="28" t="str">
        <f t="shared" si="3"/>
        <v/>
      </c>
    </row>
    <row r="24" spans="1:9" x14ac:dyDescent="0.35">
      <c r="A24" s="5" t="s">
        <v>20</v>
      </c>
      <c r="B24" s="8">
        <v>46600</v>
      </c>
      <c r="C24" s="34">
        <f>SUMIFS(Month_End!$D:$D,Month_End!$A:$A,B24,Month_End!$B:$B,A24)</f>
        <v>0</v>
      </c>
      <c r="D24" s="10">
        <f>SUMIFS(Transactions_PAC!$H:$H,Transactions_PAC!$B:$B,B24,Transactions_PAC!$C:$C,A24)</f>
        <v>640</v>
      </c>
      <c r="E24" s="10">
        <f>SUMIFS(Transactions_Manual!$E:$E,Transactions_Manual!$B:$B,B24,Transactions_Manual!$C:$C,A24)</f>
        <v>0</v>
      </c>
      <c r="F24" s="10">
        <f t="shared" si="0"/>
        <v>640</v>
      </c>
      <c r="G24" s="10">
        <f t="shared" si="1"/>
        <v>0</v>
      </c>
      <c r="H24" s="10" t="str">
        <f t="shared" si="2"/>
        <v/>
      </c>
      <c r="I24" s="28" t="str">
        <f t="shared" si="3"/>
        <v/>
      </c>
    </row>
    <row r="25" spans="1:9" x14ac:dyDescent="0.35">
      <c r="A25" s="5" t="s">
        <v>20</v>
      </c>
      <c r="B25" s="8">
        <v>46631</v>
      </c>
      <c r="C25" s="34">
        <f>SUMIFS(Month_End!$D:$D,Month_End!$A:$A,B25,Month_End!$B:$B,A25)</f>
        <v>0</v>
      </c>
      <c r="D25" s="10">
        <f>SUMIFS(Transactions_PAC!$H:$H,Transactions_PAC!$B:$B,B25,Transactions_PAC!$C:$C,A25)</f>
        <v>640</v>
      </c>
      <c r="E25" s="10">
        <f>SUMIFS(Transactions_Manual!$E:$E,Transactions_Manual!$B:$B,B25,Transactions_Manual!$C:$C,A25)</f>
        <v>0</v>
      </c>
      <c r="F25" s="10">
        <f t="shared" si="0"/>
        <v>640</v>
      </c>
      <c r="G25" s="10">
        <f t="shared" si="1"/>
        <v>0</v>
      </c>
      <c r="H25" s="10" t="str">
        <f t="shared" si="2"/>
        <v/>
      </c>
      <c r="I25" s="28" t="str">
        <f t="shared" si="3"/>
        <v/>
      </c>
    </row>
    <row r="26" spans="1:9" x14ac:dyDescent="0.35">
      <c r="A26" s="5" t="s">
        <v>20</v>
      </c>
      <c r="B26" s="8">
        <v>46661</v>
      </c>
      <c r="C26" s="34">
        <f>SUMIFS(Month_End!$D:$D,Month_End!$A:$A,B26,Month_End!$B:$B,A26)</f>
        <v>0</v>
      </c>
      <c r="D26" s="10">
        <f>SUMIFS(Transactions_PAC!$H:$H,Transactions_PAC!$B:$B,B26,Transactions_PAC!$C:$C,A26)</f>
        <v>640</v>
      </c>
      <c r="E26" s="10">
        <f>SUMIFS(Transactions_Manual!$E:$E,Transactions_Manual!$B:$B,B26,Transactions_Manual!$C:$C,A26)</f>
        <v>0</v>
      </c>
      <c r="F26" s="10">
        <f t="shared" si="0"/>
        <v>640</v>
      </c>
      <c r="G26" s="10">
        <f t="shared" si="1"/>
        <v>0</v>
      </c>
      <c r="H26" s="10" t="str">
        <f t="shared" si="2"/>
        <v/>
      </c>
      <c r="I26" s="28" t="str">
        <f t="shared" si="3"/>
        <v/>
      </c>
    </row>
    <row r="27" spans="1:9" x14ac:dyDescent="0.35">
      <c r="A27" s="5" t="s">
        <v>20</v>
      </c>
      <c r="B27" s="8">
        <v>46692</v>
      </c>
      <c r="C27" s="34">
        <f>SUMIFS(Month_End!$D:$D,Month_End!$A:$A,B27,Month_End!$B:$B,A27)</f>
        <v>0</v>
      </c>
      <c r="D27" s="10">
        <f>SUMIFS(Transactions_PAC!$H:$H,Transactions_PAC!$B:$B,B27,Transactions_PAC!$C:$C,A27)</f>
        <v>640</v>
      </c>
      <c r="E27" s="10">
        <f>SUMIFS(Transactions_Manual!$E:$E,Transactions_Manual!$B:$B,B27,Transactions_Manual!$C:$C,A27)</f>
        <v>0</v>
      </c>
      <c r="F27" s="10">
        <f t="shared" si="0"/>
        <v>640</v>
      </c>
      <c r="G27" s="10">
        <f t="shared" si="1"/>
        <v>0</v>
      </c>
      <c r="H27" s="10" t="str">
        <f t="shared" si="2"/>
        <v/>
      </c>
      <c r="I27" s="28" t="str">
        <f t="shared" si="3"/>
        <v/>
      </c>
    </row>
    <row r="28" spans="1:9" x14ac:dyDescent="0.35">
      <c r="A28" s="5" t="s">
        <v>20</v>
      </c>
      <c r="B28" s="8">
        <v>46722</v>
      </c>
      <c r="C28" s="34">
        <f>SUMIFS(Month_End!$D:$D,Month_End!$A:$A,B28,Month_End!$B:$B,A28)</f>
        <v>0</v>
      </c>
      <c r="D28" s="10">
        <f>SUMIFS(Transactions_PAC!$H:$H,Transactions_PAC!$B:$B,B28,Transactions_PAC!$C:$C,A28)</f>
        <v>640</v>
      </c>
      <c r="E28" s="10">
        <f>SUMIFS(Transactions_Manual!$E:$E,Transactions_Manual!$B:$B,B28,Transactions_Manual!$C:$C,A28)</f>
        <v>0</v>
      </c>
      <c r="F28" s="10">
        <f t="shared" si="0"/>
        <v>640</v>
      </c>
      <c r="G28" s="10">
        <f t="shared" si="1"/>
        <v>0</v>
      </c>
      <c r="H28" s="10" t="str">
        <f t="shared" si="2"/>
        <v/>
      </c>
      <c r="I28" s="28" t="str">
        <f t="shared" si="3"/>
        <v/>
      </c>
    </row>
    <row r="29" spans="1:9" x14ac:dyDescent="0.35">
      <c r="A29" s="5" t="s">
        <v>20</v>
      </c>
      <c r="B29" s="8">
        <v>46753</v>
      </c>
      <c r="C29" s="34">
        <f>SUMIFS(Month_End!$D:$D,Month_End!$A:$A,B29,Month_End!$B:$B,A29)</f>
        <v>0</v>
      </c>
      <c r="D29" s="10">
        <f>SUMIFS(Transactions_PAC!$H:$H,Transactions_PAC!$B:$B,B29,Transactions_PAC!$C:$C,A29)</f>
        <v>640</v>
      </c>
      <c r="E29" s="10">
        <f>SUMIFS(Transactions_Manual!$E:$E,Transactions_Manual!$B:$B,B29,Transactions_Manual!$C:$C,A29)</f>
        <v>0</v>
      </c>
      <c r="F29" s="10">
        <f t="shared" si="0"/>
        <v>640</v>
      </c>
      <c r="G29" s="10">
        <f t="shared" si="1"/>
        <v>0</v>
      </c>
      <c r="H29" s="10" t="str">
        <f t="shared" si="2"/>
        <v/>
      </c>
      <c r="I29" s="28" t="str">
        <f t="shared" si="3"/>
        <v/>
      </c>
    </row>
    <row r="30" spans="1:9" x14ac:dyDescent="0.35">
      <c r="A30" s="5" t="s">
        <v>20</v>
      </c>
      <c r="B30" s="8">
        <v>46784</v>
      </c>
      <c r="C30" s="34">
        <f>SUMIFS(Month_End!$D:$D,Month_End!$A:$A,B30,Month_End!$B:$B,A30)</f>
        <v>0</v>
      </c>
      <c r="D30" s="10">
        <f>SUMIFS(Transactions_PAC!$H:$H,Transactions_PAC!$B:$B,B30,Transactions_PAC!$C:$C,A30)</f>
        <v>640</v>
      </c>
      <c r="E30" s="10">
        <f>SUMIFS(Transactions_Manual!$E:$E,Transactions_Manual!$B:$B,B30,Transactions_Manual!$C:$C,A30)</f>
        <v>0</v>
      </c>
      <c r="F30" s="10">
        <f t="shared" si="0"/>
        <v>640</v>
      </c>
      <c r="G30" s="10">
        <f t="shared" si="1"/>
        <v>0</v>
      </c>
      <c r="H30" s="10" t="str">
        <f t="shared" si="2"/>
        <v/>
      </c>
      <c r="I30" s="28" t="str">
        <f t="shared" si="3"/>
        <v/>
      </c>
    </row>
    <row r="31" spans="1:9" x14ac:dyDescent="0.35">
      <c r="A31" s="5" t="s">
        <v>20</v>
      </c>
      <c r="B31" s="8">
        <v>46813</v>
      </c>
      <c r="C31" s="34">
        <f>SUMIFS(Month_End!$D:$D,Month_End!$A:$A,B31,Month_End!$B:$B,A31)</f>
        <v>0</v>
      </c>
      <c r="D31" s="10">
        <f>SUMIFS(Transactions_PAC!$H:$H,Transactions_PAC!$B:$B,B31,Transactions_PAC!$C:$C,A31)</f>
        <v>640</v>
      </c>
      <c r="E31" s="10">
        <f>SUMIFS(Transactions_Manual!$E:$E,Transactions_Manual!$B:$B,B31,Transactions_Manual!$C:$C,A31)</f>
        <v>0</v>
      </c>
      <c r="F31" s="10">
        <f t="shared" si="0"/>
        <v>640</v>
      </c>
      <c r="G31" s="10">
        <f t="shared" si="1"/>
        <v>0</v>
      </c>
      <c r="H31" s="10" t="str">
        <f t="shared" si="2"/>
        <v/>
      </c>
      <c r="I31" s="28" t="str">
        <f t="shared" si="3"/>
        <v/>
      </c>
    </row>
    <row r="32" spans="1:9" x14ac:dyDescent="0.35">
      <c r="A32" s="5" t="s">
        <v>20</v>
      </c>
      <c r="B32" s="8">
        <v>46844</v>
      </c>
      <c r="C32" s="34">
        <f>SUMIFS(Month_End!$D:$D,Month_End!$A:$A,B32,Month_End!$B:$B,A32)</f>
        <v>0</v>
      </c>
      <c r="D32" s="10">
        <f>SUMIFS(Transactions_PAC!$H:$H,Transactions_PAC!$B:$B,B32,Transactions_PAC!$C:$C,A32)</f>
        <v>640</v>
      </c>
      <c r="E32" s="10">
        <f>SUMIFS(Transactions_Manual!$E:$E,Transactions_Manual!$B:$B,B32,Transactions_Manual!$C:$C,A32)</f>
        <v>0</v>
      </c>
      <c r="F32" s="10">
        <f t="shared" si="0"/>
        <v>640</v>
      </c>
      <c r="G32" s="10">
        <f t="shared" si="1"/>
        <v>0</v>
      </c>
      <c r="H32" s="10" t="str">
        <f t="shared" si="2"/>
        <v/>
      </c>
      <c r="I32" s="28" t="str">
        <f t="shared" si="3"/>
        <v/>
      </c>
    </row>
    <row r="33" spans="1:9" x14ac:dyDescent="0.35">
      <c r="A33" s="5" t="s">
        <v>20</v>
      </c>
      <c r="B33" s="8">
        <v>46874</v>
      </c>
      <c r="C33" s="34">
        <f>SUMIFS(Month_End!$D:$D,Month_End!$A:$A,B33,Month_End!$B:$B,A33)</f>
        <v>0</v>
      </c>
      <c r="D33" s="10">
        <f>SUMIFS(Transactions_PAC!$H:$H,Transactions_PAC!$B:$B,B33,Transactions_PAC!$C:$C,A33)</f>
        <v>640</v>
      </c>
      <c r="E33" s="10">
        <f>SUMIFS(Transactions_Manual!$E:$E,Transactions_Manual!$B:$B,B33,Transactions_Manual!$C:$C,A33)</f>
        <v>0</v>
      </c>
      <c r="F33" s="10">
        <f t="shared" si="0"/>
        <v>640</v>
      </c>
      <c r="G33" s="10">
        <f t="shared" si="1"/>
        <v>0</v>
      </c>
      <c r="H33" s="10" t="str">
        <f t="shared" si="2"/>
        <v/>
      </c>
      <c r="I33" s="28" t="str">
        <f t="shared" si="3"/>
        <v/>
      </c>
    </row>
    <row r="34" spans="1:9" x14ac:dyDescent="0.35">
      <c r="A34" s="5" t="s">
        <v>20</v>
      </c>
      <c r="B34" s="8">
        <v>46905</v>
      </c>
      <c r="C34" s="34">
        <f>SUMIFS(Month_End!$D:$D,Month_End!$A:$A,B34,Month_End!$B:$B,A34)</f>
        <v>0</v>
      </c>
      <c r="D34" s="10">
        <f>SUMIFS(Transactions_PAC!$H:$H,Transactions_PAC!$B:$B,B34,Transactions_PAC!$C:$C,A34)</f>
        <v>640</v>
      </c>
      <c r="E34" s="10">
        <f>SUMIFS(Transactions_Manual!$E:$E,Transactions_Manual!$B:$B,B34,Transactions_Manual!$C:$C,A34)</f>
        <v>0</v>
      </c>
      <c r="F34" s="10">
        <f t="shared" si="0"/>
        <v>640</v>
      </c>
      <c r="G34" s="10">
        <f t="shared" si="1"/>
        <v>0</v>
      </c>
      <c r="H34" s="10" t="str">
        <f t="shared" si="2"/>
        <v/>
      </c>
      <c r="I34" s="28" t="str">
        <f t="shared" si="3"/>
        <v/>
      </c>
    </row>
    <row r="35" spans="1:9" x14ac:dyDescent="0.35">
      <c r="A35" s="5" t="s">
        <v>20</v>
      </c>
      <c r="B35" s="8">
        <v>46935</v>
      </c>
      <c r="C35" s="34">
        <f>SUMIFS(Month_End!$D:$D,Month_End!$A:$A,B35,Month_End!$B:$B,A35)</f>
        <v>0</v>
      </c>
      <c r="D35" s="10">
        <f>SUMIFS(Transactions_PAC!$H:$H,Transactions_PAC!$B:$B,B35,Transactions_PAC!$C:$C,A35)</f>
        <v>640</v>
      </c>
      <c r="E35" s="10">
        <f>SUMIFS(Transactions_Manual!$E:$E,Transactions_Manual!$B:$B,B35,Transactions_Manual!$C:$C,A35)</f>
        <v>0</v>
      </c>
      <c r="F35" s="10">
        <f t="shared" si="0"/>
        <v>640</v>
      </c>
      <c r="G35" s="10">
        <f t="shared" si="1"/>
        <v>0</v>
      </c>
      <c r="H35" s="10" t="str">
        <f t="shared" si="2"/>
        <v/>
      </c>
      <c r="I35" s="28" t="str">
        <f t="shared" si="3"/>
        <v/>
      </c>
    </row>
    <row r="36" spans="1:9" x14ac:dyDescent="0.35">
      <c r="A36" s="5" t="s">
        <v>20</v>
      </c>
      <c r="B36" s="8">
        <v>46966</v>
      </c>
      <c r="C36" s="34">
        <f>SUMIFS(Month_End!$D:$D,Month_End!$A:$A,B36,Month_End!$B:$B,A36)</f>
        <v>0</v>
      </c>
      <c r="D36" s="10">
        <f>SUMIFS(Transactions_PAC!$H:$H,Transactions_PAC!$B:$B,B36,Transactions_PAC!$C:$C,A36)</f>
        <v>640</v>
      </c>
      <c r="E36" s="10">
        <f>SUMIFS(Transactions_Manual!$E:$E,Transactions_Manual!$B:$B,B36,Transactions_Manual!$C:$C,A36)</f>
        <v>0</v>
      </c>
      <c r="F36" s="10">
        <f t="shared" si="0"/>
        <v>640</v>
      </c>
      <c r="G36" s="10">
        <f t="shared" si="1"/>
        <v>0</v>
      </c>
      <c r="H36" s="10" t="str">
        <f t="shared" si="2"/>
        <v/>
      </c>
      <c r="I36" s="28" t="str">
        <f t="shared" si="3"/>
        <v/>
      </c>
    </row>
    <row r="37" spans="1:9" x14ac:dyDescent="0.35">
      <c r="A37" s="5" t="s">
        <v>20</v>
      </c>
      <c r="B37" s="8">
        <v>46997</v>
      </c>
      <c r="C37" s="34">
        <f>SUMIFS(Month_End!$D:$D,Month_End!$A:$A,B37,Month_End!$B:$B,A37)</f>
        <v>0</v>
      </c>
      <c r="D37" s="10">
        <f>SUMIFS(Transactions_PAC!$H:$H,Transactions_PAC!$B:$B,B37,Transactions_PAC!$C:$C,A37)</f>
        <v>640</v>
      </c>
      <c r="E37" s="10">
        <f>SUMIFS(Transactions_Manual!$E:$E,Transactions_Manual!$B:$B,B37,Transactions_Manual!$C:$C,A37)</f>
        <v>0</v>
      </c>
      <c r="F37" s="10">
        <f t="shared" si="0"/>
        <v>640</v>
      </c>
      <c r="G37" s="10">
        <f t="shared" si="1"/>
        <v>0</v>
      </c>
      <c r="H37" s="10" t="str">
        <f t="shared" si="2"/>
        <v/>
      </c>
      <c r="I37" s="28" t="str">
        <f t="shared" si="3"/>
        <v/>
      </c>
    </row>
    <row r="38" spans="1:9" x14ac:dyDescent="0.35">
      <c r="A38" s="5" t="s">
        <v>20</v>
      </c>
      <c r="B38" s="8">
        <v>47027</v>
      </c>
      <c r="C38" s="34">
        <f>SUMIFS(Month_End!$D:$D,Month_End!$A:$A,B38,Month_End!$B:$B,A38)</f>
        <v>0</v>
      </c>
      <c r="D38" s="10">
        <f>SUMIFS(Transactions_PAC!$H:$H,Transactions_PAC!$B:$B,B38,Transactions_PAC!$C:$C,A38)</f>
        <v>640</v>
      </c>
      <c r="E38" s="10">
        <f>SUMIFS(Transactions_Manual!$E:$E,Transactions_Manual!$B:$B,B38,Transactions_Manual!$C:$C,A38)</f>
        <v>0</v>
      </c>
      <c r="F38" s="10">
        <f t="shared" si="0"/>
        <v>640</v>
      </c>
      <c r="G38" s="10">
        <f t="shared" si="1"/>
        <v>0</v>
      </c>
      <c r="H38" s="10" t="str">
        <f t="shared" si="2"/>
        <v/>
      </c>
      <c r="I38" s="28" t="str">
        <f t="shared" si="3"/>
        <v/>
      </c>
    </row>
    <row r="39" spans="1:9" x14ac:dyDescent="0.35">
      <c r="A39" s="5" t="s">
        <v>20</v>
      </c>
      <c r="B39" s="8">
        <v>47058</v>
      </c>
      <c r="C39" s="34">
        <f>SUMIFS(Month_End!$D:$D,Month_End!$A:$A,B39,Month_End!$B:$B,A39)</f>
        <v>0</v>
      </c>
      <c r="D39" s="10">
        <f>SUMIFS(Transactions_PAC!$H:$H,Transactions_PAC!$B:$B,B39,Transactions_PAC!$C:$C,A39)</f>
        <v>640</v>
      </c>
      <c r="E39" s="10">
        <f>SUMIFS(Transactions_Manual!$E:$E,Transactions_Manual!$B:$B,B39,Transactions_Manual!$C:$C,A39)</f>
        <v>0</v>
      </c>
      <c r="F39" s="10">
        <f t="shared" si="0"/>
        <v>640</v>
      </c>
      <c r="G39" s="10">
        <f t="shared" si="1"/>
        <v>0</v>
      </c>
      <c r="H39" s="10" t="str">
        <f t="shared" si="2"/>
        <v/>
      </c>
      <c r="I39" s="28" t="str">
        <f t="shared" si="3"/>
        <v/>
      </c>
    </row>
    <row r="40" spans="1:9" x14ac:dyDescent="0.35">
      <c r="A40" s="5" t="s">
        <v>20</v>
      </c>
      <c r="B40" s="8">
        <v>47088</v>
      </c>
      <c r="C40" s="34">
        <f>SUMIFS(Month_End!$D:$D,Month_End!$A:$A,B40,Month_End!$B:$B,A40)</f>
        <v>0</v>
      </c>
      <c r="D40" s="10">
        <f>SUMIFS(Transactions_PAC!$H:$H,Transactions_PAC!$B:$B,B40,Transactions_PAC!$C:$C,A40)</f>
        <v>640</v>
      </c>
      <c r="E40" s="10">
        <f>SUMIFS(Transactions_Manual!$E:$E,Transactions_Manual!$B:$B,B40,Transactions_Manual!$C:$C,A40)</f>
        <v>0</v>
      </c>
      <c r="F40" s="10">
        <f t="shared" si="0"/>
        <v>640</v>
      </c>
      <c r="G40" s="10">
        <f t="shared" si="1"/>
        <v>0</v>
      </c>
      <c r="H40" s="10" t="str">
        <f t="shared" si="2"/>
        <v/>
      </c>
      <c r="I40" s="28" t="str">
        <f t="shared" si="3"/>
        <v/>
      </c>
    </row>
    <row r="41" spans="1:9" x14ac:dyDescent="0.35">
      <c r="A41" s="5" t="s">
        <v>25</v>
      </c>
      <c r="B41" s="8">
        <v>45931</v>
      </c>
      <c r="C41" s="34">
        <f>SUMIFS(Month_End!$D:$D,Month_End!$A:$A,B41,Month_End!$B:$B,A41)</f>
        <v>3265</v>
      </c>
      <c r="D41" s="10">
        <f>SUMIFS(Transactions_PAC!$H:$H,Transactions_PAC!$B:$B,B41,Transactions_PAC!$C:$C,A41)</f>
        <v>0</v>
      </c>
      <c r="E41" s="10">
        <f>SUMIFS(Transactions_Manual!$E:$E,Transactions_Manual!$B:$B,B41,Transactions_Manual!$C:$C,A41)</f>
        <v>101</v>
      </c>
      <c r="F41" s="10">
        <f t="shared" si="0"/>
        <v>101</v>
      </c>
      <c r="G41" s="10"/>
      <c r="H41" s="10" t="str">
        <f t="shared" si="2"/>
        <v/>
      </c>
      <c r="I41" s="28" t="str">
        <f t="shared" si="3"/>
        <v/>
      </c>
    </row>
    <row r="42" spans="1:9" x14ac:dyDescent="0.35">
      <c r="A42" s="5" t="s">
        <v>25</v>
      </c>
      <c r="B42" s="8">
        <v>45962</v>
      </c>
      <c r="C42" s="34">
        <f>SUMIFS(Month_End!$D:$D,Month_End!$A:$A,B42,Month_End!$B:$B,A42)</f>
        <v>3177</v>
      </c>
      <c r="D42" s="10">
        <f>SUMIFS(Transactions_PAC!$H:$H,Transactions_PAC!$B:$B,B42,Transactions_PAC!$C:$C,A42)</f>
        <v>0</v>
      </c>
      <c r="E42" s="10">
        <f>SUMIFS(Transactions_Manual!$E:$E,Transactions_Manual!$B:$B,B42,Transactions_Manual!$C:$C,A42)</f>
        <v>0</v>
      </c>
      <c r="F42" s="10">
        <f t="shared" si="0"/>
        <v>0</v>
      </c>
      <c r="G42" s="10">
        <f t="shared" ref="G42:G79" si="4">C41</f>
        <v>3265</v>
      </c>
      <c r="H42" s="10">
        <f t="shared" si="2"/>
        <v>-88</v>
      </c>
      <c r="I42" s="28">
        <f t="shared" si="3"/>
        <v>-2.6952526799387443E-2</v>
      </c>
    </row>
    <row r="43" spans="1:9" x14ac:dyDescent="0.35">
      <c r="A43" s="5" t="s">
        <v>25</v>
      </c>
      <c r="B43" s="8">
        <v>45992</v>
      </c>
      <c r="C43" s="34">
        <f>SUMIFS(Month_End!$D:$D,Month_End!$A:$A,B43,Month_End!$B:$B,A43)</f>
        <v>3256</v>
      </c>
      <c r="D43" s="10">
        <f>SUMIFS(Transactions_PAC!$H:$H,Transactions_PAC!$B:$B,B43,Transactions_PAC!$C:$C,A43)</f>
        <v>0</v>
      </c>
      <c r="E43" s="10">
        <f>SUMIFS(Transactions_Manual!$E:$E,Transactions_Manual!$B:$B,B43,Transactions_Manual!$C:$C,A43)</f>
        <v>0</v>
      </c>
      <c r="F43" s="10">
        <f t="shared" si="0"/>
        <v>0</v>
      </c>
      <c r="G43" s="10">
        <f t="shared" si="4"/>
        <v>3177</v>
      </c>
      <c r="H43" s="10">
        <f t="shared" si="2"/>
        <v>79</v>
      </c>
      <c r="I43" s="28">
        <f t="shared" si="3"/>
        <v>2.4866225999370474E-2</v>
      </c>
    </row>
    <row r="44" spans="1:9" x14ac:dyDescent="0.35">
      <c r="A44" s="5" t="s">
        <v>25</v>
      </c>
      <c r="B44" s="8">
        <v>46023</v>
      </c>
      <c r="C44" s="34">
        <f>SUMIFS(Month_End!$D:$D,Month_End!$A:$A,B44,Month_End!$B:$B,A44)</f>
        <v>3215</v>
      </c>
      <c r="D44" s="10">
        <f>SUMIFS(Transactions_PAC!$H:$H,Transactions_PAC!$B:$B,B44,Transactions_PAC!$C:$C,A44)</f>
        <v>0</v>
      </c>
      <c r="E44" s="10">
        <f>SUMIFS(Transactions_Manual!$E:$E,Transactions_Manual!$B:$B,B44,Transactions_Manual!$C:$C,A44)</f>
        <v>0</v>
      </c>
      <c r="F44" s="10">
        <f t="shared" si="0"/>
        <v>0</v>
      </c>
      <c r="G44" s="10">
        <f t="shared" si="4"/>
        <v>3256</v>
      </c>
      <c r="H44" s="10">
        <f t="shared" si="2"/>
        <v>-41</v>
      </c>
      <c r="I44" s="28">
        <f t="shared" si="3"/>
        <v>-1.2592137592137592E-2</v>
      </c>
    </row>
    <row r="45" spans="1:9" x14ac:dyDescent="0.35">
      <c r="A45" s="5" t="s">
        <v>25</v>
      </c>
      <c r="B45" s="8">
        <v>46054</v>
      </c>
      <c r="C45" s="34">
        <f>SUMIFS(Month_End!$D:$D,Month_End!$A:$A,B45,Month_End!$B:$B,A45)</f>
        <v>3108</v>
      </c>
      <c r="D45" s="10">
        <f>SUMIFS(Transactions_PAC!$H:$H,Transactions_PAC!$B:$B,B45,Transactions_PAC!$C:$C,A45)</f>
        <v>0</v>
      </c>
      <c r="E45" s="10">
        <f>SUMIFS(Transactions_Manual!$E:$E,Transactions_Manual!$B:$B,B45,Transactions_Manual!$C:$C,A45)</f>
        <v>0</v>
      </c>
      <c r="F45" s="10">
        <f t="shared" si="0"/>
        <v>0</v>
      </c>
      <c r="G45" s="10">
        <f t="shared" si="4"/>
        <v>3215</v>
      </c>
      <c r="H45" s="10">
        <f t="shared" si="2"/>
        <v>-107</v>
      </c>
      <c r="I45" s="28">
        <f t="shared" si="3"/>
        <v>-3.328149300155521E-2</v>
      </c>
    </row>
    <row r="46" spans="1:9" x14ac:dyDescent="0.35">
      <c r="A46" s="5" t="s">
        <v>25</v>
      </c>
      <c r="B46" s="8">
        <v>46082</v>
      </c>
      <c r="C46" s="34">
        <f>SUMIFS(Month_End!$D:$D,Month_End!$A:$A,B46,Month_End!$B:$B,A46)</f>
        <v>2970</v>
      </c>
      <c r="D46" s="10">
        <f>SUMIFS(Transactions_PAC!$H:$H,Transactions_PAC!$B:$B,B46,Transactions_PAC!$C:$C,A46)</f>
        <v>0</v>
      </c>
      <c r="E46" s="10">
        <f>SUMIFS(Transactions_Manual!$E:$E,Transactions_Manual!$B:$B,B46,Transactions_Manual!$C:$C,A46)</f>
        <v>0</v>
      </c>
      <c r="F46" s="10">
        <f t="shared" si="0"/>
        <v>0</v>
      </c>
      <c r="G46" s="10">
        <f t="shared" si="4"/>
        <v>3108</v>
      </c>
      <c r="H46" s="10">
        <f t="shared" si="2"/>
        <v>-138</v>
      </c>
      <c r="I46" s="28">
        <f t="shared" si="3"/>
        <v>-4.4401544401544403E-2</v>
      </c>
    </row>
    <row r="47" spans="1:9" x14ac:dyDescent="0.35">
      <c r="A47" s="5" t="s">
        <v>25</v>
      </c>
      <c r="B47" s="8">
        <v>46113</v>
      </c>
      <c r="C47" s="34">
        <f>SUMIFS(Month_End!$D:$D,Month_End!$A:$A,B47,Month_End!$B:$B,A47)</f>
        <v>0</v>
      </c>
      <c r="D47" s="10">
        <f>SUMIFS(Transactions_PAC!$H:$H,Transactions_PAC!$B:$B,B47,Transactions_PAC!$C:$C,A47)</f>
        <v>160</v>
      </c>
      <c r="E47" s="10">
        <f>SUMIFS(Transactions_Manual!$E:$E,Transactions_Manual!$B:$B,B47,Transactions_Manual!$C:$C,A47)</f>
        <v>0</v>
      </c>
      <c r="F47" s="10">
        <f t="shared" si="0"/>
        <v>160</v>
      </c>
      <c r="G47" s="10">
        <f t="shared" si="4"/>
        <v>2970</v>
      </c>
      <c r="H47" s="10" t="str">
        <f t="shared" si="2"/>
        <v/>
      </c>
      <c r="I47" s="28" t="str">
        <f t="shared" si="3"/>
        <v/>
      </c>
    </row>
    <row r="48" spans="1:9" x14ac:dyDescent="0.35">
      <c r="A48" s="5" t="s">
        <v>25</v>
      </c>
      <c r="B48" s="8">
        <v>46143</v>
      </c>
      <c r="C48" s="34">
        <f>SUMIFS(Month_End!$D:$D,Month_End!$A:$A,B48,Month_End!$B:$B,A48)</f>
        <v>0</v>
      </c>
      <c r="D48" s="10">
        <f>SUMIFS(Transactions_PAC!$H:$H,Transactions_PAC!$B:$B,B48,Transactions_PAC!$C:$C,A48)</f>
        <v>160</v>
      </c>
      <c r="E48" s="10">
        <f>SUMIFS(Transactions_Manual!$E:$E,Transactions_Manual!$B:$B,B48,Transactions_Manual!$C:$C,A48)</f>
        <v>0</v>
      </c>
      <c r="F48" s="10">
        <f t="shared" si="0"/>
        <v>160</v>
      </c>
      <c r="G48" s="10">
        <f t="shared" si="4"/>
        <v>0</v>
      </c>
      <c r="H48" s="10" t="str">
        <f t="shared" si="2"/>
        <v/>
      </c>
      <c r="I48" s="28" t="str">
        <f t="shared" si="3"/>
        <v/>
      </c>
    </row>
    <row r="49" spans="1:9" x14ac:dyDescent="0.35">
      <c r="A49" s="5" t="s">
        <v>25</v>
      </c>
      <c r="B49" s="8">
        <v>46174</v>
      </c>
      <c r="C49" s="34">
        <f>SUMIFS(Month_End!$D:$D,Month_End!$A:$A,B49,Month_End!$B:$B,A49)</f>
        <v>0</v>
      </c>
      <c r="D49" s="10">
        <f>SUMIFS(Transactions_PAC!$H:$H,Transactions_PAC!$B:$B,B49,Transactions_PAC!$C:$C,A49)</f>
        <v>160</v>
      </c>
      <c r="E49" s="10">
        <f>SUMIFS(Transactions_Manual!$E:$E,Transactions_Manual!$B:$B,B49,Transactions_Manual!$C:$C,A49)</f>
        <v>0</v>
      </c>
      <c r="F49" s="10">
        <f t="shared" si="0"/>
        <v>160</v>
      </c>
      <c r="G49" s="10">
        <f t="shared" si="4"/>
        <v>0</v>
      </c>
      <c r="H49" s="10" t="str">
        <f t="shared" si="2"/>
        <v/>
      </c>
      <c r="I49" s="28" t="str">
        <f t="shared" si="3"/>
        <v/>
      </c>
    </row>
    <row r="50" spans="1:9" x14ac:dyDescent="0.35">
      <c r="A50" s="5" t="s">
        <v>25</v>
      </c>
      <c r="B50" s="8">
        <v>46204</v>
      </c>
      <c r="C50" s="34">
        <f>SUMIFS(Month_End!$D:$D,Month_End!$A:$A,B50,Month_End!$B:$B,A50)</f>
        <v>0</v>
      </c>
      <c r="D50" s="10">
        <f>SUMIFS(Transactions_PAC!$H:$H,Transactions_PAC!$B:$B,B50,Transactions_PAC!$C:$C,A50)</f>
        <v>160</v>
      </c>
      <c r="E50" s="10">
        <f>SUMIFS(Transactions_Manual!$E:$E,Transactions_Manual!$B:$B,B50,Transactions_Manual!$C:$C,A50)</f>
        <v>0</v>
      </c>
      <c r="F50" s="10">
        <f t="shared" si="0"/>
        <v>160</v>
      </c>
      <c r="G50" s="10">
        <f t="shared" si="4"/>
        <v>0</v>
      </c>
      <c r="H50" s="10" t="str">
        <f t="shared" si="2"/>
        <v/>
      </c>
      <c r="I50" s="28" t="str">
        <f t="shared" si="3"/>
        <v/>
      </c>
    </row>
    <row r="51" spans="1:9" x14ac:dyDescent="0.35">
      <c r="A51" s="5" t="s">
        <v>25</v>
      </c>
      <c r="B51" s="8">
        <v>46235</v>
      </c>
      <c r="C51" s="34">
        <f>SUMIFS(Month_End!$D:$D,Month_End!$A:$A,B51,Month_End!$B:$B,A51)</f>
        <v>0</v>
      </c>
      <c r="D51" s="10">
        <f>SUMIFS(Transactions_PAC!$H:$H,Transactions_PAC!$B:$B,B51,Transactions_PAC!$C:$C,A51)</f>
        <v>160</v>
      </c>
      <c r="E51" s="10">
        <f>SUMIFS(Transactions_Manual!$E:$E,Transactions_Manual!$B:$B,B51,Transactions_Manual!$C:$C,A51)</f>
        <v>0</v>
      </c>
      <c r="F51" s="10">
        <f t="shared" si="0"/>
        <v>160</v>
      </c>
      <c r="G51" s="10">
        <f t="shared" si="4"/>
        <v>0</v>
      </c>
      <c r="H51" s="10" t="str">
        <f t="shared" si="2"/>
        <v/>
      </c>
      <c r="I51" s="28" t="str">
        <f t="shared" si="3"/>
        <v/>
      </c>
    </row>
    <row r="52" spans="1:9" x14ac:dyDescent="0.35">
      <c r="A52" s="5" t="s">
        <v>25</v>
      </c>
      <c r="B52" s="8">
        <v>46266</v>
      </c>
      <c r="C52" s="34">
        <f>SUMIFS(Month_End!$D:$D,Month_End!$A:$A,B52,Month_End!$B:$B,A52)</f>
        <v>0</v>
      </c>
      <c r="D52" s="10">
        <f>SUMIFS(Transactions_PAC!$H:$H,Transactions_PAC!$B:$B,B52,Transactions_PAC!$C:$C,A52)</f>
        <v>160</v>
      </c>
      <c r="E52" s="10">
        <f>SUMIFS(Transactions_Manual!$E:$E,Transactions_Manual!$B:$B,B52,Transactions_Manual!$C:$C,A52)</f>
        <v>0</v>
      </c>
      <c r="F52" s="10">
        <f t="shared" si="0"/>
        <v>160</v>
      </c>
      <c r="G52" s="10">
        <f t="shared" si="4"/>
        <v>0</v>
      </c>
      <c r="H52" s="10" t="str">
        <f t="shared" si="2"/>
        <v/>
      </c>
      <c r="I52" s="28" t="str">
        <f t="shared" si="3"/>
        <v/>
      </c>
    </row>
    <row r="53" spans="1:9" x14ac:dyDescent="0.35">
      <c r="A53" s="5" t="s">
        <v>25</v>
      </c>
      <c r="B53" s="8">
        <v>46296</v>
      </c>
      <c r="C53" s="34">
        <f>SUMIFS(Month_End!$D:$D,Month_End!$A:$A,B53,Month_End!$B:$B,A53)</f>
        <v>0</v>
      </c>
      <c r="D53" s="10">
        <f>SUMIFS(Transactions_PAC!$H:$H,Transactions_PAC!$B:$B,B53,Transactions_PAC!$C:$C,A53)</f>
        <v>160</v>
      </c>
      <c r="E53" s="10">
        <f>SUMIFS(Transactions_Manual!$E:$E,Transactions_Manual!$B:$B,B53,Transactions_Manual!$C:$C,A53)</f>
        <v>0</v>
      </c>
      <c r="F53" s="10">
        <f t="shared" si="0"/>
        <v>160</v>
      </c>
      <c r="G53" s="10">
        <f t="shared" si="4"/>
        <v>0</v>
      </c>
      <c r="H53" s="10" t="str">
        <f t="shared" si="2"/>
        <v/>
      </c>
      <c r="I53" s="28" t="str">
        <f t="shared" si="3"/>
        <v/>
      </c>
    </row>
    <row r="54" spans="1:9" x14ac:dyDescent="0.35">
      <c r="A54" s="5" t="s">
        <v>25</v>
      </c>
      <c r="B54" s="8">
        <v>46327</v>
      </c>
      <c r="C54" s="34">
        <f>SUMIFS(Month_End!$D:$D,Month_End!$A:$A,B54,Month_End!$B:$B,A54)</f>
        <v>0</v>
      </c>
      <c r="D54" s="10">
        <f>SUMIFS(Transactions_PAC!$H:$H,Transactions_PAC!$B:$B,B54,Transactions_PAC!$C:$C,A54)</f>
        <v>160</v>
      </c>
      <c r="E54" s="10">
        <f>SUMIFS(Transactions_Manual!$E:$E,Transactions_Manual!$B:$B,B54,Transactions_Manual!$C:$C,A54)</f>
        <v>0</v>
      </c>
      <c r="F54" s="10">
        <f t="shared" si="0"/>
        <v>160</v>
      </c>
      <c r="G54" s="10">
        <f t="shared" si="4"/>
        <v>0</v>
      </c>
      <c r="H54" s="10" t="str">
        <f t="shared" si="2"/>
        <v/>
      </c>
      <c r="I54" s="28" t="str">
        <f t="shared" si="3"/>
        <v/>
      </c>
    </row>
    <row r="55" spans="1:9" x14ac:dyDescent="0.35">
      <c r="A55" s="5" t="s">
        <v>25</v>
      </c>
      <c r="B55" s="8">
        <v>46357</v>
      </c>
      <c r="C55" s="34">
        <f>SUMIFS(Month_End!$D:$D,Month_End!$A:$A,B55,Month_End!$B:$B,A55)</f>
        <v>0</v>
      </c>
      <c r="D55" s="10">
        <f>SUMIFS(Transactions_PAC!$H:$H,Transactions_PAC!$B:$B,B55,Transactions_PAC!$C:$C,A55)</f>
        <v>160</v>
      </c>
      <c r="E55" s="10">
        <f>SUMIFS(Transactions_Manual!$E:$E,Transactions_Manual!$B:$B,B55,Transactions_Manual!$C:$C,A55)</f>
        <v>0</v>
      </c>
      <c r="F55" s="10">
        <f t="shared" si="0"/>
        <v>160</v>
      </c>
      <c r="G55" s="10">
        <f t="shared" si="4"/>
        <v>0</v>
      </c>
      <c r="H55" s="10" t="str">
        <f t="shared" si="2"/>
        <v/>
      </c>
      <c r="I55" s="28" t="str">
        <f t="shared" si="3"/>
        <v/>
      </c>
    </row>
    <row r="56" spans="1:9" x14ac:dyDescent="0.35">
      <c r="A56" s="5" t="s">
        <v>25</v>
      </c>
      <c r="B56" s="8">
        <v>46388</v>
      </c>
      <c r="C56" s="34">
        <f>SUMIFS(Month_End!$D:$D,Month_End!$A:$A,B56,Month_End!$B:$B,A56)</f>
        <v>0</v>
      </c>
      <c r="D56" s="10">
        <f>SUMIFS(Transactions_PAC!$H:$H,Transactions_PAC!$B:$B,B56,Transactions_PAC!$C:$C,A56)</f>
        <v>160</v>
      </c>
      <c r="E56" s="10">
        <f>SUMIFS(Transactions_Manual!$E:$E,Transactions_Manual!$B:$B,B56,Transactions_Manual!$C:$C,A56)</f>
        <v>0</v>
      </c>
      <c r="F56" s="10">
        <f t="shared" si="0"/>
        <v>160</v>
      </c>
      <c r="G56" s="10">
        <f t="shared" si="4"/>
        <v>0</v>
      </c>
      <c r="H56" s="10" t="str">
        <f t="shared" si="2"/>
        <v/>
      </c>
      <c r="I56" s="28" t="str">
        <f t="shared" si="3"/>
        <v/>
      </c>
    </row>
    <row r="57" spans="1:9" x14ac:dyDescent="0.35">
      <c r="A57" s="5" t="s">
        <v>25</v>
      </c>
      <c r="B57" s="8">
        <v>46419</v>
      </c>
      <c r="C57" s="34">
        <f>SUMIFS(Month_End!$D:$D,Month_End!$A:$A,B57,Month_End!$B:$B,A57)</f>
        <v>0</v>
      </c>
      <c r="D57" s="10">
        <f>SUMIFS(Transactions_PAC!$H:$H,Transactions_PAC!$B:$B,B57,Transactions_PAC!$C:$C,A57)</f>
        <v>160</v>
      </c>
      <c r="E57" s="10">
        <f>SUMIFS(Transactions_Manual!$E:$E,Transactions_Manual!$B:$B,B57,Transactions_Manual!$C:$C,A57)</f>
        <v>0</v>
      </c>
      <c r="F57" s="10">
        <f t="shared" si="0"/>
        <v>160</v>
      </c>
      <c r="G57" s="10">
        <f t="shared" si="4"/>
        <v>0</v>
      </c>
      <c r="H57" s="10" t="str">
        <f t="shared" si="2"/>
        <v/>
      </c>
      <c r="I57" s="28" t="str">
        <f t="shared" si="3"/>
        <v/>
      </c>
    </row>
    <row r="58" spans="1:9" x14ac:dyDescent="0.35">
      <c r="A58" s="5" t="s">
        <v>25</v>
      </c>
      <c r="B58" s="8">
        <v>46447</v>
      </c>
      <c r="C58" s="34">
        <f>SUMIFS(Month_End!$D:$D,Month_End!$A:$A,B58,Month_End!$B:$B,A58)</f>
        <v>0</v>
      </c>
      <c r="D58" s="10">
        <f>SUMIFS(Transactions_PAC!$H:$H,Transactions_PAC!$B:$B,B58,Transactions_PAC!$C:$C,A58)</f>
        <v>160</v>
      </c>
      <c r="E58" s="10">
        <f>SUMIFS(Transactions_Manual!$E:$E,Transactions_Manual!$B:$B,B58,Transactions_Manual!$C:$C,A58)</f>
        <v>0</v>
      </c>
      <c r="F58" s="10">
        <f t="shared" si="0"/>
        <v>160</v>
      </c>
      <c r="G58" s="10">
        <f t="shared" si="4"/>
        <v>0</v>
      </c>
      <c r="H58" s="10" t="str">
        <f t="shared" si="2"/>
        <v/>
      </c>
      <c r="I58" s="28" t="str">
        <f t="shared" si="3"/>
        <v/>
      </c>
    </row>
    <row r="59" spans="1:9" x14ac:dyDescent="0.35">
      <c r="A59" s="5" t="s">
        <v>25</v>
      </c>
      <c r="B59" s="8">
        <v>46478</v>
      </c>
      <c r="C59" s="34">
        <f>SUMIFS(Month_End!$D:$D,Month_End!$A:$A,B59,Month_End!$B:$B,A59)</f>
        <v>0</v>
      </c>
      <c r="D59" s="10">
        <f>SUMIFS(Transactions_PAC!$H:$H,Transactions_PAC!$B:$B,B59,Transactions_PAC!$C:$C,A59)</f>
        <v>160</v>
      </c>
      <c r="E59" s="10">
        <f>SUMIFS(Transactions_Manual!$E:$E,Transactions_Manual!$B:$B,B59,Transactions_Manual!$C:$C,A59)</f>
        <v>0</v>
      </c>
      <c r="F59" s="10">
        <f t="shared" si="0"/>
        <v>160</v>
      </c>
      <c r="G59" s="10">
        <f t="shared" si="4"/>
        <v>0</v>
      </c>
      <c r="H59" s="10" t="str">
        <f t="shared" si="2"/>
        <v/>
      </c>
      <c r="I59" s="28" t="str">
        <f t="shared" si="3"/>
        <v/>
      </c>
    </row>
    <row r="60" spans="1:9" x14ac:dyDescent="0.35">
      <c r="A60" s="5" t="s">
        <v>25</v>
      </c>
      <c r="B60" s="8">
        <v>46508</v>
      </c>
      <c r="C60" s="34">
        <f>SUMIFS(Month_End!$D:$D,Month_End!$A:$A,B60,Month_End!$B:$B,A60)</f>
        <v>0</v>
      </c>
      <c r="D60" s="10">
        <f>SUMIFS(Transactions_PAC!$H:$H,Transactions_PAC!$B:$B,B60,Transactions_PAC!$C:$C,A60)</f>
        <v>160</v>
      </c>
      <c r="E60" s="10">
        <f>SUMIFS(Transactions_Manual!$E:$E,Transactions_Manual!$B:$B,B60,Transactions_Manual!$C:$C,A60)</f>
        <v>0</v>
      </c>
      <c r="F60" s="10">
        <f t="shared" si="0"/>
        <v>160</v>
      </c>
      <c r="G60" s="10">
        <f t="shared" si="4"/>
        <v>0</v>
      </c>
      <c r="H60" s="10" t="str">
        <f t="shared" si="2"/>
        <v/>
      </c>
      <c r="I60" s="28" t="str">
        <f t="shared" si="3"/>
        <v/>
      </c>
    </row>
    <row r="61" spans="1:9" x14ac:dyDescent="0.35">
      <c r="A61" s="5" t="s">
        <v>25</v>
      </c>
      <c r="B61" s="8">
        <v>46539</v>
      </c>
      <c r="C61" s="34">
        <f>SUMIFS(Month_End!$D:$D,Month_End!$A:$A,B61,Month_End!$B:$B,A61)</f>
        <v>0</v>
      </c>
      <c r="D61" s="10">
        <f>SUMIFS(Transactions_PAC!$H:$H,Transactions_PAC!$B:$B,B61,Transactions_PAC!$C:$C,A61)</f>
        <v>160</v>
      </c>
      <c r="E61" s="10">
        <f>SUMIFS(Transactions_Manual!$E:$E,Transactions_Manual!$B:$B,B61,Transactions_Manual!$C:$C,A61)</f>
        <v>0</v>
      </c>
      <c r="F61" s="10">
        <f t="shared" si="0"/>
        <v>160</v>
      </c>
      <c r="G61" s="10">
        <f t="shared" si="4"/>
        <v>0</v>
      </c>
      <c r="H61" s="10" t="str">
        <f t="shared" si="2"/>
        <v/>
      </c>
      <c r="I61" s="28" t="str">
        <f t="shared" si="3"/>
        <v/>
      </c>
    </row>
    <row r="62" spans="1:9" x14ac:dyDescent="0.35">
      <c r="A62" s="5" t="s">
        <v>25</v>
      </c>
      <c r="B62" s="8">
        <v>46569</v>
      </c>
      <c r="C62" s="34">
        <f>SUMIFS(Month_End!$D:$D,Month_End!$A:$A,B62,Month_End!$B:$B,A62)</f>
        <v>0</v>
      </c>
      <c r="D62" s="10">
        <f>SUMIFS(Transactions_PAC!$H:$H,Transactions_PAC!$B:$B,B62,Transactions_PAC!$C:$C,A62)</f>
        <v>160</v>
      </c>
      <c r="E62" s="10">
        <f>SUMIFS(Transactions_Manual!$E:$E,Transactions_Manual!$B:$B,B62,Transactions_Manual!$C:$C,A62)</f>
        <v>0</v>
      </c>
      <c r="F62" s="10">
        <f t="shared" si="0"/>
        <v>160</v>
      </c>
      <c r="G62" s="10">
        <f t="shared" si="4"/>
        <v>0</v>
      </c>
      <c r="H62" s="10" t="str">
        <f t="shared" si="2"/>
        <v/>
      </c>
      <c r="I62" s="28" t="str">
        <f t="shared" si="3"/>
        <v/>
      </c>
    </row>
    <row r="63" spans="1:9" x14ac:dyDescent="0.35">
      <c r="A63" s="5" t="s">
        <v>25</v>
      </c>
      <c r="B63" s="8">
        <v>46600</v>
      </c>
      <c r="C63" s="34">
        <f>SUMIFS(Month_End!$D:$D,Month_End!$A:$A,B63,Month_End!$B:$B,A63)</f>
        <v>0</v>
      </c>
      <c r="D63" s="10">
        <f>SUMIFS(Transactions_PAC!$H:$H,Transactions_PAC!$B:$B,B63,Transactions_PAC!$C:$C,A63)</f>
        <v>160</v>
      </c>
      <c r="E63" s="10">
        <f>SUMIFS(Transactions_Manual!$E:$E,Transactions_Manual!$B:$B,B63,Transactions_Manual!$C:$C,A63)</f>
        <v>0</v>
      </c>
      <c r="F63" s="10">
        <f t="shared" si="0"/>
        <v>160</v>
      </c>
      <c r="G63" s="10">
        <f t="shared" si="4"/>
        <v>0</v>
      </c>
      <c r="H63" s="10" t="str">
        <f t="shared" si="2"/>
        <v/>
      </c>
      <c r="I63" s="28" t="str">
        <f t="shared" si="3"/>
        <v/>
      </c>
    </row>
    <row r="64" spans="1:9" x14ac:dyDescent="0.35">
      <c r="A64" s="5" t="s">
        <v>25</v>
      </c>
      <c r="B64" s="8">
        <v>46631</v>
      </c>
      <c r="C64" s="34">
        <f>SUMIFS(Month_End!$D:$D,Month_End!$A:$A,B64,Month_End!$B:$B,A64)</f>
        <v>0</v>
      </c>
      <c r="D64" s="10">
        <f>SUMIFS(Transactions_PAC!$H:$H,Transactions_PAC!$B:$B,B64,Transactions_PAC!$C:$C,A64)</f>
        <v>160</v>
      </c>
      <c r="E64" s="10">
        <f>SUMIFS(Transactions_Manual!$E:$E,Transactions_Manual!$B:$B,B64,Transactions_Manual!$C:$C,A64)</f>
        <v>0</v>
      </c>
      <c r="F64" s="10">
        <f t="shared" si="0"/>
        <v>160</v>
      </c>
      <c r="G64" s="10">
        <f t="shared" si="4"/>
        <v>0</v>
      </c>
      <c r="H64" s="10" t="str">
        <f t="shared" si="2"/>
        <v/>
      </c>
      <c r="I64" s="28" t="str">
        <f t="shared" si="3"/>
        <v/>
      </c>
    </row>
    <row r="65" spans="1:9" x14ac:dyDescent="0.35">
      <c r="A65" s="5" t="s">
        <v>25</v>
      </c>
      <c r="B65" s="8">
        <v>46661</v>
      </c>
      <c r="C65" s="34">
        <f>SUMIFS(Month_End!$D:$D,Month_End!$A:$A,B65,Month_End!$B:$B,A65)</f>
        <v>0</v>
      </c>
      <c r="D65" s="10">
        <f>SUMIFS(Transactions_PAC!$H:$H,Transactions_PAC!$B:$B,B65,Transactions_PAC!$C:$C,A65)</f>
        <v>160</v>
      </c>
      <c r="E65" s="10">
        <f>SUMIFS(Transactions_Manual!$E:$E,Transactions_Manual!$B:$B,B65,Transactions_Manual!$C:$C,A65)</f>
        <v>0</v>
      </c>
      <c r="F65" s="10">
        <f t="shared" si="0"/>
        <v>160</v>
      </c>
      <c r="G65" s="10">
        <f t="shared" si="4"/>
        <v>0</v>
      </c>
      <c r="H65" s="10" t="str">
        <f t="shared" si="2"/>
        <v/>
      </c>
      <c r="I65" s="28" t="str">
        <f t="shared" si="3"/>
        <v/>
      </c>
    </row>
    <row r="66" spans="1:9" x14ac:dyDescent="0.35">
      <c r="A66" s="5" t="s">
        <v>25</v>
      </c>
      <c r="B66" s="8">
        <v>46692</v>
      </c>
      <c r="C66" s="34">
        <f>SUMIFS(Month_End!$D:$D,Month_End!$A:$A,B66,Month_End!$B:$B,A66)</f>
        <v>0</v>
      </c>
      <c r="D66" s="10">
        <f>SUMIFS(Transactions_PAC!$H:$H,Transactions_PAC!$B:$B,B66,Transactions_PAC!$C:$C,A66)</f>
        <v>160</v>
      </c>
      <c r="E66" s="10">
        <f>SUMIFS(Transactions_Manual!$E:$E,Transactions_Manual!$B:$B,B66,Transactions_Manual!$C:$C,A66)</f>
        <v>0</v>
      </c>
      <c r="F66" s="10">
        <f t="shared" ref="F66:F129" si="5">D66+E66</f>
        <v>160</v>
      </c>
      <c r="G66" s="10">
        <f t="shared" si="4"/>
        <v>0</v>
      </c>
      <c r="H66" s="10" t="str">
        <f t="shared" si="2"/>
        <v/>
      </c>
      <c r="I66" s="28" t="str">
        <f t="shared" si="3"/>
        <v/>
      </c>
    </row>
    <row r="67" spans="1:9" x14ac:dyDescent="0.35">
      <c r="A67" s="5" t="s">
        <v>25</v>
      </c>
      <c r="B67" s="8">
        <v>46722</v>
      </c>
      <c r="C67" s="34">
        <f>SUMIFS(Month_End!$D:$D,Month_End!$A:$A,B67,Month_End!$B:$B,A67)</f>
        <v>0</v>
      </c>
      <c r="D67" s="10">
        <f>SUMIFS(Transactions_PAC!$H:$H,Transactions_PAC!$B:$B,B67,Transactions_PAC!$C:$C,A67)</f>
        <v>160</v>
      </c>
      <c r="E67" s="10">
        <f>SUMIFS(Transactions_Manual!$E:$E,Transactions_Manual!$B:$B,B67,Transactions_Manual!$C:$C,A67)</f>
        <v>0</v>
      </c>
      <c r="F67" s="10">
        <f t="shared" si="5"/>
        <v>160</v>
      </c>
      <c r="G67" s="10">
        <f t="shared" si="4"/>
        <v>0</v>
      </c>
      <c r="H67" s="10" t="str">
        <f t="shared" ref="H67:H130" si="6">IF(OR(C67=0,G67=0),"",C67-G67-F67)</f>
        <v/>
      </c>
      <c r="I67" s="28" t="str">
        <f t="shared" ref="I67:I130" si="7">IF(OR(C67=0,G67=0,H67=0),"",H67/(G67+F67/2))</f>
        <v/>
      </c>
    </row>
    <row r="68" spans="1:9" x14ac:dyDescent="0.35">
      <c r="A68" s="5" t="s">
        <v>25</v>
      </c>
      <c r="B68" s="8">
        <v>46753</v>
      </c>
      <c r="C68" s="34">
        <f>SUMIFS(Month_End!$D:$D,Month_End!$A:$A,B68,Month_End!$B:$B,A68)</f>
        <v>0</v>
      </c>
      <c r="D68" s="10">
        <f>SUMIFS(Transactions_PAC!$H:$H,Transactions_PAC!$B:$B,B68,Transactions_PAC!$C:$C,A68)</f>
        <v>160</v>
      </c>
      <c r="E68" s="10">
        <f>SUMIFS(Transactions_Manual!$E:$E,Transactions_Manual!$B:$B,B68,Transactions_Manual!$C:$C,A68)</f>
        <v>0</v>
      </c>
      <c r="F68" s="10">
        <f t="shared" si="5"/>
        <v>160</v>
      </c>
      <c r="G68" s="10">
        <f t="shared" si="4"/>
        <v>0</v>
      </c>
      <c r="H68" s="10" t="str">
        <f t="shared" si="6"/>
        <v/>
      </c>
      <c r="I68" s="28" t="str">
        <f t="shared" si="7"/>
        <v/>
      </c>
    </row>
    <row r="69" spans="1:9" x14ac:dyDescent="0.35">
      <c r="A69" s="5" t="s">
        <v>25</v>
      </c>
      <c r="B69" s="8">
        <v>46784</v>
      </c>
      <c r="C69" s="34">
        <f>SUMIFS(Month_End!$D:$D,Month_End!$A:$A,B69,Month_End!$B:$B,A69)</f>
        <v>0</v>
      </c>
      <c r="D69" s="10">
        <f>SUMIFS(Transactions_PAC!$H:$H,Transactions_PAC!$B:$B,B69,Transactions_PAC!$C:$C,A69)</f>
        <v>160</v>
      </c>
      <c r="E69" s="10">
        <f>SUMIFS(Transactions_Manual!$E:$E,Transactions_Manual!$B:$B,B69,Transactions_Manual!$C:$C,A69)</f>
        <v>0</v>
      </c>
      <c r="F69" s="10">
        <f t="shared" si="5"/>
        <v>160</v>
      </c>
      <c r="G69" s="10">
        <f t="shared" si="4"/>
        <v>0</v>
      </c>
      <c r="H69" s="10" t="str">
        <f t="shared" si="6"/>
        <v/>
      </c>
      <c r="I69" s="28" t="str">
        <f t="shared" si="7"/>
        <v/>
      </c>
    </row>
    <row r="70" spans="1:9" x14ac:dyDescent="0.35">
      <c r="A70" s="5" t="s">
        <v>25</v>
      </c>
      <c r="B70" s="8">
        <v>46813</v>
      </c>
      <c r="C70" s="34">
        <f>SUMIFS(Month_End!$D:$D,Month_End!$A:$A,B70,Month_End!$B:$B,A70)</f>
        <v>0</v>
      </c>
      <c r="D70" s="10">
        <f>SUMIFS(Transactions_PAC!$H:$H,Transactions_PAC!$B:$B,B70,Transactions_PAC!$C:$C,A70)</f>
        <v>160</v>
      </c>
      <c r="E70" s="10">
        <f>SUMIFS(Transactions_Manual!$E:$E,Transactions_Manual!$B:$B,B70,Transactions_Manual!$C:$C,A70)</f>
        <v>0</v>
      </c>
      <c r="F70" s="10">
        <f t="shared" si="5"/>
        <v>160</v>
      </c>
      <c r="G70" s="10">
        <f t="shared" si="4"/>
        <v>0</v>
      </c>
      <c r="H70" s="10" t="str">
        <f t="shared" si="6"/>
        <v/>
      </c>
      <c r="I70" s="28" t="str">
        <f t="shared" si="7"/>
        <v/>
      </c>
    </row>
    <row r="71" spans="1:9" x14ac:dyDescent="0.35">
      <c r="A71" s="5" t="s">
        <v>25</v>
      </c>
      <c r="B71" s="8">
        <v>46844</v>
      </c>
      <c r="C71" s="34">
        <f>SUMIFS(Month_End!$D:$D,Month_End!$A:$A,B71,Month_End!$B:$B,A71)</f>
        <v>0</v>
      </c>
      <c r="D71" s="10">
        <f>SUMIFS(Transactions_PAC!$H:$H,Transactions_PAC!$B:$B,B71,Transactions_PAC!$C:$C,A71)</f>
        <v>160</v>
      </c>
      <c r="E71" s="10">
        <f>SUMIFS(Transactions_Manual!$E:$E,Transactions_Manual!$B:$B,B71,Transactions_Manual!$C:$C,A71)</f>
        <v>0</v>
      </c>
      <c r="F71" s="10">
        <f t="shared" si="5"/>
        <v>160</v>
      </c>
      <c r="G71" s="10">
        <f t="shared" si="4"/>
        <v>0</v>
      </c>
      <c r="H71" s="10" t="str">
        <f t="shared" si="6"/>
        <v/>
      </c>
      <c r="I71" s="28" t="str">
        <f t="shared" si="7"/>
        <v/>
      </c>
    </row>
    <row r="72" spans="1:9" x14ac:dyDescent="0.35">
      <c r="A72" s="5" t="s">
        <v>25</v>
      </c>
      <c r="B72" s="8">
        <v>46874</v>
      </c>
      <c r="C72" s="34">
        <f>SUMIFS(Month_End!$D:$D,Month_End!$A:$A,B72,Month_End!$B:$B,A72)</f>
        <v>0</v>
      </c>
      <c r="D72" s="10">
        <f>SUMIFS(Transactions_PAC!$H:$H,Transactions_PAC!$B:$B,B72,Transactions_PAC!$C:$C,A72)</f>
        <v>160</v>
      </c>
      <c r="E72" s="10">
        <f>SUMIFS(Transactions_Manual!$E:$E,Transactions_Manual!$B:$B,B72,Transactions_Manual!$C:$C,A72)</f>
        <v>0</v>
      </c>
      <c r="F72" s="10">
        <f t="shared" si="5"/>
        <v>160</v>
      </c>
      <c r="G72" s="10">
        <f t="shared" si="4"/>
        <v>0</v>
      </c>
      <c r="H72" s="10" t="str">
        <f t="shared" si="6"/>
        <v/>
      </c>
      <c r="I72" s="28" t="str">
        <f t="shared" si="7"/>
        <v/>
      </c>
    </row>
    <row r="73" spans="1:9" x14ac:dyDescent="0.35">
      <c r="A73" s="5" t="s">
        <v>25</v>
      </c>
      <c r="B73" s="8">
        <v>46905</v>
      </c>
      <c r="C73" s="34">
        <f>SUMIFS(Month_End!$D:$D,Month_End!$A:$A,B73,Month_End!$B:$B,A73)</f>
        <v>0</v>
      </c>
      <c r="D73" s="10">
        <f>SUMIFS(Transactions_PAC!$H:$H,Transactions_PAC!$B:$B,B73,Transactions_PAC!$C:$C,A73)</f>
        <v>160</v>
      </c>
      <c r="E73" s="10">
        <f>SUMIFS(Transactions_Manual!$E:$E,Transactions_Manual!$B:$B,B73,Transactions_Manual!$C:$C,A73)</f>
        <v>0</v>
      </c>
      <c r="F73" s="10">
        <f t="shared" si="5"/>
        <v>160</v>
      </c>
      <c r="G73" s="10">
        <f t="shared" si="4"/>
        <v>0</v>
      </c>
      <c r="H73" s="10" t="str">
        <f t="shared" si="6"/>
        <v/>
      </c>
      <c r="I73" s="28" t="str">
        <f t="shared" si="7"/>
        <v/>
      </c>
    </row>
    <row r="74" spans="1:9" x14ac:dyDescent="0.35">
      <c r="A74" s="5" t="s">
        <v>25</v>
      </c>
      <c r="B74" s="8">
        <v>46935</v>
      </c>
      <c r="C74" s="34">
        <f>SUMIFS(Month_End!$D:$D,Month_End!$A:$A,B74,Month_End!$B:$B,A74)</f>
        <v>0</v>
      </c>
      <c r="D74" s="10">
        <f>SUMIFS(Transactions_PAC!$H:$H,Transactions_PAC!$B:$B,B74,Transactions_PAC!$C:$C,A74)</f>
        <v>160</v>
      </c>
      <c r="E74" s="10">
        <f>SUMIFS(Transactions_Manual!$E:$E,Transactions_Manual!$B:$B,B74,Transactions_Manual!$C:$C,A74)</f>
        <v>0</v>
      </c>
      <c r="F74" s="10">
        <f t="shared" si="5"/>
        <v>160</v>
      </c>
      <c r="G74" s="10">
        <f t="shared" si="4"/>
        <v>0</v>
      </c>
      <c r="H74" s="10" t="str">
        <f t="shared" si="6"/>
        <v/>
      </c>
      <c r="I74" s="28" t="str">
        <f t="shared" si="7"/>
        <v/>
      </c>
    </row>
    <row r="75" spans="1:9" x14ac:dyDescent="0.35">
      <c r="A75" s="5" t="s">
        <v>25</v>
      </c>
      <c r="B75" s="8">
        <v>46966</v>
      </c>
      <c r="C75" s="34">
        <f>SUMIFS(Month_End!$D:$D,Month_End!$A:$A,B75,Month_End!$B:$B,A75)</f>
        <v>0</v>
      </c>
      <c r="D75" s="10">
        <f>SUMIFS(Transactions_PAC!$H:$H,Transactions_PAC!$B:$B,B75,Transactions_PAC!$C:$C,A75)</f>
        <v>160</v>
      </c>
      <c r="E75" s="10">
        <f>SUMIFS(Transactions_Manual!$E:$E,Transactions_Manual!$B:$B,B75,Transactions_Manual!$C:$C,A75)</f>
        <v>0</v>
      </c>
      <c r="F75" s="10">
        <f t="shared" si="5"/>
        <v>160</v>
      </c>
      <c r="G75" s="10">
        <f t="shared" si="4"/>
        <v>0</v>
      </c>
      <c r="H75" s="10" t="str">
        <f t="shared" si="6"/>
        <v/>
      </c>
      <c r="I75" s="28" t="str">
        <f t="shared" si="7"/>
        <v/>
      </c>
    </row>
    <row r="76" spans="1:9" x14ac:dyDescent="0.35">
      <c r="A76" s="5" t="s">
        <v>25</v>
      </c>
      <c r="B76" s="8">
        <v>46997</v>
      </c>
      <c r="C76" s="34">
        <f>SUMIFS(Month_End!$D:$D,Month_End!$A:$A,B76,Month_End!$B:$B,A76)</f>
        <v>0</v>
      </c>
      <c r="D76" s="10">
        <f>SUMIFS(Transactions_PAC!$H:$H,Transactions_PAC!$B:$B,B76,Transactions_PAC!$C:$C,A76)</f>
        <v>160</v>
      </c>
      <c r="E76" s="10">
        <f>SUMIFS(Transactions_Manual!$E:$E,Transactions_Manual!$B:$B,B76,Transactions_Manual!$C:$C,A76)</f>
        <v>0</v>
      </c>
      <c r="F76" s="10">
        <f t="shared" si="5"/>
        <v>160</v>
      </c>
      <c r="G76" s="10">
        <f t="shared" si="4"/>
        <v>0</v>
      </c>
      <c r="H76" s="10" t="str">
        <f t="shared" si="6"/>
        <v/>
      </c>
      <c r="I76" s="28" t="str">
        <f t="shared" si="7"/>
        <v/>
      </c>
    </row>
    <row r="77" spans="1:9" x14ac:dyDescent="0.35">
      <c r="A77" s="5" t="s">
        <v>25</v>
      </c>
      <c r="B77" s="8">
        <v>47027</v>
      </c>
      <c r="C77" s="34">
        <f>SUMIFS(Month_End!$D:$D,Month_End!$A:$A,B77,Month_End!$B:$B,A77)</f>
        <v>0</v>
      </c>
      <c r="D77" s="10">
        <f>SUMIFS(Transactions_PAC!$H:$H,Transactions_PAC!$B:$B,B77,Transactions_PAC!$C:$C,A77)</f>
        <v>160</v>
      </c>
      <c r="E77" s="10">
        <f>SUMIFS(Transactions_Manual!$E:$E,Transactions_Manual!$B:$B,B77,Transactions_Manual!$C:$C,A77)</f>
        <v>0</v>
      </c>
      <c r="F77" s="10">
        <f t="shared" si="5"/>
        <v>160</v>
      </c>
      <c r="G77" s="10">
        <f t="shared" si="4"/>
        <v>0</v>
      </c>
      <c r="H77" s="10" t="str">
        <f t="shared" si="6"/>
        <v/>
      </c>
      <c r="I77" s="28" t="str">
        <f t="shared" si="7"/>
        <v/>
      </c>
    </row>
    <row r="78" spans="1:9" x14ac:dyDescent="0.35">
      <c r="A78" s="5" t="s">
        <v>25</v>
      </c>
      <c r="B78" s="8">
        <v>47058</v>
      </c>
      <c r="C78" s="34">
        <f>SUMIFS(Month_End!$D:$D,Month_End!$A:$A,B78,Month_End!$B:$B,A78)</f>
        <v>0</v>
      </c>
      <c r="D78" s="10">
        <f>SUMIFS(Transactions_PAC!$H:$H,Transactions_PAC!$B:$B,B78,Transactions_PAC!$C:$C,A78)</f>
        <v>160</v>
      </c>
      <c r="E78" s="10">
        <f>SUMIFS(Transactions_Manual!$E:$E,Transactions_Manual!$B:$B,B78,Transactions_Manual!$C:$C,A78)</f>
        <v>0</v>
      </c>
      <c r="F78" s="10">
        <f t="shared" si="5"/>
        <v>160</v>
      </c>
      <c r="G78" s="10">
        <f t="shared" si="4"/>
        <v>0</v>
      </c>
      <c r="H78" s="10" t="str">
        <f t="shared" si="6"/>
        <v/>
      </c>
      <c r="I78" s="28" t="str">
        <f t="shared" si="7"/>
        <v/>
      </c>
    </row>
    <row r="79" spans="1:9" x14ac:dyDescent="0.35">
      <c r="A79" s="5" t="s">
        <v>25</v>
      </c>
      <c r="B79" s="8">
        <v>47088</v>
      </c>
      <c r="C79" s="34">
        <f>SUMIFS(Month_End!$D:$D,Month_End!$A:$A,B79,Month_End!$B:$B,A79)</f>
        <v>0</v>
      </c>
      <c r="D79" s="10">
        <f>SUMIFS(Transactions_PAC!$H:$H,Transactions_PAC!$B:$B,B79,Transactions_PAC!$C:$C,A79)</f>
        <v>160</v>
      </c>
      <c r="E79" s="10">
        <f>SUMIFS(Transactions_Manual!$E:$E,Transactions_Manual!$B:$B,B79,Transactions_Manual!$C:$C,A79)</f>
        <v>0</v>
      </c>
      <c r="F79" s="10">
        <f t="shared" si="5"/>
        <v>160</v>
      </c>
      <c r="G79" s="10">
        <f t="shared" si="4"/>
        <v>0</v>
      </c>
      <c r="H79" s="10" t="str">
        <f t="shared" si="6"/>
        <v/>
      </c>
      <c r="I79" s="28" t="str">
        <f t="shared" si="7"/>
        <v/>
      </c>
    </row>
    <row r="80" spans="1:9" x14ac:dyDescent="0.35">
      <c r="A80" s="5" t="s">
        <v>26</v>
      </c>
      <c r="B80" s="8">
        <v>45931</v>
      </c>
      <c r="C80" s="34">
        <f>SUMIFS(Month_End!$D:$D,Month_End!$A:$A,B80,Month_End!$B:$B,A80)</f>
        <v>1792</v>
      </c>
      <c r="D80" s="10">
        <f>SUMIFS(Transactions_PAC!$H:$H,Transactions_PAC!$B:$B,B80,Transactions_PAC!$C:$C,A80)</f>
        <v>0</v>
      </c>
      <c r="E80" s="10">
        <f>SUMIFS(Transactions_Manual!$E:$E,Transactions_Manual!$B:$B,B80,Transactions_Manual!$C:$C,A80)</f>
        <v>70</v>
      </c>
      <c r="F80" s="10">
        <f t="shared" si="5"/>
        <v>70</v>
      </c>
      <c r="G80" s="10"/>
      <c r="H80" s="10" t="str">
        <f t="shared" si="6"/>
        <v/>
      </c>
      <c r="I80" s="28" t="str">
        <f t="shared" si="7"/>
        <v/>
      </c>
    </row>
    <row r="81" spans="1:9" x14ac:dyDescent="0.35">
      <c r="A81" s="5" t="s">
        <v>26</v>
      </c>
      <c r="B81" s="8">
        <v>45962</v>
      </c>
      <c r="C81" s="34">
        <f>SUMIFS(Month_End!$D:$D,Month_End!$A:$A,B81,Month_End!$B:$B,A81)</f>
        <v>1875</v>
      </c>
      <c r="D81" s="10">
        <f>SUMIFS(Transactions_PAC!$H:$H,Transactions_PAC!$B:$B,B81,Transactions_PAC!$C:$C,A81)</f>
        <v>0</v>
      </c>
      <c r="E81" s="10">
        <f>SUMIFS(Transactions_Manual!$E:$E,Transactions_Manual!$B:$B,B81,Transactions_Manual!$C:$C,A81)</f>
        <v>70</v>
      </c>
      <c r="F81" s="10">
        <f t="shared" si="5"/>
        <v>70</v>
      </c>
      <c r="G81" s="10">
        <f t="shared" ref="G81:G118" si="8">C80</f>
        <v>1792</v>
      </c>
      <c r="H81" s="10">
        <f t="shared" si="6"/>
        <v>13</v>
      </c>
      <c r="I81" s="28">
        <f t="shared" si="7"/>
        <v>7.1154898741105635E-3</v>
      </c>
    </row>
    <row r="82" spans="1:9" x14ac:dyDescent="0.35">
      <c r="A82" s="5" t="s">
        <v>26</v>
      </c>
      <c r="B82" s="8">
        <v>45992</v>
      </c>
      <c r="C82" s="34">
        <f>SUMIFS(Month_End!$D:$D,Month_End!$A:$A,B82,Month_End!$B:$B,A82)</f>
        <v>2001</v>
      </c>
      <c r="D82" s="10">
        <f>SUMIFS(Transactions_PAC!$H:$H,Transactions_PAC!$B:$B,B82,Transactions_PAC!$C:$C,A82)</f>
        <v>0</v>
      </c>
      <c r="E82" s="10">
        <f>SUMIFS(Transactions_Manual!$E:$E,Transactions_Manual!$B:$B,B82,Transactions_Manual!$C:$C,A82)</f>
        <v>70</v>
      </c>
      <c r="F82" s="10">
        <f t="shared" si="5"/>
        <v>70</v>
      </c>
      <c r="G82" s="10">
        <f t="shared" si="8"/>
        <v>1875</v>
      </c>
      <c r="H82" s="10">
        <f t="shared" si="6"/>
        <v>56</v>
      </c>
      <c r="I82" s="28">
        <f t="shared" si="7"/>
        <v>2.9319371727748691E-2</v>
      </c>
    </row>
    <row r="83" spans="1:9" x14ac:dyDescent="0.35">
      <c r="A83" s="5" t="s">
        <v>26</v>
      </c>
      <c r="B83" s="8">
        <v>46023</v>
      </c>
      <c r="C83" s="34">
        <f>SUMIFS(Month_End!$D:$D,Month_End!$A:$A,B83,Month_End!$B:$B,A83)</f>
        <v>2214</v>
      </c>
      <c r="D83" s="10">
        <f>SUMIFS(Transactions_PAC!$H:$H,Transactions_PAC!$B:$B,B83,Transactions_PAC!$C:$C,A83)</f>
        <v>0</v>
      </c>
      <c r="E83" s="10">
        <f>SUMIFS(Transactions_Manual!$E:$E,Transactions_Manual!$B:$B,B83,Transactions_Manual!$C:$C,A83)</f>
        <v>70</v>
      </c>
      <c r="F83" s="10">
        <f t="shared" si="5"/>
        <v>70</v>
      </c>
      <c r="G83" s="10">
        <f t="shared" si="8"/>
        <v>2001</v>
      </c>
      <c r="H83" s="10">
        <f t="shared" si="6"/>
        <v>143</v>
      </c>
      <c r="I83" s="28">
        <f t="shared" si="7"/>
        <v>7.0235756385068765E-2</v>
      </c>
    </row>
    <row r="84" spans="1:9" x14ac:dyDescent="0.35">
      <c r="A84" s="5" t="s">
        <v>26</v>
      </c>
      <c r="B84" s="8">
        <v>46054</v>
      </c>
      <c r="C84" s="34">
        <f>SUMIFS(Month_End!$D:$D,Month_End!$A:$A,B84,Month_End!$B:$B,A84)</f>
        <v>2540</v>
      </c>
      <c r="D84" s="10">
        <f>SUMIFS(Transactions_PAC!$H:$H,Transactions_PAC!$B:$B,B84,Transactions_PAC!$C:$C,A84)</f>
        <v>0</v>
      </c>
      <c r="E84" s="10">
        <f>SUMIFS(Transactions_Manual!$E:$E,Transactions_Manual!$B:$B,B84,Transactions_Manual!$C:$C,A84)</f>
        <v>70</v>
      </c>
      <c r="F84" s="10">
        <f t="shared" si="5"/>
        <v>70</v>
      </c>
      <c r="G84" s="10">
        <f t="shared" si="8"/>
        <v>2214</v>
      </c>
      <c r="H84" s="10">
        <f t="shared" si="6"/>
        <v>256</v>
      </c>
      <c r="I84" s="28">
        <f t="shared" si="7"/>
        <v>0.11382836816362828</v>
      </c>
    </row>
    <row r="85" spans="1:9" x14ac:dyDescent="0.35">
      <c r="A85" s="5" t="s">
        <v>26</v>
      </c>
      <c r="B85" s="8">
        <v>46082</v>
      </c>
      <c r="C85" s="34">
        <f>SUMIFS(Month_End!$D:$D,Month_End!$A:$A,B85,Month_End!$B:$B,A85)</f>
        <v>2493</v>
      </c>
      <c r="D85" s="10">
        <f>SUMIFS(Transactions_PAC!$H:$H,Transactions_PAC!$B:$B,B85,Transactions_PAC!$C:$C,A85)</f>
        <v>0</v>
      </c>
      <c r="E85" s="10">
        <f>SUMIFS(Transactions_Manual!$E:$E,Transactions_Manual!$B:$B,B85,Transactions_Manual!$C:$C,A85)</f>
        <v>220.99</v>
      </c>
      <c r="F85" s="10">
        <f t="shared" si="5"/>
        <v>220.99</v>
      </c>
      <c r="G85" s="10">
        <f t="shared" si="8"/>
        <v>2540</v>
      </c>
      <c r="H85" s="10">
        <f t="shared" si="6"/>
        <v>-267.99</v>
      </c>
      <c r="I85" s="28">
        <f t="shared" si="7"/>
        <v>-0.10110941541108359</v>
      </c>
    </row>
    <row r="86" spans="1:9" x14ac:dyDescent="0.35">
      <c r="A86" s="5" t="s">
        <v>26</v>
      </c>
      <c r="B86" s="8">
        <v>46113</v>
      </c>
      <c r="C86" s="34">
        <f>SUMIFS(Month_End!$D:$D,Month_End!$A:$A,B86,Month_End!$B:$B,A86)</f>
        <v>0</v>
      </c>
      <c r="D86" s="10">
        <f>SUMIFS(Transactions_PAC!$H:$H,Transactions_PAC!$B:$B,B86,Transactions_PAC!$C:$C,A86)</f>
        <v>108</v>
      </c>
      <c r="E86" s="10">
        <f>SUMIFS(Transactions_Manual!$E:$E,Transactions_Manual!$B:$B,B86,Transactions_Manual!$C:$C,A86)</f>
        <v>0</v>
      </c>
      <c r="F86" s="10">
        <f t="shared" si="5"/>
        <v>108</v>
      </c>
      <c r="G86" s="10">
        <f t="shared" si="8"/>
        <v>2493</v>
      </c>
      <c r="H86" s="10" t="str">
        <f t="shared" si="6"/>
        <v/>
      </c>
      <c r="I86" s="28" t="str">
        <f t="shared" si="7"/>
        <v/>
      </c>
    </row>
    <row r="87" spans="1:9" x14ac:dyDescent="0.35">
      <c r="A87" s="5" t="s">
        <v>26</v>
      </c>
      <c r="B87" s="8">
        <v>46143</v>
      </c>
      <c r="C87" s="34">
        <f>SUMIFS(Month_End!$D:$D,Month_End!$A:$A,B87,Month_End!$B:$B,A87)</f>
        <v>0</v>
      </c>
      <c r="D87" s="10">
        <f>SUMIFS(Transactions_PAC!$H:$H,Transactions_PAC!$B:$B,B87,Transactions_PAC!$C:$C,A87)</f>
        <v>108</v>
      </c>
      <c r="E87" s="10">
        <f>SUMIFS(Transactions_Manual!$E:$E,Transactions_Manual!$B:$B,B87,Transactions_Manual!$C:$C,A87)</f>
        <v>0</v>
      </c>
      <c r="F87" s="10">
        <f t="shared" si="5"/>
        <v>108</v>
      </c>
      <c r="G87" s="10">
        <f t="shared" si="8"/>
        <v>0</v>
      </c>
      <c r="H87" s="10" t="str">
        <f t="shared" si="6"/>
        <v/>
      </c>
      <c r="I87" s="28" t="str">
        <f t="shared" si="7"/>
        <v/>
      </c>
    </row>
    <row r="88" spans="1:9" x14ac:dyDescent="0.35">
      <c r="A88" s="5" t="s">
        <v>26</v>
      </c>
      <c r="B88" s="8">
        <v>46174</v>
      </c>
      <c r="C88" s="34">
        <f>SUMIFS(Month_End!$D:$D,Month_End!$A:$A,B88,Month_End!$B:$B,A88)</f>
        <v>0</v>
      </c>
      <c r="D88" s="10">
        <f>SUMIFS(Transactions_PAC!$H:$H,Transactions_PAC!$B:$B,B88,Transactions_PAC!$C:$C,A88)</f>
        <v>108</v>
      </c>
      <c r="E88" s="10">
        <f>SUMIFS(Transactions_Manual!$E:$E,Transactions_Manual!$B:$B,B88,Transactions_Manual!$C:$C,A88)</f>
        <v>0</v>
      </c>
      <c r="F88" s="10">
        <f t="shared" si="5"/>
        <v>108</v>
      </c>
      <c r="G88" s="10">
        <f t="shared" si="8"/>
        <v>0</v>
      </c>
      <c r="H88" s="10" t="str">
        <f t="shared" si="6"/>
        <v/>
      </c>
      <c r="I88" s="28" t="str">
        <f t="shared" si="7"/>
        <v/>
      </c>
    </row>
    <row r="89" spans="1:9" x14ac:dyDescent="0.35">
      <c r="A89" s="5" t="s">
        <v>26</v>
      </c>
      <c r="B89" s="8">
        <v>46204</v>
      </c>
      <c r="C89" s="34">
        <f>SUMIFS(Month_End!$D:$D,Month_End!$A:$A,B89,Month_End!$B:$B,A89)</f>
        <v>0</v>
      </c>
      <c r="D89" s="10">
        <f>SUMIFS(Transactions_PAC!$H:$H,Transactions_PAC!$B:$B,B89,Transactions_PAC!$C:$C,A89)</f>
        <v>108</v>
      </c>
      <c r="E89" s="10">
        <f>SUMIFS(Transactions_Manual!$E:$E,Transactions_Manual!$B:$B,B89,Transactions_Manual!$C:$C,A89)</f>
        <v>0</v>
      </c>
      <c r="F89" s="10">
        <f t="shared" si="5"/>
        <v>108</v>
      </c>
      <c r="G89" s="10">
        <f t="shared" si="8"/>
        <v>0</v>
      </c>
      <c r="H89" s="10" t="str">
        <f t="shared" si="6"/>
        <v/>
      </c>
      <c r="I89" s="28" t="str">
        <f t="shared" si="7"/>
        <v/>
      </c>
    </row>
    <row r="90" spans="1:9" x14ac:dyDescent="0.35">
      <c r="A90" s="5" t="s">
        <v>26</v>
      </c>
      <c r="B90" s="8">
        <v>46235</v>
      </c>
      <c r="C90" s="34">
        <f>SUMIFS(Month_End!$D:$D,Month_End!$A:$A,B90,Month_End!$B:$B,A90)</f>
        <v>0</v>
      </c>
      <c r="D90" s="10">
        <f>SUMIFS(Transactions_PAC!$H:$H,Transactions_PAC!$B:$B,B90,Transactions_PAC!$C:$C,A90)</f>
        <v>108</v>
      </c>
      <c r="E90" s="10">
        <f>SUMIFS(Transactions_Manual!$E:$E,Transactions_Manual!$B:$B,B90,Transactions_Manual!$C:$C,A90)</f>
        <v>0</v>
      </c>
      <c r="F90" s="10">
        <f t="shared" si="5"/>
        <v>108</v>
      </c>
      <c r="G90" s="10">
        <f t="shared" si="8"/>
        <v>0</v>
      </c>
      <c r="H90" s="10" t="str">
        <f t="shared" si="6"/>
        <v/>
      </c>
      <c r="I90" s="28" t="str">
        <f t="shared" si="7"/>
        <v/>
      </c>
    </row>
    <row r="91" spans="1:9" x14ac:dyDescent="0.35">
      <c r="A91" s="5" t="s">
        <v>26</v>
      </c>
      <c r="B91" s="8">
        <v>46266</v>
      </c>
      <c r="C91" s="34">
        <f>SUMIFS(Month_End!$D:$D,Month_End!$A:$A,B91,Month_End!$B:$B,A91)</f>
        <v>0</v>
      </c>
      <c r="D91" s="10">
        <f>SUMIFS(Transactions_PAC!$H:$H,Transactions_PAC!$B:$B,B91,Transactions_PAC!$C:$C,A91)</f>
        <v>108</v>
      </c>
      <c r="E91" s="10">
        <f>SUMIFS(Transactions_Manual!$E:$E,Transactions_Manual!$B:$B,B91,Transactions_Manual!$C:$C,A91)</f>
        <v>0</v>
      </c>
      <c r="F91" s="10">
        <f t="shared" si="5"/>
        <v>108</v>
      </c>
      <c r="G91" s="10">
        <f t="shared" si="8"/>
        <v>0</v>
      </c>
      <c r="H91" s="10" t="str">
        <f t="shared" si="6"/>
        <v/>
      </c>
      <c r="I91" s="28" t="str">
        <f t="shared" si="7"/>
        <v/>
      </c>
    </row>
    <row r="92" spans="1:9" x14ac:dyDescent="0.35">
      <c r="A92" s="5" t="s">
        <v>26</v>
      </c>
      <c r="B92" s="8">
        <v>46296</v>
      </c>
      <c r="C92" s="34">
        <f>SUMIFS(Month_End!$D:$D,Month_End!$A:$A,B92,Month_End!$B:$B,A92)</f>
        <v>0</v>
      </c>
      <c r="D92" s="10">
        <f>SUMIFS(Transactions_PAC!$H:$H,Transactions_PAC!$B:$B,B92,Transactions_PAC!$C:$C,A92)</f>
        <v>108</v>
      </c>
      <c r="E92" s="10">
        <f>SUMIFS(Transactions_Manual!$E:$E,Transactions_Manual!$B:$B,B92,Transactions_Manual!$C:$C,A92)</f>
        <v>0</v>
      </c>
      <c r="F92" s="10">
        <f t="shared" si="5"/>
        <v>108</v>
      </c>
      <c r="G92" s="10">
        <f t="shared" si="8"/>
        <v>0</v>
      </c>
      <c r="H92" s="10" t="str">
        <f t="shared" si="6"/>
        <v/>
      </c>
      <c r="I92" s="28" t="str">
        <f t="shared" si="7"/>
        <v/>
      </c>
    </row>
    <row r="93" spans="1:9" x14ac:dyDescent="0.35">
      <c r="A93" s="5" t="s">
        <v>26</v>
      </c>
      <c r="B93" s="8">
        <v>46327</v>
      </c>
      <c r="C93" s="34">
        <f>SUMIFS(Month_End!$D:$D,Month_End!$A:$A,B93,Month_End!$B:$B,A93)</f>
        <v>0</v>
      </c>
      <c r="D93" s="10">
        <f>SUMIFS(Transactions_PAC!$H:$H,Transactions_PAC!$B:$B,B93,Transactions_PAC!$C:$C,A93)</f>
        <v>108</v>
      </c>
      <c r="E93" s="10">
        <f>SUMIFS(Transactions_Manual!$E:$E,Transactions_Manual!$B:$B,B93,Transactions_Manual!$C:$C,A93)</f>
        <v>0</v>
      </c>
      <c r="F93" s="10">
        <f t="shared" si="5"/>
        <v>108</v>
      </c>
      <c r="G93" s="10">
        <f t="shared" si="8"/>
        <v>0</v>
      </c>
      <c r="H93" s="10" t="str">
        <f t="shared" si="6"/>
        <v/>
      </c>
      <c r="I93" s="28" t="str">
        <f t="shared" si="7"/>
        <v/>
      </c>
    </row>
    <row r="94" spans="1:9" x14ac:dyDescent="0.35">
      <c r="A94" s="5" t="s">
        <v>26</v>
      </c>
      <c r="B94" s="8">
        <v>46357</v>
      </c>
      <c r="C94" s="34">
        <f>SUMIFS(Month_End!$D:$D,Month_End!$A:$A,B94,Month_End!$B:$B,A94)</f>
        <v>0</v>
      </c>
      <c r="D94" s="10">
        <f>SUMIFS(Transactions_PAC!$H:$H,Transactions_PAC!$B:$B,B94,Transactions_PAC!$C:$C,A94)</f>
        <v>108</v>
      </c>
      <c r="E94" s="10">
        <f>SUMIFS(Transactions_Manual!$E:$E,Transactions_Manual!$B:$B,B94,Transactions_Manual!$C:$C,A94)</f>
        <v>0</v>
      </c>
      <c r="F94" s="10">
        <f t="shared" si="5"/>
        <v>108</v>
      </c>
      <c r="G94" s="10">
        <f t="shared" si="8"/>
        <v>0</v>
      </c>
      <c r="H94" s="10" t="str">
        <f t="shared" si="6"/>
        <v/>
      </c>
      <c r="I94" s="28" t="str">
        <f t="shared" si="7"/>
        <v/>
      </c>
    </row>
    <row r="95" spans="1:9" x14ac:dyDescent="0.35">
      <c r="A95" s="5" t="s">
        <v>26</v>
      </c>
      <c r="B95" s="8">
        <v>46388</v>
      </c>
      <c r="C95" s="34">
        <f>SUMIFS(Month_End!$D:$D,Month_End!$A:$A,B95,Month_End!$B:$B,A95)</f>
        <v>0</v>
      </c>
      <c r="D95" s="10">
        <f>SUMIFS(Transactions_PAC!$H:$H,Transactions_PAC!$B:$B,B95,Transactions_PAC!$C:$C,A95)</f>
        <v>108</v>
      </c>
      <c r="E95" s="10">
        <f>SUMIFS(Transactions_Manual!$E:$E,Transactions_Manual!$B:$B,B95,Transactions_Manual!$C:$C,A95)</f>
        <v>0</v>
      </c>
      <c r="F95" s="10">
        <f t="shared" si="5"/>
        <v>108</v>
      </c>
      <c r="G95" s="10">
        <f t="shared" si="8"/>
        <v>0</v>
      </c>
      <c r="H95" s="10" t="str">
        <f t="shared" si="6"/>
        <v/>
      </c>
      <c r="I95" s="28" t="str">
        <f t="shared" si="7"/>
        <v/>
      </c>
    </row>
    <row r="96" spans="1:9" x14ac:dyDescent="0.35">
      <c r="A96" s="5" t="s">
        <v>26</v>
      </c>
      <c r="B96" s="8">
        <v>46419</v>
      </c>
      <c r="C96" s="34">
        <f>SUMIFS(Month_End!$D:$D,Month_End!$A:$A,B96,Month_End!$B:$B,A96)</f>
        <v>0</v>
      </c>
      <c r="D96" s="10">
        <f>SUMIFS(Transactions_PAC!$H:$H,Transactions_PAC!$B:$B,B96,Transactions_PAC!$C:$C,A96)</f>
        <v>108</v>
      </c>
      <c r="E96" s="10">
        <f>SUMIFS(Transactions_Manual!$E:$E,Transactions_Manual!$B:$B,B96,Transactions_Manual!$C:$C,A96)</f>
        <v>0</v>
      </c>
      <c r="F96" s="10">
        <f t="shared" si="5"/>
        <v>108</v>
      </c>
      <c r="G96" s="10">
        <f t="shared" si="8"/>
        <v>0</v>
      </c>
      <c r="H96" s="10" t="str">
        <f t="shared" si="6"/>
        <v/>
      </c>
      <c r="I96" s="28" t="str">
        <f t="shared" si="7"/>
        <v/>
      </c>
    </row>
    <row r="97" spans="1:9" x14ac:dyDescent="0.35">
      <c r="A97" s="5" t="s">
        <v>26</v>
      </c>
      <c r="B97" s="8">
        <v>46447</v>
      </c>
      <c r="C97" s="34">
        <f>SUMIFS(Month_End!$D:$D,Month_End!$A:$A,B97,Month_End!$B:$B,A97)</f>
        <v>0</v>
      </c>
      <c r="D97" s="10">
        <f>SUMIFS(Transactions_PAC!$H:$H,Transactions_PAC!$B:$B,B97,Transactions_PAC!$C:$C,A97)</f>
        <v>108</v>
      </c>
      <c r="E97" s="10">
        <f>SUMIFS(Transactions_Manual!$E:$E,Transactions_Manual!$B:$B,B97,Transactions_Manual!$C:$C,A97)</f>
        <v>0</v>
      </c>
      <c r="F97" s="10">
        <f t="shared" si="5"/>
        <v>108</v>
      </c>
      <c r="G97" s="10">
        <f t="shared" si="8"/>
        <v>0</v>
      </c>
      <c r="H97" s="10" t="str">
        <f t="shared" si="6"/>
        <v/>
      </c>
      <c r="I97" s="28" t="str">
        <f t="shared" si="7"/>
        <v/>
      </c>
    </row>
    <row r="98" spans="1:9" x14ac:dyDescent="0.35">
      <c r="A98" s="5" t="s">
        <v>26</v>
      </c>
      <c r="B98" s="8">
        <v>46478</v>
      </c>
      <c r="C98" s="34">
        <f>SUMIFS(Month_End!$D:$D,Month_End!$A:$A,B98,Month_End!$B:$B,A98)</f>
        <v>0</v>
      </c>
      <c r="D98" s="10">
        <f>SUMIFS(Transactions_PAC!$H:$H,Transactions_PAC!$B:$B,B98,Transactions_PAC!$C:$C,A98)</f>
        <v>108</v>
      </c>
      <c r="E98" s="10">
        <f>SUMIFS(Transactions_Manual!$E:$E,Transactions_Manual!$B:$B,B98,Transactions_Manual!$C:$C,A98)</f>
        <v>0</v>
      </c>
      <c r="F98" s="10">
        <f t="shared" si="5"/>
        <v>108</v>
      </c>
      <c r="G98" s="10">
        <f t="shared" si="8"/>
        <v>0</v>
      </c>
      <c r="H98" s="10" t="str">
        <f t="shared" si="6"/>
        <v/>
      </c>
      <c r="I98" s="28" t="str">
        <f t="shared" si="7"/>
        <v/>
      </c>
    </row>
    <row r="99" spans="1:9" x14ac:dyDescent="0.35">
      <c r="A99" s="5" t="s">
        <v>26</v>
      </c>
      <c r="B99" s="8">
        <v>46508</v>
      </c>
      <c r="C99" s="34">
        <f>SUMIFS(Month_End!$D:$D,Month_End!$A:$A,B99,Month_End!$B:$B,A99)</f>
        <v>0</v>
      </c>
      <c r="D99" s="10">
        <f>SUMIFS(Transactions_PAC!$H:$H,Transactions_PAC!$B:$B,B99,Transactions_PAC!$C:$C,A99)</f>
        <v>108</v>
      </c>
      <c r="E99" s="10">
        <f>SUMIFS(Transactions_Manual!$E:$E,Transactions_Manual!$B:$B,B99,Transactions_Manual!$C:$C,A99)</f>
        <v>0</v>
      </c>
      <c r="F99" s="10">
        <f t="shared" si="5"/>
        <v>108</v>
      </c>
      <c r="G99" s="10">
        <f t="shared" si="8"/>
        <v>0</v>
      </c>
      <c r="H99" s="10" t="str">
        <f t="shared" si="6"/>
        <v/>
      </c>
      <c r="I99" s="28" t="str">
        <f t="shared" si="7"/>
        <v/>
      </c>
    </row>
    <row r="100" spans="1:9" x14ac:dyDescent="0.35">
      <c r="A100" s="5" t="s">
        <v>26</v>
      </c>
      <c r="B100" s="8">
        <v>46539</v>
      </c>
      <c r="C100" s="34">
        <f>SUMIFS(Month_End!$D:$D,Month_End!$A:$A,B100,Month_End!$B:$B,A100)</f>
        <v>0</v>
      </c>
      <c r="D100" s="10">
        <f>SUMIFS(Transactions_PAC!$H:$H,Transactions_PAC!$B:$B,B100,Transactions_PAC!$C:$C,A100)</f>
        <v>108</v>
      </c>
      <c r="E100" s="10">
        <f>SUMIFS(Transactions_Manual!$E:$E,Transactions_Manual!$B:$B,B100,Transactions_Manual!$C:$C,A100)</f>
        <v>0</v>
      </c>
      <c r="F100" s="10">
        <f t="shared" si="5"/>
        <v>108</v>
      </c>
      <c r="G100" s="10">
        <f t="shared" si="8"/>
        <v>0</v>
      </c>
      <c r="H100" s="10" t="str">
        <f t="shared" si="6"/>
        <v/>
      </c>
      <c r="I100" s="28" t="str">
        <f t="shared" si="7"/>
        <v/>
      </c>
    </row>
    <row r="101" spans="1:9" x14ac:dyDescent="0.35">
      <c r="A101" s="5" t="s">
        <v>26</v>
      </c>
      <c r="B101" s="8">
        <v>46569</v>
      </c>
      <c r="C101" s="34">
        <f>SUMIFS(Month_End!$D:$D,Month_End!$A:$A,B101,Month_End!$B:$B,A101)</f>
        <v>0</v>
      </c>
      <c r="D101" s="10">
        <f>SUMIFS(Transactions_PAC!$H:$H,Transactions_PAC!$B:$B,B101,Transactions_PAC!$C:$C,A101)</f>
        <v>108</v>
      </c>
      <c r="E101" s="10">
        <f>SUMIFS(Transactions_Manual!$E:$E,Transactions_Manual!$B:$B,B101,Transactions_Manual!$C:$C,A101)</f>
        <v>0</v>
      </c>
      <c r="F101" s="10">
        <f t="shared" si="5"/>
        <v>108</v>
      </c>
      <c r="G101" s="10">
        <f t="shared" si="8"/>
        <v>0</v>
      </c>
      <c r="H101" s="10" t="str">
        <f t="shared" si="6"/>
        <v/>
      </c>
      <c r="I101" s="28" t="str">
        <f t="shared" si="7"/>
        <v/>
      </c>
    </row>
    <row r="102" spans="1:9" x14ac:dyDescent="0.35">
      <c r="A102" s="5" t="s">
        <v>26</v>
      </c>
      <c r="B102" s="8">
        <v>46600</v>
      </c>
      <c r="C102" s="34">
        <f>SUMIFS(Month_End!$D:$D,Month_End!$A:$A,B102,Month_End!$B:$B,A102)</f>
        <v>0</v>
      </c>
      <c r="D102" s="10">
        <f>SUMIFS(Transactions_PAC!$H:$H,Transactions_PAC!$B:$B,B102,Transactions_PAC!$C:$C,A102)</f>
        <v>108</v>
      </c>
      <c r="E102" s="10">
        <f>SUMIFS(Transactions_Manual!$E:$E,Transactions_Manual!$B:$B,B102,Transactions_Manual!$C:$C,A102)</f>
        <v>0</v>
      </c>
      <c r="F102" s="10">
        <f t="shared" si="5"/>
        <v>108</v>
      </c>
      <c r="G102" s="10">
        <f t="shared" si="8"/>
        <v>0</v>
      </c>
      <c r="H102" s="10" t="str">
        <f t="shared" si="6"/>
        <v/>
      </c>
      <c r="I102" s="28" t="str">
        <f t="shared" si="7"/>
        <v/>
      </c>
    </row>
    <row r="103" spans="1:9" x14ac:dyDescent="0.35">
      <c r="A103" s="5" t="s">
        <v>26</v>
      </c>
      <c r="B103" s="8">
        <v>46631</v>
      </c>
      <c r="C103" s="34">
        <f>SUMIFS(Month_End!$D:$D,Month_End!$A:$A,B103,Month_End!$B:$B,A103)</f>
        <v>0</v>
      </c>
      <c r="D103" s="10">
        <f>SUMIFS(Transactions_PAC!$H:$H,Transactions_PAC!$B:$B,B103,Transactions_PAC!$C:$C,A103)</f>
        <v>108</v>
      </c>
      <c r="E103" s="10">
        <f>SUMIFS(Transactions_Manual!$E:$E,Transactions_Manual!$B:$B,B103,Transactions_Manual!$C:$C,A103)</f>
        <v>0</v>
      </c>
      <c r="F103" s="10">
        <f t="shared" si="5"/>
        <v>108</v>
      </c>
      <c r="G103" s="10">
        <f t="shared" si="8"/>
        <v>0</v>
      </c>
      <c r="H103" s="10" t="str">
        <f t="shared" si="6"/>
        <v/>
      </c>
      <c r="I103" s="28" t="str">
        <f t="shared" si="7"/>
        <v/>
      </c>
    </row>
    <row r="104" spans="1:9" x14ac:dyDescent="0.35">
      <c r="A104" s="5" t="s">
        <v>26</v>
      </c>
      <c r="B104" s="8">
        <v>46661</v>
      </c>
      <c r="C104" s="34">
        <f>SUMIFS(Month_End!$D:$D,Month_End!$A:$A,B104,Month_End!$B:$B,A104)</f>
        <v>0</v>
      </c>
      <c r="D104" s="10">
        <f>SUMIFS(Transactions_PAC!$H:$H,Transactions_PAC!$B:$B,B104,Transactions_PAC!$C:$C,A104)</f>
        <v>108</v>
      </c>
      <c r="E104" s="10">
        <f>SUMIFS(Transactions_Manual!$E:$E,Transactions_Manual!$B:$B,B104,Transactions_Manual!$C:$C,A104)</f>
        <v>0</v>
      </c>
      <c r="F104" s="10">
        <f t="shared" si="5"/>
        <v>108</v>
      </c>
      <c r="G104" s="10">
        <f t="shared" si="8"/>
        <v>0</v>
      </c>
      <c r="H104" s="10" t="str">
        <f t="shared" si="6"/>
        <v/>
      </c>
      <c r="I104" s="28" t="str">
        <f t="shared" si="7"/>
        <v/>
      </c>
    </row>
    <row r="105" spans="1:9" x14ac:dyDescent="0.35">
      <c r="A105" s="5" t="s">
        <v>26</v>
      </c>
      <c r="B105" s="8">
        <v>46692</v>
      </c>
      <c r="C105" s="34">
        <f>SUMIFS(Month_End!$D:$D,Month_End!$A:$A,B105,Month_End!$B:$B,A105)</f>
        <v>0</v>
      </c>
      <c r="D105" s="10">
        <f>SUMIFS(Transactions_PAC!$H:$H,Transactions_PAC!$B:$B,B105,Transactions_PAC!$C:$C,A105)</f>
        <v>108</v>
      </c>
      <c r="E105" s="10">
        <f>SUMIFS(Transactions_Manual!$E:$E,Transactions_Manual!$B:$B,B105,Transactions_Manual!$C:$C,A105)</f>
        <v>0</v>
      </c>
      <c r="F105" s="10">
        <f t="shared" si="5"/>
        <v>108</v>
      </c>
      <c r="G105" s="10">
        <f t="shared" si="8"/>
        <v>0</v>
      </c>
      <c r="H105" s="10" t="str">
        <f t="shared" si="6"/>
        <v/>
      </c>
      <c r="I105" s="28" t="str">
        <f t="shared" si="7"/>
        <v/>
      </c>
    </row>
    <row r="106" spans="1:9" x14ac:dyDescent="0.35">
      <c r="A106" s="5" t="s">
        <v>26</v>
      </c>
      <c r="B106" s="8">
        <v>46722</v>
      </c>
      <c r="C106" s="34">
        <f>SUMIFS(Month_End!$D:$D,Month_End!$A:$A,B106,Month_End!$B:$B,A106)</f>
        <v>0</v>
      </c>
      <c r="D106" s="10">
        <f>SUMIFS(Transactions_PAC!$H:$H,Transactions_PAC!$B:$B,B106,Transactions_PAC!$C:$C,A106)</f>
        <v>108</v>
      </c>
      <c r="E106" s="10">
        <f>SUMIFS(Transactions_Manual!$E:$E,Transactions_Manual!$B:$B,B106,Transactions_Manual!$C:$C,A106)</f>
        <v>0</v>
      </c>
      <c r="F106" s="10">
        <f t="shared" si="5"/>
        <v>108</v>
      </c>
      <c r="G106" s="10">
        <f t="shared" si="8"/>
        <v>0</v>
      </c>
      <c r="H106" s="10" t="str">
        <f t="shared" si="6"/>
        <v/>
      </c>
      <c r="I106" s="28" t="str">
        <f t="shared" si="7"/>
        <v/>
      </c>
    </row>
    <row r="107" spans="1:9" x14ac:dyDescent="0.35">
      <c r="A107" s="5" t="s">
        <v>26</v>
      </c>
      <c r="B107" s="8">
        <v>46753</v>
      </c>
      <c r="C107" s="34">
        <f>SUMIFS(Month_End!$D:$D,Month_End!$A:$A,B107,Month_End!$B:$B,A107)</f>
        <v>0</v>
      </c>
      <c r="D107" s="10">
        <f>SUMIFS(Transactions_PAC!$H:$H,Transactions_PAC!$B:$B,B107,Transactions_PAC!$C:$C,A107)</f>
        <v>108</v>
      </c>
      <c r="E107" s="10">
        <f>SUMIFS(Transactions_Manual!$E:$E,Transactions_Manual!$B:$B,B107,Transactions_Manual!$C:$C,A107)</f>
        <v>0</v>
      </c>
      <c r="F107" s="10">
        <f t="shared" si="5"/>
        <v>108</v>
      </c>
      <c r="G107" s="10">
        <f t="shared" si="8"/>
        <v>0</v>
      </c>
      <c r="H107" s="10" t="str">
        <f t="shared" si="6"/>
        <v/>
      </c>
      <c r="I107" s="28" t="str">
        <f t="shared" si="7"/>
        <v/>
      </c>
    </row>
    <row r="108" spans="1:9" x14ac:dyDescent="0.35">
      <c r="A108" s="5" t="s">
        <v>26</v>
      </c>
      <c r="B108" s="8">
        <v>46784</v>
      </c>
      <c r="C108" s="34">
        <f>SUMIFS(Month_End!$D:$D,Month_End!$A:$A,B108,Month_End!$B:$B,A108)</f>
        <v>0</v>
      </c>
      <c r="D108" s="10">
        <f>SUMIFS(Transactions_PAC!$H:$H,Transactions_PAC!$B:$B,B108,Transactions_PAC!$C:$C,A108)</f>
        <v>108</v>
      </c>
      <c r="E108" s="10">
        <f>SUMIFS(Transactions_Manual!$E:$E,Transactions_Manual!$B:$B,B108,Transactions_Manual!$C:$C,A108)</f>
        <v>0</v>
      </c>
      <c r="F108" s="10">
        <f t="shared" si="5"/>
        <v>108</v>
      </c>
      <c r="G108" s="10">
        <f t="shared" si="8"/>
        <v>0</v>
      </c>
      <c r="H108" s="10" t="str">
        <f t="shared" si="6"/>
        <v/>
      </c>
      <c r="I108" s="28" t="str">
        <f t="shared" si="7"/>
        <v/>
      </c>
    </row>
    <row r="109" spans="1:9" x14ac:dyDescent="0.35">
      <c r="A109" s="5" t="s">
        <v>26</v>
      </c>
      <c r="B109" s="8">
        <v>46813</v>
      </c>
      <c r="C109" s="34">
        <f>SUMIFS(Month_End!$D:$D,Month_End!$A:$A,B109,Month_End!$B:$B,A109)</f>
        <v>0</v>
      </c>
      <c r="D109" s="10">
        <f>SUMIFS(Transactions_PAC!$H:$H,Transactions_PAC!$B:$B,B109,Transactions_PAC!$C:$C,A109)</f>
        <v>108</v>
      </c>
      <c r="E109" s="10">
        <f>SUMIFS(Transactions_Manual!$E:$E,Transactions_Manual!$B:$B,B109,Transactions_Manual!$C:$C,A109)</f>
        <v>0</v>
      </c>
      <c r="F109" s="10">
        <f t="shared" si="5"/>
        <v>108</v>
      </c>
      <c r="G109" s="10">
        <f t="shared" si="8"/>
        <v>0</v>
      </c>
      <c r="H109" s="10" t="str">
        <f t="shared" si="6"/>
        <v/>
      </c>
      <c r="I109" s="28" t="str">
        <f t="shared" si="7"/>
        <v/>
      </c>
    </row>
    <row r="110" spans="1:9" x14ac:dyDescent="0.35">
      <c r="A110" s="5" t="s">
        <v>26</v>
      </c>
      <c r="B110" s="8">
        <v>46844</v>
      </c>
      <c r="C110" s="34">
        <f>SUMIFS(Month_End!$D:$D,Month_End!$A:$A,B110,Month_End!$B:$B,A110)</f>
        <v>0</v>
      </c>
      <c r="D110" s="10">
        <f>SUMIFS(Transactions_PAC!$H:$H,Transactions_PAC!$B:$B,B110,Transactions_PAC!$C:$C,A110)</f>
        <v>108</v>
      </c>
      <c r="E110" s="10">
        <f>SUMIFS(Transactions_Manual!$E:$E,Transactions_Manual!$B:$B,B110,Transactions_Manual!$C:$C,A110)</f>
        <v>0</v>
      </c>
      <c r="F110" s="10">
        <f t="shared" si="5"/>
        <v>108</v>
      </c>
      <c r="G110" s="10">
        <f t="shared" si="8"/>
        <v>0</v>
      </c>
      <c r="H110" s="10" t="str">
        <f t="shared" si="6"/>
        <v/>
      </c>
      <c r="I110" s="28" t="str">
        <f t="shared" si="7"/>
        <v/>
      </c>
    </row>
    <row r="111" spans="1:9" x14ac:dyDescent="0.35">
      <c r="A111" s="5" t="s">
        <v>26</v>
      </c>
      <c r="B111" s="8">
        <v>46874</v>
      </c>
      <c r="C111" s="34">
        <f>SUMIFS(Month_End!$D:$D,Month_End!$A:$A,B111,Month_End!$B:$B,A111)</f>
        <v>0</v>
      </c>
      <c r="D111" s="10">
        <f>SUMIFS(Transactions_PAC!$H:$H,Transactions_PAC!$B:$B,B111,Transactions_PAC!$C:$C,A111)</f>
        <v>108</v>
      </c>
      <c r="E111" s="10">
        <f>SUMIFS(Transactions_Manual!$E:$E,Transactions_Manual!$B:$B,B111,Transactions_Manual!$C:$C,A111)</f>
        <v>0</v>
      </c>
      <c r="F111" s="10">
        <f t="shared" si="5"/>
        <v>108</v>
      </c>
      <c r="G111" s="10">
        <f t="shared" si="8"/>
        <v>0</v>
      </c>
      <c r="H111" s="10" t="str">
        <f t="shared" si="6"/>
        <v/>
      </c>
      <c r="I111" s="28" t="str">
        <f t="shared" si="7"/>
        <v/>
      </c>
    </row>
    <row r="112" spans="1:9" x14ac:dyDescent="0.35">
      <c r="A112" s="5" t="s">
        <v>26</v>
      </c>
      <c r="B112" s="8">
        <v>46905</v>
      </c>
      <c r="C112" s="34">
        <f>SUMIFS(Month_End!$D:$D,Month_End!$A:$A,B112,Month_End!$B:$B,A112)</f>
        <v>0</v>
      </c>
      <c r="D112" s="10">
        <f>SUMIFS(Transactions_PAC!$H:$H,Transactions_PAC!$B:$B,B112,Transactions_PAC!$C:$C,A112)</f>
        <v>108</v>
      </c>
      <c r="E112" s="10">
        <f>SUMIFS(Transactions_Manual!$E:$E,Transactions_Manual!$B:$B,B112,Transactions_Manual!$C:$C,A112)</f>
        <v>0</v>
      </c>
      <c r="F112" s="10">
        <f t="shared" si="5"/>
        <v>108</v>
      </c>
      <c r="G112" s="10">
        <f t="shared" si="8"/>
        <v>0</v>
      </c>
      <c r="H112" s="10" t="str">
        <f t="shared" si="6"/>
        <v/>
      </c>
      <c r="I112" s="28" t="str">
        <f t="shared" si="7"/>
        <v/>
      </c>
    </row>
    <row r="113" spans="1:9" x14ac:dyDescent="0.35">
      <c r="A113" s="5" t="s">
        <v>26</v>
      </c>
      <c r="B113" s="8">
        <v>46935</v>
      </c>
      <c r="C113" s="34">
        <f>SUMIFS(Month_End!$D:$D,Month_End!$A:$A,B113,Month_End!$B:$B,A113)</f>
        <v>0</v>
      </c>
      <c r="D113" s="10">
        <f>SUMIFS(Transactions_PAC!$H:$H,Transactions_PAC!$B:$B,B113,Transactions_PAC!$C:$C,A113)</f>
        <v>108</v>
      </c>
      <c r="E113" s="10">
        <f>SUMIFS(Transactions_Manual!$E:$E,Transactions_Manual!$B:$B,B113,Transactions_Manual!$C:$C,A113)</f>
        <v>0</v>
      </c>
      <c r="F113" s="10">
        <f t="shared" si="5"/>
        <v>108</v>
      </c>
      <c r="G113" s="10">
        <f t="shared" si="8"/>
        <v>0</v>
      </c>
      <c r="H113" s="10" t="str">
        <f t="shared" si="6"/>
        <v/>
      </c>
      <c r="I113" s="28" t="str">
        <f t="shared" si="7"/>
        <v/>
      </c>
    </row>
    <row r="114" spans="1:9" x14ac:dyDescent="0.35">
      <c r="A114" s="5" t="s">
        <v>26</v>
      </c>
      <c r="B114" s="8">
        <v>46966</v>
      </c>
      <c r="C114" s="34">
        <f>SUMIFS(Month_End!$D:$D,Month_End!$A:$A,B114,Month_End!$B:$B,A114)</f>
        <v>0</v>
      </c>
      <c r="D114" s="10">
        <f>SUMIFS(Transactions_PAC!$H:$H,Transactions_PAC!$B:$B,B114,Transactions_PAC!$C:$C,A114)</f>
        <v>108</v>
      </c>
      <c r="E114" s="10">
        <f>SUMIFS(Transactions_Manual!$E:$E,Transactions_Manual!$B:$B,B114,Transactions_Manual!$C:$C,A114)</f>
        <v>0</v>
      </c>
      <c r="F114" s="10">
        <f t="shared" si="5"/>
        <v>108</v>
      </c>
      <c r="G114" s="10">
        <f t="shared" si="8"/>
        <v>0</v>
      </c>
      <c r="H114" s="10" t="str">
        <f t="shared" si="6"/>
        <v/>
      </c>
      <c r="I114" s="28" t="str">
        <f t="shared" si="7"/>
        <v/>
      </c>
    </row>
    <row r="115" spans="1:9" x14ac:dyDescent="0.35">
      <c r="A115" s="5" t="s">
        <v>26</v>
      </c>
      <c r="B115" s="8">
        <v>46997</v>
      </c>
      <c r="C115" s="34">
        <f>SUMIFS(Month_End!$D:$D,Month_End!$A:$A,B115,Month_End!$B:$B,A115)</f>
        <v>0</v>
      </c>
      <c r="D115" s="10">
        <f>SUMIFS(Transactions_PAC!$H:$H,Transactions_PAC!$B:$B,B115,Transactions_PAC!$C:$C,A115)</f>
        <v>108</v>
      </c>
      <c r="E115" s="10">
        <f>SUMIFS(Transactions_Manual!$E:$E,Transactions_Manual!$B:$B,B115,Transactions_Manual!$C:$C,A115)</f>
        <v>0</v>
      </c>
      <c r="F115" s="10">
        <f t="shared" si="5"/>
        <v>108</v>
      </c>
      <c r="G115" s="10">
        <f t="shared" si="8"/>
        <v>0</v>
      </c>
      <c r="H115" s="10" t="str">
        <f t="shared" si="6"/>
        <v/>
      </c>
      <c r="I115" s="28" t="str">
        <f t="shared" si="7"/>
        <v/>
      </c>
    </row>
    <row r="116" spans="1:9" x14ac:dyDescent="0.35">
      <c r="A116" s="5" t="s">
        <v>26</v>
      </c>
      <c r="B116" s="8">
        <v>47027</v>
      </c>
      <c r="C116" s="34">
        <f>SUMIFS(Month_End!$D:$D,Month_End!$A:$A,B116,Month_End!$B:$B,A116)</f>
        <v>0</v>
      </c>
      <c r="D116" s="10">
        <f>SUMIFS(Transactions_PAC!$H:$H,Transactions_PAC!$B:$B,B116,Transactions_PAC!$C:$C,A116)</f>
        <v>108</v>
      </c>
      <c r="E116" s="10">
        <f>SUMIFS(Transactions_Manual!$E:$E,Transactions_Manual!$B:$B,B116,Transactions_Manual!$C:$C,A116)</f>
        <v>0</v>
      </c>
      <c r="F116" s="10">
        <f t="shared" si="5"/>
        <v>108</v>
      </c>
      <c r="G116" s="10">
        <f t="shared" si="8"/>
        <v>0</v>
      </c>
      <c r="H116" s="10" t="str">
        <f t="shared" si="6"/>
        <v/>
      </c>
      <c r="I116" s="28" t="str">
        <f t="shared" si="7"/>
        <v/>
      </c>
    </row>
    <row r="117" spans="1:9" x14ac:dyDescent="0.35">
      <c r="A117" s="5" t="s">
        <v>26</v>
      </c>
      <c r="B117" s="8">
        <v>47058</v>
      </c>
      <c r="C117" s="34">
        <f>SUMIFS(Month_End!$D:$D,Month_End!$A:$A,B117,Month_End!$B:$B,A117)</f>
        <v>0</v>
      </c>
      <c r="D117" s="10">
        <f>SUMIFS(Transactions_PAC!$H:$H,Transactions_PAC!$B:$B,B117,Transactions_PAC!$C:$C,A117)</f>
        <v>108</v>
      </c>
      <c r="E117" s="10">
        <f>SUMIFS(Transactions_Manual!$E:$E,Transactions_Manual!$B:$B,B117,Transactions_Manual!$C:$C,A117)</f>
        <v>0</v>
      </c>
      <c r="F117" s="10">
        <f t="shared" si="5"/>
        <v>108</v>
      </c>
      <c r="G117" s="10">
        <f t="shared" si="8"/>
        <v>0</v>
      </c>
      <c r="H117" s="10" t="str">
        <f t="shared" si="6"/>
        <v/>
      </c>
      <c r="I117" s="28" t="str">
        <f t="shared" si="7"/>
        <v/>
      </c>
    </row>
    <row r="118" spans="1:9" x14ac:dyDescent="0.35">
      <c r="A118" s="5" t="s">
        <v>26</v>
      </c>
      <c r="B118" s="8">
        <v>47088</v>
      </c>
      <c r="C118" s="34">
        <f>SUMIFS(Month_End!$D:$D,Month_End!$A:$A,B118,Month_End!$B:$B,A118)</f>
        <v>0</v>
      </c>
      <c r="D118" s="10">
        <f>SUMIFS(Transactions_PAC!$H:$H,Transactions_PAC!$B:$B,B118,Transactions_PAC!$C:$C,A118)</f>
        <v>108</v>
      </c>
      <c r="E118" s="10">
        <f>SUMIFS(Transactions_Manual!$E:$E,Transactions_Manual!$B:$B,B118,Transactions_Manual!$C:$C,A118)</f>
        <v>0</v>
      </c>
      <c r="F118" s="10">
        <f t="shared" si="5"/>
        <v>108</v>
      </c>
      <c r="G118" s="10">
        <f t="shared" si="8"/>
        <v>0</v>
      </c>
      <c r="H118" s="10" t="str">
        <f t="shared" si="6"/>
        <v/>
      </c>
      <c r="I118" s="28" t="str">
        <f t="shared" si="7"/>
        <v/>
      </c>
    </row>
    <row r="119" spans="1:9" x14ac:dyDescent="0.35">
      <c r="A119" s="5" t="s">
        <v>29</v>
      </c>
      <c r="B119" s="8">
        <v>45931</v>
      </c>
      <c r="C119" s="34">
        <f>SUMIFS(Month_End!$D:$D,Month_End!$A:$A,B119,Month_End!$B:$B,A119)</f>
        <v>1456</v>
      </c>
      <c r="D119" s="10">
        <f>SUMIFS(Transactions_PAC!$H:$H,Transactions_PAC!$B:$B,B119,Transactions_PAC!$C:$C,A119)</f>
        <v>0</v>
      </c>
      <c r="E119" s="10">
        <f>SUMIFS(Transactions_Manual!$E:$E,Transactions_Manual!$B:$B,B119,Transactions_Manual!$C:$C,A119)</f>
        <v>52</v>
      </c>
      <c r="F119" s="10">
        <f t="shared" si="5"/>
        <v>52</v>
      </c>
      <c r="G119" s="10"/>
      <c r="H119" s="10" t="str">
        <f t="shared" si="6"/>
        <v/>
      </c>
      <c r="I119" s="28" t="str">
        <f t="shared" si="7"/>
        <v/>
      </c>
    </row>
    <row r="120" spans="1:9" x14ac:dyDescent="0.35">
      <c r="A120" s="5" t="s">
        <v>29</v>
      </c>
      <c r="B120" s="8">
        <v>45962</v>
      </c>
      <c r="C120" s="34">
        <f>SUMIFS(Month_End!$D:$D,Month_End!$A:$A,B120,Month_End!$B:$B,A120)</f>
        <v>1470</v>
      </c>
      <c r="D120" s="10">
        <f>SUMIFS(Transactions_PAC!$H:$H,Transactions_PAC!$B:$B,B120,Transactions_PAC!$C:$C,A120)</f>
        <v>0</v>
      </c>
      <c r="E120" s="10">
        <f>SUMIFS(Transactions_Manual!$E:$E,Transactions_Manual!$B:$B,B120,Transactions_Manual!$C:$C,A120)</f>
        <v>52</v>
      </c>
      <c r="F120" s="10">
        <f t="shared" si="5"/>
        <v>52</v>
      </c>
      <c r="G120" s="10">
        <f t="shared" ref="G120:G157" si="9">C119</f>
        <v>1456</v>
      </c>
      <c r="H120" s="10">
        <f t="shared" si="6"/>
        <v>-38</v>
      </c>
      <c r="I120" s="28">
        <f t="shared" si="7"/>
        <v>-2.564102564102564E-2</v>
      </c>
    </row>
    <row r="121" spans="1:9" x14ac:dyDescent="0.35">
      <c r="A121" s="5" t="s">
        <v>29</v>
      </c>
      <c r="B121" s="8">
        <v>45992</v>
      </c>
      <c r="C121" s="34">
        <f>SUMIFS(Month_End!$D:$D,Month_End!$A:$A,B121,Month_End!$B:$B,A121)</f>
        <v>1547</v>
      </c>
      <c r="D121" s="10">
        <f>SUMIFS(Transactions_PAC!$H:$H,Transactions_PAC!$B:$B,B121,Transactions_PAC!$C:$C,A121)</f>
        <v>0</v>
      </c>
      <c r="E121" s="10">
        <f>SUMIFS(Transactions_Manual!$E:$E,Transactions_Manual!$B:$B,B121,Transactions_Manual!$C:$C,A121)</f>
        <v>52</v>
      </c>
      <c r="F121" s="10">
        <f t="shared" si="5"/>
        <v>52</v>
      </c>
      <c r="G121" s="10">
        <f t="shared" si="9"/>
        <v>1470</v>
      </c>
      <c r="H121" s="10">
        <f t="shared" si="6"/>
        <v>25</v>
      </c>
      <c r="I121" s="28">
        <f t="shared" si="7"/>
        <v>1.6711229946524065E-2</v>
      </c>
    </row>
    <row r="122" spans="1:9" x14ac:dyDescent="0.35">
      <c r="A122" s="5" t="s">
        <v>29</v>
      </c>
      <c r="B122" s="8">
        <v>46023</v>
      </c>
      <c r="C122" s="34">
        <f>SUMIFS(Month_End!$D:$D,Month_End!$A:$A,B122,Month_End!$B:$B,A122)</f>
        <v>1568</v>
      </c>
      <c r="D122" s="10">
        <f>SUMIFS(Transactions_PAC!$H:$H,Transactions_PAC!$B:$B,B122,Transactions_PAC!$C:$C,A122)</f>
        <v>0</v>
      </c>
      <c r="E122" s="10">
        <f>SUMIFS(Transactions_Manual!$E:$E,Transactions_Manual!$B:$B,B122,Transactions_Manual!$C:$C,A122)</f>
        <v>52</v>
      </c>
      <c r="F122" s="10">
        <f t="shared" si="5"/>
        <v>52</v>
      </c>
      <c r="G122" s="10">
        <f t="shared" si="9"/>
        <v>1547</v>
      </c>
      <c r="H122" s="10">
        <f t="shared" si="6"/>
        <v>-31</v>
      </c>
      <c r="I122" s="28">
        <f t="shared" si="7"/>
        <v>-1.9707565162110616E-2</v>
      </c>
    </row>
    <row r="123" spans="1:9" x14ac:dyDescent="0.35">
      <c r="A123" s="5" t="s">
        <v>29</v>
      </c>
      <c r="B123" s="8">
        <v>46054</v>
      </c>
      <c r="C123" s="34">
        <f>SUMIFS(Month_End!$D:$D,Month_End!$A:$A,B123,Month_End!$B:$B,A123)</f>
        <v>1640</v>
      </c>
      <c r="D123" s="10">
        <f>SUMIFS(Transactions_PAC!$H:$H,Transactions_PAC!$B:$B,B123,Transactions_PAC!$C:$C,A123)</f>
        <v>0</v>
      </c>
      <c r="E123" s="10">
        <f>SUMIFS(Transactions_Manual!$E:$E,Transactions_Manual!$B:$B,B123,Transactions_Manual!$C:$C,A123)</f>
        <v>52</v>
      </c>
      <c r="F123" s="10">
        <f t="shared" si="5"/>
        <v>52</v>
      </c>
      <c r="G123" s="10">
        <f t="shared" si="9"/>
        <v>1568</v>
      </c>
      <c r="H123" s="10">
        <f t="shared" si="6"/>
        <v>20</v>
      </c>
      <c r="I123" s="28">
        <f t="shared" si="7"/>
        <v>1.2547051442910916E-2</v>
      </c>
    </row>
    <row r="124" spans="1:9" x14ac:dyDescent="0.35">
      <c r="A124" s="5" t="s">
        <v>29</v>
      </c>
      <c r="B124" s="8">
        <v>46082</v>
      </c>
      <c r="C124" s="34">
        <f>SUMIFS(Month_End!$D:$D,Month_End!$A:$A,B124,Month_End!$B:$B,A124)</f>
        <v>1666</v>
      </c>
      <c r="D124" s="10">
        <f>SUMIFS(Transactions_PAC!$H:$H,Transactions_PAC!$B:$B,B124,Transactions_PAC!$C:$C,A124)</f>
        <v>0</v>
      </c>
      <c r="E124" s="10">
        <f>SUMIFS(Transactions_Manual!$E:$E,Transactions_Manual!$B:$B,B124,Transactions_Manual!$C:$C,A124)</f>
        <v>52</v>
      </c>
      <c r="F124" s="10">
        <f t="shared" si="5"/>
        <v>52</v>
      </c>
      <c r="G124" s="10">
        <f t="shared" si="9"/>
        <v>1640</v>
      </c>
      <c r="H124" s="10">
        <f t="shared" si="6"/>
        <v>-26</v>
      </c>
      <c r="I124" s="28">
        <f t="shared" si="7"/>
        <v>-1.5606242496998799E-2</v>
      </c>
    </row>
    <row r="125" spans="1:9" x14ac:dyDescent="0.35">
      <c r="A125" s="5" t="s">
        <v>29</v>
      </c>
      <c r="B125" s="8">
        <v>46113</v>
      </c>
      <c r="C125" s="34">
        <f>SUMIFS(Month_End!$D:$D,Month_End!$A:$A,B125,Month_End!$B:$B,A125)</f>
        <v>0</v>
      </c>
      <c r="D125" s="10">
        <f>SUMIFS(Transactions_PAC!$H:$H,Transactions_PAC!$B:$B,B125,Transactions_PAC!$C:$C,A125)</f>
        <v>80</v>
      </c>
      <c r="E125" s="10">
        <f>SUMIFS(Transactions_Manual!$E:$E,Transactions_Manual!$B:$B,B125,Transactions_Manual!$C:$C,A125)</f>
        <v>0</v>
      </c>
      <c r="F125" s="10">
        <f t="shared" si="5"/>
        <v>80</v>
      </c>
      <c r="G125" s="10">
        <f t="shared" si="9"/>
        <v>1666</v>
      </c>
      <c r="H125" s="10" t="str">
        <f t="shared" si="6"/>
        <v/>
      </c>
      <c r="I125" s="28" t="str">
        <f t="shared" si="7"/>
        <v/>
      </c>
    </row>
    <row r="126" spans="1:9" x14ac:dyDescent="0.35">
      <c r="A126" s="5" t="s">
        <v>29</v>
      </c>
      <c r="B126" s="8">
        <v>46143</v>
      </c>
      <c r="C126" s="34">
        <f>SUMIFS(Month_End!$D:$D,Month_End!$A:$A,B126,Month_End!$B:$B,A126)</f>
        <v>0</v>
      </c>
      <c r="D126" s="10">
        <f>SUMIFS(Transactions_PAC!$H:$H,Transactions_PAC!$B:$B,B126,Transactions_PAC!$C:$C,A126)</f>
        <v>80</v>
      </c>
      <c r="E126" s="10">
        <f>SUMIFS(Transactions_Manual!$E:$E,Transactions_Manual!$B:$B,B126,Transactions_Manual!$C:$C,A126)</f>
        <v>0</v>
      </c>
      <c r="F126" s="10">
        <f t="shared" si="5"/>
        <v>80</v>
      </c>
      <c r="G126" s="10">
        <f t="shared" si="9"/>
        <v>0</v>
      </c>
      <c r="H126" s="10" t="str">
        <f t="shared" si="6"/>
        <v/>
      </c>
      <c r="I126" s="28" t="str">
        <f t="shared" si="7"/>
        <v/>
      </c>
    </row>
    <row r="127" spans="1:9" x14ac:dyDescent="0.35">
      <c r="A127" s="5" t="s">
        <v>29</v>
      </c>
      <c r="B127" s="8">
        <v>46174</v>
      </c>
      <c r="C127" s="34">
        <f>SUMIFS(Month_End!$D:$D,Month_End!$A:$A,B127,Month_End!$B:$B,A127)</f>
        <v>0</v>
      </c>
      <c r="D127" s="10">
        <f>SUMIFS(Transactions_PAC!$H:$H,Transactions_PAC!$B:$B,B127,Transactions_PAC!$C:$C,A127)</f>
        <v>80</v>
      </c>
      <c r="E127" s="10">
        <f>SUMIFS(Transactions_Manual!$E:$E,Transactions_Manual!$B:$B,B127,Transactions_Manual!$C:$C,A127)</f>
        <v>0</v>
      </c>
      <c r="F127" s="10">
        <f t="shared" si="5"/>
        <v>80</v>
      </c>
      <c r="G127" s="10">
        <f t="shared" si="9"/>
        <v>0</v>
      </c>
      <c r="H127" s="10" t="str">
        <f t="shared" si="6"/>
        <v/>
      </c>
      <c r="I127" s="28" t="str">
        <f t="shared" si="7"/>
        <v/>
      </c>
    </row>
    <row r="128" spans="1:9" x14ac:dyDescent="0.35">
      <c r="A128" s="5" t="s">
        <v>29</v>
      </c>
      <c r="B128" s="8">
        <v>46204</v>
      </c>
      <c r="C128" s="34">
        <f>SUMIFS(Month_End!$D:$D,Month_End!$A:$A,B128,Month_End!$B:$B,A128)</f>
        <v>0</v>
      </c>
      <c r="D128" s="10">
        <f>SUMIFS(Transactions_PAC!$H:$H,Transactions_PAC!$B:$B,B128,Transactions_PAC!$C:$C,A128)</f>
        <v>80</v>
      </c>
      <c r="E128" s="10">
        <f>SUMIFS(Transactions_Manual!$E:$E,Transactions_Manual!$B:$B,B128,Transactions_Manual!$C:$C,A128)</f>
        <v>0</v>
      </c>
      <c r="F128" s="10">
        <f t="shared" si="5"/>
        <v>80</v>
      </c>
      <c r="G128" s="10">
        <f t="shared" si="9"/>
        <v>0</v>
      </c>
      <c r="H128" s="10" t="str">
        <f t="shared" si="6"/>
        <v/>
      </c>
      <c r="I128" s="28" t="str">
        <f t="shared" si="7"/>
        <v/>
      </c>
    </row>
    <row r="129" spans="1:9" x14ac:dyDescent="0.35">
      <c r="A129" s="5" t="s">
        <v>29</v>
      </c>
      <c r="B129" s="8">
        <v>46235</v>
      </c>
      <c r="C129" s="34">
        <f>SUMIFS(Month_End!$D:$D,Month_End!$A:$A,B129,Month_End!$B:$B,A129)</f>
        <v>0</v>
      </c>
      <c r="D129" s="10">
        <f>SUMIFS(Transactions_PAC!$H:$H,Transactions_PAC!$B:$B,B129,Transactions_PAC!$C:$C,A129)</f>
        <v>80</v>
      </c>
      <c r="E129" s="10">
        <f>SUMIFS(Transactions_Manual!$E:$E,Transactions_Manual!$B:$B,B129,Transactions_Manual!$C:$C,A129)</f>
        <v>0</v>
      </c>
      <c r="F129" s="10">
        <f t="shared" si="5"/>
        <v>80</v>
      </c>
      <c r="G129" s="10">
        <f t="shared" si="9"/>
        <v>0</v>
      </c>
      <c r="H129" s="10" t="str">
        <f t="shared" si="6"/>
        <v/>
      </c>
      <c r="I129" s="28" t="str">
        <f t="shared" si="7"/>
        <v/>
      </c>
    </row>
    <row r="130" spans="1:9" x14ac:dyDescent="0.35">
      <c r="A130" s="5" t="s">
        <v>29</v>
      </c>
      <c r="B130" s="8">
        <v>46266</v>
      </c>
      <c r="C130" s="34">
        <f>SUMIFS(Month_End!$D:$D,Month_End!$A:$A,B130,Month_End!$B:$B,A130)</f>
        <v>0</v>
      </c>
      <c r="D130" s="10">
        <f>SUMIFS(Transactions_PAC!$H:$H,Transactions_PAC!$B:$B,B130,Transactions_PAC!$C:$C,A130)</f>
        <v>80</v>
      </c>
      <c r="E130" s="10">
        <f>SUMIFS(Transactions_Manual!$E:$E,Transactions_Manual!$B:$B,B130,Transactions_Manual!$C:$C,A130)</f>
        <v>0</v>
      </c>
      <c r="F130" s="10">
        <f t="shared" ref="F130:F193" si="10">D130+E130</f>
        <v>80</v>
      </c>
      <c r="G130" s="10">
        <f t="shared" si="9"/>
        <v>0</v>
      </c>
      <c r="H130" s="10" t="str">
        <f t="shared" si="6"/>
        <v/>
      </c>
      <c r="I130" s="28" t="str">
        <f t="shared" si="7"/>
        <v/>
      </c>
    </row>
    <row r="131" spans="1:9" x14ac:dyDescent="0.35">
      <c r="A131" s="5" t="s">
        <v>29</v>
      </c>
      <c r="B131" s="8">
        <v>46296</v>
      </c>
      <c r="C131" s="34">
        <f>SUMIFS(Month_End!$D:$D,Month_End!$A:$A,B131,Month_End!$B:$B,A131)</f>
        <v>0</v>
      </c>
      <c r="D131" s="10">
        <f>SUMIFS(Transactions_PAC!$H:$H,Transactions_PAC!$B:$B,B131,Transactions_PAC!$C:$C,A131)</f>
        <v>80</v>
      </c>
      <c r="E131" s="10">
        <f>SUMIFS(Transactions_Manual!$E:$E,Transactions_Manual!$B:$B,B131,Transactions_Manual!$C:$C,A131)</f>
        <v>0</v>
      </c>
      <c r="F131" s="10">
        <f t="shared" si="10"/>
        <v>80</v>
      </c>
      <c r="G131" s="10">
        <f t="shared" si="9"/>
        <v>0</v>
      </c>
      <c r="H131" s="10" t="str">
        <f t="shared" ref="H131:H194" si="11">IF(OR(C131=0,G131=0),"",C131-G131-F131)</f>
        <v/>
      </c>
      <c r="I131" s="28" t="str">
        <f t="shared" ref="I131:I194" si="12">IF(OR(C131=0,G131=0,H131=0),"",H131/(G131+F131/2))</f>
        <v/>
      </c>
    </row>
    <row r="132" spans="1:9" x14ac:dyDescent="0.35">
      <c r="A132" s="5" t="s">
        <v>29</v>
      </c>
      <c r="B132" s="8">
        <v>46327</v>
      </c>
      <c r="C132" s="34">
        <f>SUMIFS(Month_End!$D:$D,Month_End!$A:$A,B132,Month_End!$B:$B,A132)</f>
        <v>0</v>
      </c>
      <c r="D132" s="10">
        <f>SUMIFS(Transactions_PAC!$H:$H,Transactions_PAC!$B:$B,B132,Transactions_PAC!$C:$C,A132)</f>
        <v>80</v>
      </c>
      <c r="E132" s="10">
        <f>SUMIFS(Transactions_Manual!$E:$E,Transactions_Manual!$B:$B,B132,Transactions_Manual!$C:$C,A132)</f>
        <v>0</v>
      </c>
      <c r="F132" s="10">
        <f t="shared" si="10"/>
        <v>80</v>
      </c>
      <c r="G132" s="10">
        <f t="shared" si="9"/>
        <v>0</v>
      </c>
      <c r="H132" s="10" t="str">
        <f t="shared" si="11"/>
        <v/>
      </c>
      <c r="I132" s="28" t="str">
        <f t="shared" si="12"/>
        <v/>
      </c>
    </row>
    <row r="133" spans="1:9" x14ac:dyDescent="0.35">
      <c r="A133" s="5" t="s">
        <v>29</v>
      </c>
      <c r="B133" s="8">
        <v>46357</v>
      </c>
      <c r="C133" s="34">
        <f>SUMIFS(Month_End!$D:$D,Month_End!$A:$A,B133,Month_End!$B:$B,A133)</f>
        <v>0</v>
      </c>
      <c r="D133" s="10">
        <f>SUMIFS(Transactions_PAC!$H:$H,Transactions_PAC!$B:$B,B133,Transactions_PAC!$C:$C,A133)</f>
        <v>80</v>
      </c>
      <c r="E133" s="10">
        <f>SUMIFS(Transactions_Manual!$E:$E,Transactions_Manual!$B:$B,B133,Transactions_Manual!$C:$C,A133)</f>
        <v>0</v>
      </c>
      <c r="F133" s="10">
        <f t="shared" si="10"/>
        <v>80</v>
      </c>
      <c r="G133" s="10">
        <f t="shared" si="9"/>
        <v>0</v>
      </c>
      <c r="H133" s="10" t="str">
        <f t="shared" si="11"/>
        <v/>
      </c>
      <c r="I133" s="28" t="str">
        <f t="shared" si="12"/>
        <v/>
      </c>
    </row>
    <row r="134" spans="1:9" x14ac:dyDescent="0.35">
      <c r="A134" s="5" t="s">
        <v>29</v>
      </c>
      <c r="B134" s="8">
        <v>46388</v>
      </c>
      <c r="C134" s="34">
        <f>SUMIFS(Month_End!$D:$D,Month_End!$A:$A,B134,Month_End!$B:$B,A134)</f>
        <v>0</v>
      </c>
      <c r="D134" s="10">
        <f>SUMIFS(Transactions_PAC!$H:$H,Transactions_PAC!$B:$B,B134,Transactions_PAC!$C:$C,A134)</f>
        <v>80</v>
      </c>
      <c r="E134" s="10">
        <f>SUMIFS(Transactions_Manual!$E:$E,Transactions_Manual!$B:$B,B134,Transactions_Manual!$C:$C,A134)</f>
        <v>0</v>
      </c>
      <c r="F134" s="10">
        <f t="shared" si="10"/>
        <v>80</v>
      </c>
      <c r="G134" s="10">
        <f t="shared" si="9"/>
        <v>0</v>
      </c>
      <c r="H134" s="10" t="str">
        <f t="shared" si="11"/>
        <v/>
      </c>
      <c r="I134" s="28" t="str">
        <f t="shared" si="12"/>
        <v/>
      </c>
    </row>
    <row r="135" spans="1:9" x14ac:dyDescent="0.35">
      <c r="A135" s="5" t="s">
        <v>29</v>
      </c>
      <c r="B135" s="8">
        <v>46419</v>
      </c>
      <c r="C135" s="34">
        <f>SUMIFS(Month_End!$D:$D,Month_End!$A:$A,B135,Month_End!$B:$B,A135)</f>
        <v>0</v>
      </c>
      <c r="D135" s="10">
        <f>SUMIFS(Transactions_PAC!$H:$H,Transactions_PAC!$B:$B,B135,Transactions_PAC!$C:$C,A135)</f>
        <v>80</v>
      </c>
      <c r="E135" s="10">
        <f>SUMIFS(Transactions_Manual!$E:$E,Transactions_Manual!$B:$B,B135,Transactions_Manual!$C:$C,A135)</f>
        <v>0</v>
      </c>
      <c r="F135" s="10">
        <f t="shared" si="10"/>
        <v>80</v>
      </c>
      <c r="G135" s="10">
        <f t="shared" si="9"/>
        <v>0</v>
      </c>
      <c r="H135" s="10" t="str">
        <f t="shared" si="11"/>
        <v/>
      </c>
      <c r="I135" s="28" t="str">
        <f t="shared" si="12"/>
        <v/>
      </c>
    </row>
    <row r="136" spans="1:9" x14ac:dyDescent="0.35">
      <c r="A136" s="5" t="s">
        <v>29</v>
      </c>
      <c r="B136" s="8">
        <v>46447</v>
      </c>
      <c r="C136" s="34">
        <f>SUMIFS(Month_End!$D:$D,Month_End!$A:$A,B136,Month_End!$B:$B,A136)</f>
        <v>0</v>
      </c>
      <c r="D136" s="10">
        <f>SUMIFS(Transactions_PAC!$H:$H,Transactions_PAC!$B:$B,B136,Transactions_PAC!$C:$C,A136)</f>
        <v>80</v>
      </c>
      <c r="E136" s="10">
        <f>SUMIFS(Transactions_Manual!$E:$E,Transactions_Manual!$B:$B,B136,Transactions_Manual!$C:$C,A136)</f>
        <v>0</v>
      </c>
      <c r="F136" s="10">
        <f t="shared" si="10"/>
        <v>80</v>
      </c>
      <c r="G136" s="10">
        <f t="shared" si="9"/>
        <v>0</v>
      </c>
      <c r="H136" s="10" t="str">
        <f t="shared" si="11"/>
        <v/>
      </c>
      <c r="I136" s="28" t="str">
        <f t="shared" si="12"/>
        <v/>
      </c>
    </row>
    <row r="137" spans="1:9" x14ac:dyDescent="0.35">
      <c r="A137" s="5" t="s">
        <v>29</v>
      </c>
      <c r="B137" s="8">
        <v>46478</v>
      </c>
      <c r="C137" s="34">
        <f>SUMIFS(Month_End!$D:$D,Month_End!$A:$A,B137,Month_End!$B:$B,A137)</f>
        <v>0</v>
      </c>
      <c r="D137" s="10">
        <f>SUMIFS(Transactions_PAC!$H:$H,Transactions_PAC!$B:$B,B137,Transactions_PAC!$C:$C,A137)</f>
        <v>80</v>
      </c>
      <c r="E137" s="10">
        <f>SUMIFS(Transactions_Manual!$E:$E,Transactions_Manual!$B:$B,B137,Transactions_Manual!$C:$C,A137)</f>
        <v>0</v>
      </c>
      <c r="F137" s="10">
        <f t="shared" si="10"/>
        <v>80</v>
      </c>
      <c r="G137" s="10">
        <f t="shared" si="9"/>
        <v>0</v>
      </c>
      <c r="H137" s="10" t="str">
        <f t="shared" si="11"/>
        <v/>
      </c>
      <c r="I137" s="28" t="str">
        <f t="shared" si="12"/>
        <v/>
      </c>
    </row>
    <row r="138" spans="1:9" x14ac:dyDescent="0.35">
      <c r="A138" s="5" t="s">
        <v>29</v>
      </c>
      <c r="B138" s="8">
        <v>46508</v>
      </c>
      <c r="C138" s="34">
        <f>SUMIFS(Month_End!$D:$D,Month_End!$A:$A,B138,Month_End!$B:$B,A138)</f>
        <v>0</v>
      </c>
      <c r="D138" s="10">
        <f>SUMIFS(Transactions_PAC!$H:$H,Transactions_PAC!$B:$B,B138,Transactions_PAC!$C:$C,A138)</f>
        <v>80</v>
      </c>
      <c r="E138" s="10">
        <f>SUMIFS(Transactions_Manual!$E:$E,Transactions_Manual!$B:$B,B138,Transactions_Manual!$C:$C,A138)</f>
        <v>0</v>
      </c>
      <c r="F138" s="10">
        <f t="shared" si="10"/>
        <v>80</v>
      </c>
      <c r="G138" s="10">
        <f t="shared" si="9"/>
        <v>0</v>
      </c>
      <c r="H138" s="10" t="str">
        <f t="shared" si="11"/>
        <v/>
      </c>
      <c r="I138" s="28" t="str">
        <f t="shared" si="12"/>
        <v/>
      </c>
    </row>
    <row r="139" spans="1:9" x14ac:dyDescent="0.35">
      <c r="A139" s="5" t="s">
        <v>29</v>
      </c>
      <c r="B139" s="8">
        <v>46539</v>
      </c>
      <c r="C139" s="34">
        <f>SUMIFS(Month_End!$D:$D,Month_End!$A:$A,B139,Month_End!$B:$B,A139)</f>
        <v>0</v>
      </c>
      <c r="D139" s="10">
        <f>SUMIFS(Transactions_PAC!$H:$H,Transactions_PAC!$B:$B,B139,Transactions_PAC!$C:$C,A139)</f>
        <v>80</v>
      </c>
      <c r="E139" s="10">
        <f>SUMIFS(Transactions_Manual!$E:$E,Transactions_Manual!$B:$B,B139,Transactions_Manual!$C:$C,A139)</f>
        <v>0</v>
      </c>
      <c r="F139" s="10">
        <f t="shared" si="10"/>
        <v>80</v>
      </c>
      <c r="G139" s="10">
        <f t="shared" si="9"/>
        <v>0</v>
      </c>
      <c r="H139" s="10" t="str">
        <f t="shared" si="11"/>
        <v/>
      </c>
      <c r="I139" s="28" t="str">
        <f t="shared" si="12"/>
        <v/>
      </c>
    </row>
    <row r="140" spans="1:9" x14ac:dyDescent="0.35">
      <c r="A140" s="5" t="s">
        <v>29</v>
      </c>
      <c r="B140" s="8">
        <v>46569</v>
      </c>
      <c r="C140" s="34">
        <f>SUMIFS(Month_End!$D:$D,Month_End!$A:$A,B140,Month_End!$B:$B,A140)</f>
        <v>0</v>
      </c>
      <c r="D140" s="10">
        <f>SUMIFS(Transactions_PAC!$H:$H,Transactions_PAC!$B:$B,B140,Transactions_PAC!$C:$C,A140)</f>
        <v>80</v>
      </c>
      <c r="E140" s="10">
        <f>SUMIFS(Transactions_Manual!$E:$E,Transactions_Manual!$B:$B,B140,Transactions_Manual!$C:$C,A140)</f>
        <v>0</v>
      </c>
      <c r="F140" s="10">
        <f t="shared" si="10"/>
        <v>80</v>
      </c>
      <c r="G140" s="10">
        <f t="shared" si="9"/>
        <v>0</v>
      </c>
      <c r="H140" s="10" t="str">
        <f t="shared" si="11"/>
        <v/>
      </c>
      <c r="I140" s="28" t="str">
        <f t="shared" si="12"/>
        <v/>
      </c>
    </row>
    <row r="141" spans="1:9" x14ac:dyDescent="0.35">
      <c r="A141" s="5" t="s">
        <v>29</v>
      </c>
      <c r="B141" s="8">
        <v>46600</v>
      </c>
      <c r="C141" s="34">
        <f>SUMIFS(Month_End!$D:$D,Month_End!$A:$A,B141,Month_End!$B:$B,A141)</f>
        <v>0</v>
      </c>
      <c r="D141" s="10">
        <f>SUMIFS(Transactions_PAC!$H:$H,Transactions_PAC!$B:$B,B141,Transactions_PAC!$C:$C,A141)</f>
        <v>80</v>
      </c>
      <c r="E141" s="10">
        <f>SUMIFS(Transactions_Manual!$E:$E,Transactions_Manual!$B:$B,B141,Transactions_Manual!$C:$C,A141)</f>
        <v>0</v>
      </c>
      <c r="F141" s="10">
        <f t="shared" si="10"/>
        <v>80</v>
      </c>
      <c r="G141" s="10">
        <f t="shared" si="9"/>
        <v>0</v>
      </c>
      <c r="H141" s="10" t="str">
        <f t="shared" si="11"/>
        <v/>
      </c>
      <c r="I141" s="28" t="str">
        <f t="shared" si="12"/>
        <v/>
      </c>
    </row>
    <row r="142" spans="1:9" x14ac:dyDescent="0.35">
      <c r="A142" s="5" t="s">
        <v>29</v>
      </c>
      <c r="B142" s="8">
        <v>46631</v>
      </c>
      <c r="C142" s="34">
        <f>SUMIFS(Month_End!$D:$D,Month_End!$A:$A,B142,Month_End!$B:$B,A142)</f>
        <v>0</v>
      </c>
      <c r="D142" s="10">
        <f>SUMIFS(Transactions_PAC!$H:$H,Transactions_PAC!$B:$B,B142,Transactions_PAC!$C:$C,A142)</f>
        <v>80</v>
      </c>
      <c r="E142" s="10">
        <f>SUMIFS(Transactions_Manual!$E:$E,Transactions_Manual!$B:$B,B142,Transactions_Manual!$C:$C,A142)</f>
        <v>0</v>
      </c>
      <c r="F142" s="10">
        <f t="shared" si="10"/>
        <v>80</v>
      </c>
      <c r="G142" s="10">
        <f t="shared" si="9"/>
        <v>0</v>
      </c>
      <c r="H142" s="10" t="str">
        <f t="shared" si="11"/>
        <v/>
      </c>
      <c r="I142" s="28" t="str">
        <f t="shared" si="12"/>
        <v/>
      </c>
    </row>
    <row r="143" spans="1:9" x14ac:dyDescent="0.35">
      <c r="A143" s="5" t="s">
        <v>29</v>
      </c>
      <c r="B143" s="8">
        <v>46661</v>
      </c>
      <c r="C143" s="34">
        <f>SUMIFS(Month_End!$D:$D,Month_End!$A:$A,B143,Month_End!$B:$B,A143)</f>
        <v>0</v>
      </c>
      <c r="D143" s="10">
        <f>SUMIFS(Transactions_PAC!$H:$H,Transactions_PAC!$B:$B,B143,Transactions_PAC!$C:$C,A143)</f>
        <v>80</v>
      </c>
      <c r="E143" s="10">
        <f>SUMIFS(Transactions_Manual!$E:$E,Transactions_Manual!$B:$B,B143,Transactions_Manual!$C:$C,A143)</f>
        <v>0</v>
      </c>
      <c r="F143" s="10">
        <f t="shared" si="10"/>
        <v>80</v>
      </c>
      <c r="G143" s="10">
        <f t="shared" si="9"/>
        <v>0</v>
      </c>
      <c r="H143" s="10" t="str">
        <f t="shared" si="11"/>
        <v/>
      </c>
      <c r="I143" s="28" t="str">
        <f t="shared" si="12"/>
        <v/>
      </c>
    </row>
    <row r="144" spans="1:9" x14ac:dyDescent="0.35">
      <c r="A144" s="5" t="s">
        <v>29</v>
      </c>
      <c r="B144" s="8">
        <v>46692</v>
      </c>
      <c r="C144" s="34">
        <f>SUMIFS(Month_End!$D:$D,Month_End!$A:$A,B144,Month_End!$B:$B,A144)</f>
        <v>0</v>
      </c>
      <c r="D144" s="10">
        <f>SUMIFS(Transactions_PAC!$H:$H,Transactions_PAC!$B:$B,B144,Transactions_PAC!$C:$C,A144)</f>
        <v>80</v>
      </c>
      <c r="E144" s="10">
        <f>SUMIFS(Transactions_Manual!$E:$E,Transactions_Manual!$B:$B,B144,Transactions_Manual!$C:$C,A144)</f>
        <v>0</v>
      </c>
      <c r="F144" s="10">
        <f t="shared" si="10"/>
        <v>80</v>
      </c>
      <c r="G144" s="10">
        <f t="shared" si="9"/>
        <v>0</v>
      </c>
      <c r="H144" s="10" t="str">
        <f t="shared" si="11"/>
        <v/>
      </c>
      <c r="I144" s="28" t="str">
        <f t="shared" si="12"/>
        <v/>
      </c>
    </row>
    <row r="145" spans="1:9" x14ac:dyDescent="0.35">
      <c r="A145" s="5" t="s">
        <v>29</v>
      </c>
      <c r="B145" s="8">
        <v>46722</v>
      </c>
      <c r="C145" s="34">
        <f>SUMIFS(Month_End!$D:$D,Month_End!$A:$A,B145,Month_End!$B:$B,A145)</f>
        <v>0</v>
      </c>
      <c r="D145" s="10">
        <f>SUMIFS(Transactions_PAC!$H:$H,Transactions_PAC!$B:$B,B145,Transactions_PAC!$C:$C,A145)</f>
        <v>80</v>
      </c>
      <c r="E145" s="10">
        <f>SUMIFS(Transactions_Manual!$E:$E,Transactions_Manual!$B:$B,B145,Transactions_Manual!$C:$C,A145)</f>
        <v>0</v>
      </c>
      <c r="F145" s="10">
        <f t="shared" si="10"/>
        <v>80</v>
      </c>
      <c r="G145" s="10">
        <f t="shared" si="9"/>
        <v>0</v>
      </c>
      <c r="H145" s="10" t="str">
        <f t="shared" si="11"/>
        <v/>
      </c>
      <c r="I145" s="28" t="str">
        <f t="shared" si="12"/>
        <v/>
      </c>
    </row>
    <row r="146" spans="1:9" x14ac:dyDescent="0.35">
      <c r="A146" s="5" t="s">
        <v>29</v>
      </c>
      <c r="B146" s="8">
        <v>46753</v>
      </c>
      <c r="C146" s="34">
        <f>SUMIFS(Month_End!$D:$D,Month_End!$A:$A,B146,Month_End!$B:$B,A146)</f>
        <v>0</v>
      </c>
      <c r="D146" s="10">
        <f>SUMIFS(Transactions_PAC!$H:$H,Transactions_PAC!$B:$B,B146,Transactions_PAC!$C:$C,A146)</f>
        <v>80</v>
      </c>
      <c r="E146" s="10">
        <f>SUMIFS(Transactions_Manual!$E:$E,Transactions_Manual!$B:$B,B146,Transactions_Manual!$C:$C,A146)</f>
        <v>0</v>
      </c>
      <c r="F146" s="10">
        <f t="shared" si="10"/>
        <v>80</v>
      </c>
      <c r="G146" s="10">
        <f t="shared" si="9"/>
        <v>0</v>
      </c>
      <c r="H146" s="10" t="str">
        <f t="shared" si="11"/>
        <v/>
      </c>
      <c r="I146" s="28" t="str">
        <f t="shared" si="12"/>
        <v/>
      </c>
    </row>
    <row r="147" spans="1:9" x14ac:dyDescent="0.35">
      <c r="A147" s="5" t="s">
        <v>29</v>
      </c>
      <c r="B147" s="8">
        <v>46784</v>
      </c>
      <c r="C147" s="34">
        <f>SUMIFS(Month_End!$D:$D,Month_End!$A:$A,B147,Month_End!$B:$B,A147)</f>
        <v>0</v>
      </c>
      <c r="D147" s="10">
        <f>SUMIFS(Transactions_PAC!$H:$H,Transactions_PAC!$B:$B,B147,Transactions_PAC!$C:$C,A147)</f>
        <v>80</v>
      </c>
      <c r="E147" s="10">
        <f>SUMIFS(Transactions_Manual!$E:$E,Transactions_Manual!$B:$B,B147,Transactions_Manual!$C:$C,A147)</f>
        <v>0</v>
      </c>
      <c r="F147" s="10">
        <f t="shared" si="10"/>
        <v>80</v>
      </c>
      <c r="G147" s="10">
        <f t="shared" si="9"/>
        <v>0</v>
      </c>
      <c r="H147" s="10" t="str">
        <f t="shared" si="11"/>
        <v/>
      </c>
      <c r="I147" s="28" t="str">
        <f t="shared" si="12"/>
        <v/>
      </c>
    </row>
    <row r="148" spans="1:9" x14ac:dyDescent="0.35">
      <c r="A148" s="5" t="s">
        <v>29</v>
      </c>
      <c r="B148" s="8">
        <v>46813</v>
      </c>
      <c r="C148" s="34">
        <f>SUMIFS(Month_End!$D:$D,Month_End!$A:$A,B148,Month_End!$B:$B,A148)</f>
        <v>0</v>
      </c>
      <c r="D148" s="10">
        <f>SUMIFS(Transactions_PAC!$H:$H,Transactions_PAC!$B:$B,B148,Transactions_PAC!$C:$C,A148)</f>
        <v>80</v>
      </c>
      <c r="E148" s="10">
        <f>SUMIFS(Transactions_Manual!$E:$E,Transactions_Manual!$B:$B,B148,Transactions_Manual!$C:$C,A148)</f>
        <v>0</v>
      </c>
      <c r="F148" s="10">
        <f t="shared" si="10"/>
        <v>80</v>
      </c>
      <c r="G148" s="10">
        <f t="shared" si="9"/>
        <v>0</v>
      </c>
      <c r="H148" s="10" t="str">
        <f t="shared" si="11"/>
        <v/>
      </c>
      <c r="I148" s="28" t="str">
        <f t="shared" si="12"/>
        <v/>
      </c>
    </row>
    <row r="149" spans="1:9" x14ac:dyDescent="0.35">
      <c r="A149" s="5" t="s">
        <v>29</v>
      </c>
      <c r="B149" s="8">
        <v>46844</v>
      </c>
      <c r="C149" s="34">
        <f>SUMIFS(Month_End!$D:$D,Month_End!$A:$A,B149,Month_End!$B:$B,A149)</f>
        <v>0</v>
      </c>
      <c r="D149" s="10">
        <f>SUMIFS(Transactions_PAC!$H:$H,Transactions_PAC!$B:$B,B149,Transactions_PAC!$C:$C,A149)</f>
        <v>80</v>
      </c>
      <c r="E149" s="10">
        <f>SUMIFS(Transactions_Manual!$E:$E,Transactions_Manual!$B:$B,B149,Transactions_Manual!$C:$C,A149)</f>
        <v>0</v>
      </c>
      <c r="F149" s="10">
        <f t="shared" si="10"/>
        <v>80</v>
      </c>
      <c r="G149" s="10">
        <f t="shared" si="9"/>
        <v>0</v>
      </c>
      <c r="H149" s="10" t="str">
        <f t="shared" si="11"/>
        <v/>
      </c>
      <c r="I149" s="28" t="str">
        <f t="shared" si="12"/>
        <v/>
      </c>
    </row>
    <row r="150" spans="1:9" x14ac:dyDescent="0.35">
      <c r="A150" s="5" t="s">
        <v>29</v>
      </c>
      <c r="B150" s="8">
        <v>46874</v>
      </c>
      <c r="C150" s="34">
        <f>SUMIFS(Month_End!$D:$D,Month_End!$A:$A,B150,Month_End!$B:$B,A150)</f>
        <v>0</v>
      </c>
      <c r="D150" s="10">
        <f>SUMIFS(Transactions_PAC!$H:$H,Transactions_PAC!$B:$B,B150,Transactions_PAC!$C:$C,A150)</f>
        <v>80</v>
      </c>
      <c r="E150" s="10">
        <f>SUMIFS(Transactions_Manual!$E:$E,Transactions_Manual!$B:$B,B150,Transactions_Manual!$C:$C,A150)</f>
        <v>0</v>
      </c>
      <c r="F150" s="10">
        <f t="shared" si="10"/>
        <v>80</v>
      </c>
      <c r="G150" s="10">
        <f t="shared" si="9"/>
        <v>0</v>
      </c>
      <c r="H150" s="10" t="str">
        <f t="shared" si="11"/>
        <v/>
      </c>
      <c r="I150" s="28" t="str">
        <f t="shared" si="12"/>
        <v/>
      </c>
    </row>
    <row r="151" spans="1:9" x14ac:dyDescent="0.35">
      <c r="A151" s="5" t="s">
        <v>29</v>
      </c>
      <c r="B151" s="8">
        <v>46905</v>
      </c>
      <c r="C151" s="34">
        <f>SUMIFS(Month_End!$D:$D,Month_End!$A:$A,B151,Month_End!$B:$B,A151)</f>
        <v>0</v>
      </c>
      <c r="D151" s="10">
        <f>SUMIFS(Transactions_PAC!$H:$H,Transactions_PAC!$B:$B,B151,Transactions_PAC!$C:$C,A151)</f>
        <v>80</v>
      </c>
      <c r="E151" s="10">
        <f>SUMIFS(Transactions_Manual!$E:$E,Transactions_Manual!$B:$B,B151,Transactions_Manual!$C:$C,A151)</f>
        <v>0</v>
      </c>
      <c r="F151" s="10">
        <f t="shared" si="10"/>
        <v>80</v>
      </c>
      <c r="G151" s="10">
        <f t="shared" si="9"/>
        <v>0</v>
      </c>
      <c r="H151" s="10" t="str">
        <f t="shared" si="11"/>
        <v/>
      </c>
      <c r="I151" s="28" t="str">
        <f t="shared" si="12"/>
        <v/>
      </c>
    </row>
    <row r="152" spans="1:9" x14ac:dyDescent="0.35">
      <c r="A152" s="5" t="s">
        <v>29</v>
      </c>
      <c r="B152" s="8">
        <v>46935</v>
      </c>
      <c r="C152" s="34">
        <f>SUMIFS(Month_End!$D:$D,Month_End!$A:$A,B152,Month_End!$B:$B,A152)</f>
        <v>0</v>
      </c>
      <c r="D152" s="10">
        <f>SUMIFS(Transactions_PAC!$H:$H,Transactions_PAC!$B:$B,B152,Transactions_PAC!$C:$C,A152)</f>
        <v>80</v>
      </c>
      <c r="E152" s="10">
        <f>SUMIFS(Transactions_Manual!$E:$E,Transactions_Manual!$B:$B,B152,Transactions_Manual!$C:$C,A152)</f>
        <v>0</v>
      </c>
      <c r="F152" s="10">
        <f t="shared" si="10"/>
        <v>80</v>
      </c>
      <c r="G152" s="10">
        <f t="shared" si="9"/>
        <v>0</v>
      </c>
      <c r="H152" s="10" t="str">
        <f t="shared" si="11"/>
        <v/>
      </c>
      <c r="I152" s="28" t="str">
        <f t="shared" si="12"/>
        <v/>
      </c>
    </row>
    <row r="153" spans="1:9" x14ac:dyDescent="0.35">
      <c r="A153" s="5" t="s">
        <v>29</v>
      </c>
      <c r="B153" s="8">
        <v>46966</v>
      </c>
      <c r="C153" s="34">
        <f>SUMIFS(Month_End!$D:$D,Month_End!$A:$A,B153,Month_End!$B:$B,A153)</f>
        <v>0</v>
      </c>
      <c r="D153" s="10">
        <f>SUMIFS(Transactions_PAC!$H:$H,Transactions_PAC!$B:$B,B153,Transactions_PAC!$C:$C,A153)</f>
        <v>80</v>
      </c>
      <c r="E153" s="10">
        <f>SUMIFS(Transactions_Manual!$E:$E,Transactions_Manual!$B:$B,B153,Transactions_Manual!$C:$C,A153)</f>
        <v>0</v>
      </c>
      <c r="F153" s="10">
        <f t="shared" si="10"/>
        <v>80</v>
      </c>
      <c r="G153" s="10">
        <f t="shared" si="9"/>
        <v>0</v>
      </c>
      <c r="H153" s="10" t="str">
        <f t="shared" si="11"/>
        <v/>
      </c>
      <c r="I153" s="28" t="str">
        <f t="shared" si="12"/>
        <v/>
      </c>
    </row>
    <row r="154" spans="1:9" x14ac:dyDescent="0.35">
      <c r="A154" s="5" t="s">
        <v>29</v>
      </c>
      <c r="B154" s="8">
        <v>46997</v>
      </c>
      <c r="C154" s="34">
        <f>SUMIFS(Month_End!$D:$D,Month_End!$A:$A,B154,Month_End!$B:$B,A154)</f>
        <v>0</v>
      </c>
      <c r="D154" s="10">
        <f>SUMIFS(Transactions_PAC!$H:$H,Transactions_PAC!$B:$B,B154,Transactions_PAC!$C:$C,A154)</f>
        <v>80</v>
      </c>
      <c r="E154" s="10">
        <f>SUMIFS(Transactions_Manual!$E:$E,Transactions_Manual!$B:$B,B154,Transactions_Manual!$C:$C,A154)</f>
        <v>0</v>
      </c>
      <c r="F154" s="10">
        <f t="shared" si="10"/>
        <v>80</v>
      </c>
      <c r="G154" s="10">
        <f t="shared" si="9"/>
        <v>0</v>
      </c>
      <c r="H154" s="10" t="str">
        <f t="shared" si="11"/>
        <v/>
      </c>
      <c r="I154" s="28" t="str">
        <f t="shared" si="12"/>
        <v/>
      </c>
    </row>
    <row r="155" spans="1:9" x14ac:dyDescent="0.35">
      <c r="A155" s="5" t="s">
        <v>29</v>
      </c>
      <c r="B155" s="8">
        <v>47027</v>
      </c>
      <c r="C155" s="34">
        <f>SUMIFS(Month_End!$D:$D,Month_End!$A:$A,B155,Month_End!$B:$B,A155)</f>
        <v>0</v>
      </c>
      <c r="D155" s="10">
        <f>SUMIFS(Transactions_PAC!$H:$H,Transactions_PAC!$B:$B,B155,Transactions_PAC!$C:$C,A155)</f>
        <v>80</v>
      </c>
      <c r="E155" s="10">
        <f>SUMIFS(Transactions_Manual!$E:$E,Transactions_Manual!$B:$B,B155,Transactions_Manual!$C:$C,A155)</f>
        <v>0</v>
      </c>
      <c r="F155" s="10">
        <f t="shared" si="10"/>
        <v>80</v>
      </c>
      <c r="G155" s="10">
        <f t="shared" si="9"/>
        <v>0</v>
      </c>
      <c r="H155" s="10" t="str">
        <f t="shared" si="11"/>
        <v/>
      </c>
      <c r="I155" s="28" t="str">
        <f t="shared" si="12"/>
        <v/>
      </c>
    </row>
    <row r="156" spans="1:9" x14ac:dyDescent="0.35">
      <c r="A156" s="5" t="s">
        <v>29</v>
      </c>
      <c r="B156" s="8">
        <v>47058</v>
      </c>
      <c r="C156" s="34">
        <f>SUMIFS(Month_End!$D:$D,Month_End!$A:$A,B156,Month_End!$B:$B,A156)</f>
        <v>0</v>
      </c>
      <c r="D156" s="10">
        <f>SUMIFS(Transactions_PAC!$H:$H,Transactions_PAC!$B:$B,B156,Transactions_PAC!$C:$C,A156)</f>
        <v>80</v>
      </c>
      <c r="E156" s="10">
        <f>SUMIFS(Transactions_Manual!$E:$E,Transactions_Manual!$B:$B,B156,Transactions_Manual!$C:$C,A156)</f>
        <v>0</v>
      </c>
      <c r="F156" s="10">
        <f t="shared" si="10"/>
        <v>80</v>
      </c>
      <c r="G156" s="10">
        <f t="shared" si="9"/>
        <v>0</v>
      </c>
      <c r="H156" s="10" t="str">
        <f t="shared" si="11"/>
        <v/>
      </c>
      <c r="I156" s="28" t="str">
        <f t="shared" si="12"/>
        <v/>
      </c>
    </row>
    <row r="157" spans="1:9" x14ac:dyDescent="0.35">
      <c r="A157" s="5" t="s">
        <v>29</v>
      </c>
      <c r="B157" s="8">
        <v>47088</v>
      </c>
      <c r="C157" s="34">
        <f>SUMIFS(Month_End!$D:$D,Month_End!$A:$A,B157,Month_End!$B:$B,A157)</f>
        <v>0</v>
      </c>
      <c r="D157" s="10">
        <f>SUMIFS(Transactions_PAC!$H:$H,Transactions_PAC!$B:$B,B157,Transactions_PAC!$C:$C,A157)</f>
        <v>80</v>
      </c>
      <c r="E157" s="10">
        <f>SUMIFS(Transactions_Manual!$E:$E,Transactions_Manual!$B:$B,B157,Transactions_Manual!$C:$C,A157)</f>
        <v>0</v>
      </c>
      <c r="F157" s="10">
        <f t="shared" si="10"/>
        <v>80</v>
      </c>
      <c r="G157" s="10">
        <f t="shared" si="9"/>
        <v>0</v>
      </c>
      <c r="H157" s="10" t="str">
        <f t="shared" si="11"/>
        <v/>
      </c>
      <c r="I157" s="28" t="str">
        <f t="shared" si="12"/>
        <v/>
      </c>
    </row>
    <row r="158" spans="1:9" x14ac:dyDescent="0.35">
      <c r="A158" s="5" t="s">
        <v>31</v>
      </c>
      <c r="B158" s="8">
        <v>45931</v>
      </c>
      <c r="C158" s="34">
        <f>SUMIFS(Month_End!$D:$D,Month_End!$A:$A,B158,Month_End!$B:$B,A158)</f>
        <v>1456</v>
      </c>
      <c r="D158" s="10">
        <f>SUMIFS(Transactions_PAC!$H:$H,Transactions_PAC!$B:$B,B158,Transactions_PAC!$C:$C,A158)</f>
        <v>0</v>
      </c>
      <c r="E158" s="10">
        <f>SUMIFS(Transactions_Manual!$E:$E,Transactions_Manual!$B:$B,B158,Transactions_Manual!$C:$C,A158)</f>
        <v>54</v>
      </c>
      <c r="F158" s="10">
        <f t="shared" si="10"/>
        <v>54</v>
      </c>
      <c r="G158" s="10"/>
      <c r="H158" s="10" t="str">
        <f t="shared" si="11"/>
        <v/>
      </c>
      <c r="I158" s="28" t="str">
        <f t="shared" si="12"/>
        <v/>
      </c>
    </row>
    <row r="159" spans="1:9" x14ac:dyDescent="0.35">
      <c r="A159" s="5" t="s">
        <v>31</v>
      </c>
      <c r="B159" s="8">
        <v>45962</v>
      </c>
      <c r="C159" s="34">
        <f>SUMIFS(Month_End!$D:$D,Month_End!$A:$A,B159,Month_End!$B:$B,A159)</f>
        <v>1478</v>
      </c>
      <c r="D159" s="10">
        <f>SUMIFS(Transactions_PAC!$H:$H,Transactions_PAC!$B:$B,B159,Transactions_PAC!$C:$C,A159)</f>
        <v>0</v>
      </c>
      <c r="E159" s="10">
        <f>SUMIFS(Transactions_Manual!$E:$E,Transactions_Manual!$B:$B,B159,Transactions_Manual!$C:$C,A159)</f>
        <v>54</v>
      </c>
      <c r="F159" s="10">
        <f t="shared" si="10"/>
        <v>54</v>
      </c>
      <c r="G159" s="10">
        <f t="shared" ref="G159:G196" si="13">C158</f>
        <v>1456</v>
      </c>
      <c r="H159" s="10">
        <f t="shared" si="11"/>
        <v>-32</v>
      </c>
      <c r="I159" s="28">
        <f t="shared" si="12"/>
        <v>-2.157788267026298E-2</v>
      </c>
    </row>
    <row r="160" spans="1:9" x14ac:dyDescent="0.35">
      <c r="A160" s="5" t="s">
        <v>31</v>
      </c>
      <c r="B160" s="8">
        <v>45992</v>
      </c>
      <c r="C160" s="34">
        <f>SUMIFS(Month_End!$D:$D,Month_End!$A:$A,B160,Month_End!$B:$B,A160)</f>
        <v>1534</v>
      </c>
      <c r="D160" s="10">
        <f>SUMIFS(Transactions_PAC!$H:$H,Transactions_PAC!$B:$B,B160,Transactions_PAC!$C:$C,A160)</f>
        <v>0</v>
      </c>
      <c r="E160" s="10">
        <f>SUMIFS(Transactions_Manual!$E:$E,Transactions_Manual!$B:$B,B160,Transactions_Manual!$C:$C,A160)</f>
        <v>54</v>
      </c>
      <c r="F160" s="10">
        <f t="shared" si="10"/>
        <v>54</v>
      </c>
      <c r="G160" s="10">
        <f t="shared" si="13"/>
        <v>1478</v>
      </c>
      <c r="H160" s="10">
        <f t="shared" si="11"/>
        <v>2</v>
      </c>
      <c r="I160" s="28">
        <f t="shared" si="12"/>
        <v>1.3289036544850499E-3</v>
      </c>
    </row>
    <row r="161" spans="1:9" x14ac:dyDescent="0.35">
      <c r="A161" s="5" t="s">
        <v>31</v>
      </c>
      <c r="B161" s="8">
        <v>46023</v>
      </c>
      <c r="C161" s="34">
        <f>SUMIFS(Month_End!$D:$D,Month_End!$A:$A,B161,Month_End!$B:$B,A161)</f>
        <v>1592</v>
      </c>
      <c r="D161" s="10">
        <f>SUMIFS(Transactions_PAC!$H:$H,Transactions_PAC!$B:$B,B161,Transactions_PAC!$C:$C,A161)</f>
        <v>0</v>
      </c>
      <c r="E161" s="10">
        <f>SUMIFS(Transactions_Manual!$E:$E,Transactions_Manual!$B:$B,B161,Transactions_Manual!$C:$C,A161)</f>
        <v>54</v>
      </c>
      <c r="F161" s="10">
        <f t="shared" si="10"/>
        <v>54</v>
      </c>
      <c r="G161" s="10">
        <f t="shared" si="13"/>
        <v>1534</v>
      </c>
      <c r="H161" s="10">
        <f t="shared" si="11"/>
        <v>4</v>
      </c>
      <c r="I161" s="28">
        <f t="shared" si="12"/>
        <v>2.5624599615631004E-3</v>
      </c>
    </row>
    <row r="162" spans="1:9" x14ac:dyDescent="0.35">
      <c r="A162" s="5" t="s">
        <v>31</v>
      </c>
      <c r="B162" s="8">
        <v>46054</v>
      </c>
      <c r="C162" s="34">
        <f>SUMIFS(Month_End!$D:$D,Month_End!$A:$A,B162,Month_End!$B:$B,A162)</f>
        <v>1649</v>
      </c>
      <c r="D162" s="10">
        <f>SUMIFS(Transactions_PAC!$H:$H,Transactions_PAC!$B:$B,B162,Transactions_PAC!$C:$C,A162)</f>
        <v>0</v>
      </c>
      <c r="E162" s="10">
        <f>SUMIFS(Transactions_Manual!$E:$E,Transactions_Manual!$B:$B,B162,Transactions_Manual!$C:$C,A162)</f>
        <v>54</v>
      </c>
      <c r="F162" s="10">
        <f t="shared" si="10"/>
        <v>54</v>
      </c>
      <c r="G162" s="10">
        <f t="shared" si="13"/>
        <v>1592</v>
      </c>
      <c r="H162" s="10">
        <f t="shared" si="11"/>
        <v>3</v>
      </c>
      <c r="I162" s="28">
        <f t="shared" si="12"/>
        <v>1.8529956763434219E-3</v>
      </c>
    </row>
    <row r="163" spans="1:9" x14ac:dyDescent="0.35">
      <c r="A163" s="5" t="s">
        <v>31</v>
      </c>
      <c r="B163" s="8">
        <v>46082</v>
      </c>
      <c r="C163" s="34">
        <f>SUMIFS(Month_End!$D:$D,Month_End!$A:$A,B163,Month_End!$B:$B,A163)</f>
        <v>1679</v>
      </c>
      <c r="D163" s="10">
        <f>SUMIFS(Transactions_PAC!$H:$H,Transactions_PAC!$B:$B,B163,Transactions_PAC!$C:$C,A163)</f>
        <v>0</v>
      </c>
      <c r="E163" s="10">
        <f>SUMIFS(Transactions_Manual!$E:$E,Transactions_Manual!$B:$B,B163,Transactions_Manual!$C:$C,A163)</f>
        <v>54</v>
      </c>
      <c r="F163" s="10">
        <f t="shared" si="10"/>
        <v>54</v>
      </c>
      <c r="G163" s="10">
        <f t="shared" si="13"/>
        <v>1649</v>
      </c>
      <c r="H163" s="10">
        <f t="shared" si="11"/>
        <v>-24</v>
      </c>
      <c r="I163" s="28">
        <f t="shared" si="12"/>
        <v>-1.4319809069212411E-2</v>
      </c>
    </row>
    <row r="164" spans="1:9" x14ac:dyDescent="0.35">
      <c r="A164" s="5" t="s">
        <v>31</v>
      </c>
      <c r="B164" s="8">
        <v>46113</v>
      </c>
      <c r="C164" s="34">
        <f>SUMIFS(Month_End!$D:$D,Month_End!$A:$A,B164,Month_End!$B:$B,A164)</f>
        <v>0</v>
      </c>
      <c r="D164" s="10">
        <f>SUMIFS(Transactions_PAC!$H:$H,Transactions_PAC!$B:$B,B164,Transactions_PAC!$C:$C,A164)</f>
        <v>108</v>
      </c>
      <c r="E164" s="10">
        <f>SUMIFS(Transactions_Manual!$E:$E,Transactions_Manual!$B:$B,B164,Transactions_Manual!$C:$C,A164)</f>
        <v>0</v>
      </c>
      <c r="F164" s="10">
        <f t="shared" si="10"/>
        <v>108</v>
      </c>
      <c r="G164" s="10">
        <f t="shared" si="13"/>
        <v>1679</v>
      </c>
      <c r="H164" s="10" t="str">
        <f t="shared" si="11"/>
        <v/>
      </c>
      <c r="I164" s="28" t="str">
        <f t="shared" si="12"/>
        <v/>
      </c>
    </row>
    <row r="165" spans="1:9" x14ac:dyDescent="0.35">
      <c r="A165" s="5" t="s">
        <v>31</v>
      </c>
      <c r="B165" s="8">
        <v>46143</v>
      </c>
      <c r="C165" s="34">
        <f>SUMIFS(Month_End!$D:$D,Month_End!$A:$A,B165,Month_End!$B:$B,A165)</f>
        <v>0</v>
      </c>
      <c r="D165" s="10">
        <f>SUMIFS(Transactions_PAC!$H:$H,Transactions_PAC!$B:$B,B165,Transactions_PAC!$C:$C,A165)</f>
        <v>108</v>
      </c>
      <c r="E165" s="10">
        <f>SUMIFS(Transactions_Manual!$E:$E,Transactions_Manual!$B:$B,B165,Transactions_Manual!$C:$C,A165)</f>
        <v>0</v>
      </c>
      <c r="F165" s="10">
        <f t="shared" si="10"/>
        <v>108</v>
      </c>
      <c r="G165" s="10">
        <f t="shared" si="13"/>
        <v>0</v>
      </c>
      <c r="H165" s="10" t="str">
        <f t="shared" si="11"/>
        <v/>
      </c>
      <c r="I165" s="28" t="str">
        <f t="shared" si="12"/>
        <v/>
      </c>
    </row>
    <row r="166" spans="1:9" x14ac:dyDescent="0.35">
      <c r="A166" s="5" t="s">
        <v>31</v>
      </c>
      <c r="B166" s="8">
        <v>46174</v>
      </c>
      <c r="C166" s="34">
        <f>SUMIFS(Month_End!$D:$D,Month_End!$A:$A,B166,Month_End!$B:$B,A166)</f>
        <v>0</v>
      </c>
      <c r="D166" s="10">
        <f>SUMIFS(Transactions_PAC!$H:$H,Transactions_PAC!$B:$B,B166,Transactions_PAC!$C:$C,A166)</f>
        <v>108</v>
      </c>
      <c r="E166" s="10">
        <f>SUMIFS(Transactions_Manual!$E:$E,Transactions_Manual!$B:$B,B166,Transactions_Manual!$C:$C,A166)</f>
        <v>0</v>
      </c>
      <c r="F166" s="10">
        <f t="shared" si="10"/>
        <v>108</v>
      </c>
      <c r="G166" s="10">
        <f t="shared" si="13"/>
        <v>0</v>
      </c>
      <c r="H166" s="10" t="str">
        <f t="shared" si="11"/>
        <v/>
      </c>
      <c r="I166" s="28" t="str">
        <f t="shared" si="12"/>
        <v/>
      </c>
    </row>
    <row r="167" spans="1:9" x14ac:dyDescent="0.35">
      <c r="A167" s="5" t="s">
        <v>31</v>
      </c>
      <c r="B167" s="8">
        <v>46204</v>
      </c>
      <c r="C167" s="34">
        <f>SUMIFS(Month_End!$D:$D,Month_End!$A:$A,B167,Month_End!$B:$B,A167)</f>
        <v>0</v>
      </c>
      <c r="D167" s="10">
        <f>SUMIFS(Transactions_PAC!$H:$H,Transactions_PAC!$B:$B,B167,Transactions_PAC!$C:$C,A167)</f>
        <v>108</v>
      </c>
      <c r="E167" s="10">
        <f>SUMIFS(Transactions_Manual!$E:$E,Transactions_Manual!$B:$B,B167,Transactions_Manual!$C:$C,A167)</f>
        <v>0</v>
      </c>
      <c r="F167" s="10">
        <f t="shared" si="10"/>
        <v>108</v>
      </c>
      <c r="G167" s="10">
        <f t="shared" si="13"/>
        <v>0</v>
      </c>
      <c r="H167" s="10" t="str">
        <f t="shared" si="11"/>
        <v/>
      </c>
      <c r="I167" s="28" t="str">
        <f t="shared" si="12"/>
        <v/>
      </c>
    </row>
    <row r="168" spans="1:9" x14ac:dyDescent="0.35">
      <c r="A168" s="5" t="s">
        <v>31</v>
      </c>
      <c r="B168" s="8">
        <v>46235</v>
      </c>
      <c r="C168" s="34">
        <f>SUMIFS(Month_End!$D:$D,Month_End!$A:$A,B168,Month_End!$B:$B,A168)</f>
        <v>0</v>
      </c>
      <c r="D168" s="10">
        <f>SUMIFS(Transactions_PAC!$H:$H,Transactions_PAC!$B:$B,B168,Transactions_PAC!$C:$C,A168)</f>
        <v>108</v>
      </c>
      <c r="E168" s="10">
        <f>SUMIFS(Transactions_Manual!$E:$E,Transactions_Manual!$B:$B,B168,Transactions_Manual!$C:$C,A168)</f>
        <v>0</v>
      </c>
      <c r="F168" s="10">
        <f t="shared" si="10"/>
        <v>108</v>
      </c>
      <c r="G168" s="10">
        <f t="shared" si="13"/>
        <v>0</v>
      </c>
      <c r="H168" s="10" t="str">
        <f t="shared" si="11"/>
        <v/>
      </c>
      <c r="I168" s="28" t="str">
        <f t="shared" si="12"/>
        <v/>
      </c>
    </row>
    <row r="169" spans="1:9" x14ac:dyDescent="0.35">
      <c r="A169" s="5" t="s">
        <v>31</v>
      </c>
      <c r="B169" s="8">
        <v>46266</v>
      </c>
      <c r="C169" s="34">
        <f>SUMIFS(Month_End!$D:$D,Month_End!$A:$A,B169,Month_End!$B:$B,A169)</f>
        <v>0</v>
      </c>
      <c r="D169" s="10">
        <f>SUMIFS(Transactions_PAC!$H:$H,Transactions_PAC!$B:$B,B169,Transactions_PAC!$C:$C,A169)</f>
        <v>108</v>
      </c>
      <c r="E169" s="10">
        <f>SUMIFS(Transactions_Manual!$E:$E,Transactions_Manual!$B:$B,B169,Transactions_Manual!$C:$C,A169)</f>
        <v>0</v>
      </c>
      <c r="F169" s="10">
        <f t="shared" si="10"/>
        <v>108</v>
      </c>
      <c r="G169" s="10">
        <f t="shared" si="13"/>
        <v>0</v>
      </c>
      <c r="H169" s="10" t="str">
        <f t="shared" si="11"/>
        <v/>
      </c>
      <c r="I169" s="28" t="str">
        <f t="shared" si="12"/>
        <v/>
      </c>
    </row>
    <row r="170" spans="1:9" x14ac:dyDescent="0.35">
      <c r="A170" s="5" t="s">
        <v>31</v>
      </c>
      <c r="B170" s="8">
        <v>46296</v>
      </c>
      <c r="C170" s="34">
        <f>SUMIFS(Month_End!$D:$D,Month_End!$A:$A,B170,Month_End!$B:$B,A170)</f>
        <v>0</v>
      </c>
      <c r="D170" s="10">
        <f>SUMIFS(Transactions_PAC!$H:$H,Transactions_PAC!$B:$B,B170,Transactions_PAC!$C:$C,A170)</f>
        <v>108</v>
      </c>
      <c r="E170" s="10">
        <f>SUMIFS(Transactions_Manual!$E:$E,Transactions_Manual!$B:$B,B170,Transactions_Manual!$C:$C,A170)</f>
        <v>0</v>
      </c>
      <c r="F170" s="10">
        <f t="shared" si="10"/>
        <v>108</v>
      </c>
      <c r="G170" s="10">
        <f t="shared" si="13"/>
        <v>0</v>
      </c>
      <c r="H170" s="10" t="str">
        <f t="shared" si="11"/>
        <v/>
      </c>
      <c r="I170" s="28" t="str">
        <f t="shared" si="12"/>
        <v/>
      </c>
    </row>
    <row r="171" spans="1:9" x14ac:dyDescent="0.35">
      <c r="A171" s="5" t="s">
        <v>31</v>
      </c>
      <c r="B171" s="8">
        <v>46327</v>
      </c>
      <c r="C171" s="34">
        <f>SUMIFS(Month_End!$D:$D,Month_End!$A:$A,B171,Month_End!$B:$B,A171)</f>
        <v>0</v>
      </c>
      <c r="D171" s="10">
        <f>SUMIFS(Transactions_PAC!$H:$H,Transactions_PAC!$B:$B,B171,Transactions_PAC!$C:$C,A171)</f>
        <v>108</v>
      </c>
      <c r="E171" s="10">
        <f>SUMIFS(Transactions_Manual!$E:$E,Transactions_Manual!$B:$B,B171,Transactions_Manual!$C:$C,A171)</f>
        <v>0</v>
      </c>
      <c r="F171" s="10">
        <f t="shared" si="10"/>
        <v>108</v>
      </c>
      <c r="G171" s="10">
        <f t="shared" si="13"/>
        <v>0</v>
      </c>
      <c r="H171" s="10" t="str">
        <f t="shared" si="11"/>
        <v/>
      </c>
      <c r="I171" s="28" t="str">
        <f t="shared" si="12"/>
        <v/>
      </c>
    </row>
    <row r="172" spans="1:9" x14ac:dyDescent="0.35">
      <c r="A172" s="5" t="s">
        <v>31</v>
      </c>
      <c r="B172" s="8">
        <v>46357</v>
      </c>
      <c r="C172" s="34">
        <f>SUMIFS(Month_End!$D:$D,Month_End!$A:$A,B172,Month_End!$B:$B,A172)</f>
        <v>0</v>
      </c>
      <c r="D172" s="10">
        <f>SUMIFS(Transactions_PAC!$H:$H,Transactions_PAC!$B:$B,B172,Transactions_PAC!$C:$C,A172)</f>
        <v>108</v>
      </c>
      <c r="E172" s="10">
        <f>SUMIFS(Transactions_Manual!$E:$E,Transactions_Manual!$B:$B,B172,Transactions_Manual!$C:$C,A172)</f>
        <v>0</v>
      </c>
      <c r="F172" s="10">
        <f t="shared" si="10"/>
        <v>108</v>
      </c>
      <c r="G172" s="10">
        <f t="shared" si="13"/>
        <v>0</v>
      </c>
      <c r="H172" s="10" t="str">
        <f t="shared" si="11"/>
        <v/>
      </c>
      <c r="I172" s="28" t="str">
        <f t="shared" si="12"/>
        <v/>
      </c>
    </row>
    <row r="173" spans="1:9" x14ac:dyDescent="0.35">
      <c r="A173" s="5" t="s">
        <v>31</v>
      </c>
      <c r="B173" s="8">
        <v>46388</v>
      </c>
      <c r="C173" s="34">
        <f>SUMIFS(Month_End!$D:$D,Month_End!$A:$A,B173,Month_End!$B:$B,A173)</f>
        <v>0</v>
      </c>
      <c r="D173" s="10">
        <f>SUMIFS(Transactions_PAC!$H:$H,Transactions_PAC!$B:$B,B173,Transactions_PAC!$C:$C,A173)</f>
        <v>108</v>
      </c>
      <c r="E173" s="10">
        <f>SUMIFS(Transactions_Manual!$E:$E,Transactions_Manual!$B:$B,B173,Transactions_Manual!$C:$C,A173)</f>
        <v>0</v>
      </c>
      <c r="F173" s="10">
        <f t="shared" si="10"/>
        <v>108</v>
      </c>
      <c r="G173" s="10">
        <f t="shared" si="13"/>
        <v>0</v>
      </c>
      <c r="H173" s="10" t="str">
        <f t="shared" si="11"/>
        <v/>
      </c>
      <c r="I173" s="28" t="str">
        <f t="shared" si="12"/>
        <v/>
      </c>
    </row>
    <row r="174" spans="1:9" x14ac:dyDescent="0.35">
      <c r="A174" s="5" t="s">
        <v>31</v>
      </c>
      <c r="B174" s="8">
        <v>46419</v>
      </c>
      <c r="C174" s="34">
        <f>SUMIFS(Month_End!$D:$D,Month_End!$A:$A,B174,Month_End!$B:$B,A174)</f>
        <v>0</v>
      </c>
      <c r="D174" s="10">
        <f>SUMIFS(Transactions_PAC!$H:$H,Transactions_PAC!$B:$B,B174,Transactions_PAC!$C:$C,A174)</f>
        <v>108</v>
      </c>
      <c r="E174" s="10">
        <f>SUMIFS(Transactions_Manual!$E:$E,Transactions_Manual!$B:$B,B174,Transactions_Manual!$C:$C,A174)</f>
        <v>0</v>
      </c>
      <c r="F174" s="10">
        <f t="shared" si="10"/>
        <v>108</v>
      </c>
      <c r="G174" s="10">
        <f t="shared" si="13"/>
        <v>0</v>
      </c>
      <c r="H174" s="10" t="str">
        <f t="shared" si="11"/>
        <v/>
      </c>
      <c r="I174" s="28" t="str">
        <f t="shared" si="12"/>
        <v/>
      </c>
    </row>
    <row r="175" spans="1:9" x14ac:dyDescent="0.35">
      <c r="A175" s="5" t="s">
        <v>31</v>
      </c>
      <c r="B175" s="8">
        <v>46447</v>
      </c>
      <c r="C175" s="34">
        <f>SUMIFS(Month_End!$D:$D,Month_End!$A:$A,B175,Month_End!$B:$B,A175)</f>
        <v>0</v>
      </c>
      <c r="D175" s="10">
        <f>SUMIFS(Transactions_PAC!$H:$H,Transactions_PAC!$B:$B,B175,Transactions_PAC!$C:$C,A175)</f>
        <v>108</v>
      </c>
      <c r="E175" s="10">
        <f>SUMIFS(Transactions_Manual!$E:$E,Transactions_Manual!$B:$B,B175,Transactions_Manual!$C:$C,A175)</f>
        <v>0</v>
      </c>
      <c r="F175" s="10">
        <f t="shared" si="10"/>
        <v>108</v>
      </c>
      <c r="G175" s="10">
        <f t="shared" si="13"/>
        <v>0</v>
      </c>
      <c r="H175" s="10" t="str">
        <f t="shared" si="11"/>
        <v/>
      </c>
      <c r="I175" s="28" t="str">
        <f t="shared" si="12"/>
        <v/>
      </c>
    </row>
    <row r="176" spans="1:9" x14ac:dyDescent="0.35">
      <c r="A176" s="5" t="s">
        <v>31</v>
      </c>
      <c r="B176" s="8">
        <v>46478</v>
      </c>
      <c r="C176" s="34">
        <f>SUMIFS(Month_End!$D:$D,Month_End!$A:$A,B176,Month_End!$B:$B,A176)</f>
        <v>0</v>
      </c>
      <c r="D176" s="10">
        <f>SUMIFS(Transactions_PAC!$H:$H,Transactions_PAC!$B:$B,B176,Transactions_PAC!$C:$C,A176)</f>
        <v>108</v>
      </c>
      <c r="E176" s="10">
        <f>SUMIFS(Transactions_Manual!$E:$E,Transactions_Manual!$B:$B,B176,Transactions_Manual!$C:$C,A176)</f>
        <v>0</v>
      </c>
      <c r="F176" s="10">
        <f t="shared" si="10"/>
        <v>108</v>
      </c>
      <c r="G176" s="10">
        <f t="shared" si="13"/>
        <v>0</v>
      </c>
      <c r="H176" s="10" t="str">
        <f t="shared" si="11"/>
        <v/>
      </c>
      <c r="I176" s="28" t="str">
        <f t="shared" si="12"/>
        <v/>
      </c>
    </row>
    <row r="177" spans="1:9" x14ac:dyDescent="0.35">
      <c r="A177" s="5" t="s">
        <v>31</v>
      </c>
      <c r="B177" s="8">
        <v>46508</v>
      </c>
      <c r="C177" s="34">
        <f>SUMIFS(Month_End!$D:$D,Month_End!$A:$A,B177,Month_End!$B:$B,A177)</f>
        <v>0</v>
      </c>
      <c r="D177" s="10">
        <f>SUMIFS(Transactions_PAC!$H:$H,Transactions_PAC!$B:$B,B177,Transactions_PAC!$C:$C,A177)</f>
        <v>108</v>
      </c>
      <c r="E177" s="10">
        <f>SUMIFS(Transactions_Manual!$E:$E,Transactions_Manual!$B:$B,B177,Transactions_Manual!$C:$C,A177)</f>
        <v>0</v>
      </c>
      <c r="F177" s="10">
        <f t="shared" si="10"/>
        <v>108</v>
      </c>
      <c r="G177" s="10">
        <f t="shared" si="13"/>
        <v>0</v>
      </c>
      <c r="H177" s="10" t="str">
        <f t="shared" si="11"/>
        <v/>
      </c>
      <c r="I177" s="28" t="str">
        <f t="shared" si="12"/>
        <v/>
      </c>
    </row>
    <row r="178" spans="1:9" x14ac:dyDescent="0.35">
      <c r="A178" s="5" t="s">
        <v>31</v>
      </c>
      <c r="B178" s="8">
        <v>46539</v>
      </c>
      <c r="C178" s="34">
        <f>SUMIFS(Month_End!$D:$D,Month_End!$A:$A,B178,Month_End!$B:$B,A178)</f>
        <v>0</v>
      </c>
      <c r="D178" s="10">
        <f>SUMIFS(Transactions_PAC!$H:$H,Transactions_PAC!$B:$B,B178,Transactions_PAC!$C:$C,A178)</f>
        <v>108</v>
      </c>
      <c r="E178" s="10">
        <f>SUMIFS(Transactions_Manual!$E:$E,Transactions_Manual!$B:$B,B178,Transactions_Manual!$C:$C,A178)</f>
        <v>0</v>
      </c>
      <c r="F178" s="10">
        <f t="shared" si="10"/>
        <v>108</v>
      </c>
      <c r="G178" s="10">
        <f t="shared" si="13"/>
        <v>0</v>
      </c>
      <c r="H178" s="10" t="str">
        <f t="shared" si="11"/>
        <v/>
      </c>
      <c r="I178" s="28" t="str">
        <f t="shared" si="12"/>
        <v/>
      </c>
    </row>
    <row r="179" spans="1:9" x14ac:dyDescent="0.35">
      <c r="A179" s="5" t="s">
        <v>31</v>
      </c>
      <c r="B179" s="8">
        <v>46569</v>
      </c>
      <c r="C179" s="34">
        <f>SUMIFS(Month_End!$D:$D,Month_End!$A:$A,B179,Month_End!$B:$B,A179)</f>
        <v>0</v>
      </c>
      <c r="D179" s="10">
        <f>SUMIFS(Transactions_PAC!$H:$H,Transactions_PAC!$B:$B,B179,Transactions_PAC!$C:$C,A179)</f>
        <v>108</v>
      </c>
      <c r="E179" s="10">
        <f>SUMIFS(Transactions_Manual!$E:$E,Transactions_Manual!$B:$B,B179,Transactions_Manual!$C:$C,A179)</f>
        <v>0</v>
      </c>
      <c r="F179" s="10">
        <f t="shared" si="10"/>
        <v>108</v>
      </c>
      <c r="G179" s="10">
        <f t="shared" si="13"/>
        <v>0</v>
      </c>
      <c r="H179" s="10" t="str">
        <f t="shared" si="11"/>
        <v/>
      </c>
      <c r="I179" s="28" t="str">
        <f t="shared" si="12"/>
        <v/>
      </c>
    </row>
    <row r="180" spans="1:9" x14ac:dyDescent="0.35">
      <c r="A180" s="5" t="s">
        <v>31</v>
      </c>
      <c r="B180" s="8">
        <v>46600</v>
      </c>
      <c r="C180" s="34">
        <f>SUMIFS(Month_End!$D:$D,Month_End!$A:$A,B180,Month_End!$B:$B,A180)</f>
        <v>0</v>
      </c>
      <c r="D180" s="10">
        <f>SUMIFS(Transactions_PAC!$H:$H,Transactions_PAC!$B:$B,B180,Transactions_PAC!$C:$C,A180)</f>
        <v>108</v>
      </c>
      <c r="E180" s="10">
        <f>SUMIFS(Transactions_Manual!$E:$E,Transactions_Manual!$B:$B,B180,Transactions_Manual!$C:$C,A180)</f>
        <v>0</v>
      </c>
      <c r="F180" s="10">
        <f t="shared" si="10"/>
        <v>108</v>
      </c>
      <c r="G180" s="10">
        <f t="shared" si="13"/>
        <v>0</v>
      </c>
      <c r="H180" s="10" t="str">
        <f t="shared" si="11"/>
        <v/>
      </c>
      <c r="I180" s="28" t="str">
        <f t="shared" si="12"/>
        <v/>
      </c>
    </row>
    <row r="181" spans="1:9" x14ac:dyDescent="0.35">
      <c r="A181" s="5" t="s">
        <v>31</v>
      </c>
      <c r="B181" s="8">
        <v>46631</v>
      </c>
      <c r="C181" s="34">
        <f>SUMIFS(Month_End!$D:$D,Month_End!$A:$A,B181,Month_End!$B:$B,A181)</f>
        <v>0</v>
      </c>
      <c r="D181" s="10">
        <f>SUMIFS(Transactions_PAC!$H:$H,Transactions_PAC!$B:$B,B181,Transactions_PAC!$C:$C,A181)</f>
        <v>108</v>
      </c>
      <c r="E181" s="10">
        <f>SUMIFS(Transactions_Manual!$E:$E,Transactions_Manual!$B:$B,B181,Transactions_Manual!$C:$C,A181)</f>
        <v>0</v>
      </c>
      <c r="F181" s="10">
        <f t="shared" si="10"/>
        <v>108</v>
      </c>
      <c r="G181" s="10">
        <f t="shared" si="13"/>
        <v>0</v>
      </c>
      <c r="H181" s="10" t="str">
        <f t="shared" si="11"/>
        <v/>
      </c>
      <c r="I181" s="28" t="str">
        <f t="shared" si="12"/>
        <v/>
      </c>
    </row>
    <row r="182" spans="1:9" x14ac:dyDescent="0.35">
      <c r="A182" s="5" t="s">
        <v>31</v>
      </c>
      <c r="B182" s="8">
        <v>46661</v>
      </c>
      <c r="C182" s="34">
        <f>SUMIFS(Month_End!$D:$D,Month_End!$A:$A,B182,Month_End!$B:$B,A182)</f>
        <v>0</v>
      </c>
      <c r="D182" s="10">
        <f>SUMIFS(Transactions_PAC!$H:$H,Transactions_PAC!$B:$B,B182,Transactions_PAC!$C:$C,A182)</f>
        <v>108</v>
      </c>
      <c r="E182" s="10">
        <f>SUMIFS(Transactions_Manual!$E:$E,Transactions_Manual!$B:$B,B182,Transactions_Manual!$C:$C,A182)</f>
        <v>0</v>
      </c>
      <c r="F182" s="10">
        <f t="shared" si="10"/>
        <v>108</v>
      </c>
      <c r="G182" s="10">
        <f t="shared" si="13"/>
        <v>0</v>
      </c>
      <c r="H182" s="10" t="str">
        <f t="shared" si="11"/>
        <v/>
      </c>
      <c r="I182" s="28" t="str">
        <f t="shared" si="12"/>
        <v/>
      </c>
    </row>
    <row r="183" spans="1:9" x14ac:dyDescent="0.35">
      <c r="A183" s="5" t="s">
        <v>31</v>
      </c>
      <c r="B183" s="8">
        <v>46692</v>
      </c>
      <c r="C183" s="34">
        <f>SUMIFS(Month_End!$D:$D,Month_End!$A:$A,B183,Month_End!$B:$B,A183)</f>
        <v>0</v>
      </c>
      <c r="D183" s="10">
        <f>SUMIFS(Transactions_PAC!$H:$H,Transactions_PAC!$B:$B,B183,Transactions_PAC!$C:$C,A183)</f>
        <v>108</v>
      </c>
      <c r="E183" s="10">
        <f>SUMIFS(Transactions_Manual!$E:$E,Transactions_Manual!$B:$B,B183,Transactions_Manual!$C:$C,A183)</f>
        <v>0</v>
      </c>
      <c r="F183" s="10">
        <f t="shared" si="10"/>
        <v>108</v>
      </c>
      <c r="G183" s="10">
        <f t="shared" si="13"/>
        <v>0</v>
      </c>
      <c r="H183" s="10" t="str">
        <f t="shared" si="11"/>
        <v/>
      </c>
      <c r="I183" s="28" t="str">
        <f t="shared" si="12"/>
        <v/>
      </c>
    </row>
    <row r="184" spans="1:9" x14ac:dyDescent="0.35">
      <c r="A184" s="5" t="s">
        <v>31</v>
      </c>
      <c r="B184" s="8">
        <v>46722</v>
      </c>
      <c r="C184" s="34">
        <f>SUMIFS(Month_End!$D:$D,Month_End!$A:$A,B184,Month_End!$B:$B,A184)</f>
        <v>0</v>
      </c>
      <c r="D184" s="10">
        <f>SUMIFS(Transactions_PAC!$H:$H,Transactions_PAC!$B:$B,B184,Transactions_PAC!$C:$C,A184)</f>
        <v>108</v>
      </c>
      <c r="E184" s="10">
        <f>SUMIFS(Transactions_Manual!$E:$E,Transactions_Manual!$B:$B,B184,Transactions_Manual!$C:$C,A184)</f>
        <v>0</v>
      </c>
      <c r="F184" s="10">
        <f t="shared" si="10"/>
        <v>108</v>
      </c>
      <c r="G184" s="10">
        <f t="shared" si="13"/>
        <v>0</v>
      </c>
      <c r="H184" s="10" t="str">
        <f t="shared" si="11"/>
        <v/>
      </c>
      <c r="I184" s="28" t="str">
        <f t="shared" si="12"/>
        <v/>
      </c>
    </row>
    <row r="185" spans="1:9" x14ac:dyDescent="0.35">
      <c r="A185" s="5" t="s">
        <v>31</v>
      </c>
      <c r="B185" s="8">
        <v>46753</v>
      </c>
      <c r="C185" s="34">
        <f>SUMIFS(Month_End!$D:$D,Month_End!$A:$A,B185,Month_End!$B:$B,A185)</f>
        <v>0</v>
      </c>
      <c r="D185" s="10">
        <f>SUMIFS(Transactions_PAC!$H:$H,Transactions_PAC!$B:$B,B185,Transactions_PAC!$C:$C,A185)</f>
        <v>108</v>
      </c>
      <c r="E185" s="10">
        <f>SUMIFS(Transactions_Manual!$E:$E,Transactions_Manual!$B:$B,B185,Transactions_Manual!$C:$C,A185)</f>
        <v>0</v>
      </c>
      <c r="F185" s="10">
        <f t="shared" si="10"/>
        <v>108</v>
      </c>
      <c r="G185" s="10">
        <f t="shared" si="13"/>
        <v>0</v>
      </c>
      <c r="H185" s="10" t="str">
        <f t="shared" si="11"/>
        <v/>
      </c>
      <c r="I185" s="28" t="str">
        <f t="shared" si="12"/>
        <v/>
      </c>
    </row>
    <row r="186" spans="1:9" x14ac:dyDescent="0.35">
      <c r="A186" s="5" t="s">
        <v>31</v>
      </c>
      <c r="B186" s="8">
        <v>46784</v>
      </c>
      <c r="C186" s="34">
        <f>SUMIFS(Month_End!$D:$D,Month_End!$A:$A,B186,Month_End!$B:$B,A186)</f>
        <v>0</v>
      </c>
      <c r="D186" s="10">
        <f>SUMIFS(Transactions_PAC!$H:$H,Transactions_PAC!$B:$B,B186,Transactions_PAC!$C:$C,A186)</f>
        <v>108</v>
      </c>
      <c r="E186" s="10">
        <f>SUMIFS(Transactions_Manual!$E:$E,Transactions_Manual!$B:$B,B186,Transactions_Manual!$C:$C,A186)</f>
        <v>0</v>
      </c>
      <c r="F186" s="10">
        <f t="shared" si="10"/>
        <v>108</v>
      </c>
      <c r="G186" s="10">
        <f t="shared" si="13"/>
        <v>0</v>
      </c>
      <c r="H186" s="10" t="str">
        <f t="shared" si="11"/>
        <v/>
      </c>
      <c r="I186" s="28" t="str">
        <f t="shared" si="12"/>
        <v/>
      </c>
    </row>
    <row r="187" spans="1:9" x14ac:dyDescent="0.35">
      <c r="A187" s="5" t="s">
        <v>31</v>
      </c>
      <c r="B187" s="8">
        <v>46813</v>
      </c>
      <c r="C187" s="34">
        <f>SUMIFS(Month_End!$D:$D,Month_End!$A:$A,B187,Month_End!$B:$B,A187)</f>
        <v>0</v>
      </c>
      <c r="D187" s="10">
        <f>SUMIFS(Transactions_PAC!$H:$H,Transactions_PAC!$B:$B,B187,Transactions_PAC!$C:$C,A187)</f>
        <v>108</v>
      </c>
      <c r="E187" s="10">
        <f>SUMIFS(Transactions_Manual!$E:$E,Transactions_Manual!$B:$B,B187,Transactions_Manual!$C:$C,A187)</f>
        <v>0</v>
      </c>
      <c r="F187" s="10">
        <f t="shared" si="10"/>
        <v>108</v>
      </c>
      <c r="G187" s="10">
        <f t="shared" si="13"/>
        <v>0</v>
      </c>
      <c r="H187" s="10" t="str">
        <f t="shared" si="11"/>
        <v/>
      </c>
      <c r="I187" s="28" t="str">
        <f t="shared" si="12"/>
        <v/>
      </c>
    </row>
    <row r="188" spans="1:9" x14ac:dyDescent="0.35">
      <c r="A188" s="5" t="s">
        <v>31</v>
      </c>
      <c r="B188" s="8">
        <v>46844</v>
      </c>
      <c r="C188" s="34">
        <f>SUMIFS(Month_End!$D:$D,Month_End!$A:$A,B188,Month_End!$B:$B,A188)</f>
        <v>0</v>
      </c>
      <c r="D188" s="10">
        <f>SUMIFS(Transactions_PAC!$H:$H,Transactions_PAC!$B:$B,B188,Transactions_PAC!$C:$C,A188)</f>
        <v>108</v>
      </c>
      <c r="E188" s="10">
        <f>SUMIFS(Transactions_Manual!$E:$E,Transactions_Manual!$B:$B,B188,Transactions_Manual!$C:$C,A188)</f>
        <v>0</v>
      </c>
      <c r="F188" s="10">
        <f t="shared" si="10"/>
        <v>108</v>
      </c>
      <c r="G188" s="10">
        <f t="shared" si="13"/>
        <v>0</v>
      </c>
      <c r="H188" s="10" t="str">
        <f t="shared" si="11"/>
        <v/>
      </c>
      <c r="I188" s="28" t="str">
        <f t="shared" si="12"/>
        <v/>
      </c>
    </row>
    <row r="189" spans="1:9" x14ac:dyDescent="0.35">
      <c r="A189" s="5" t="s">
        <v>31</v>
      </c>
      <c r="B189" s="8">
        <v>46874</v>
      </c>
      <c r="C189" s="34">
        <f>SUMIFS(Month_End!$D:$D,Month_End!$A:$A,B189,Month_End!$B:$B,A189)</f>
        <v>0</v>
      </c>
      <c r="D189" s="10">
        <f>SUMIFS(Transactions_PAC!$H:$H,Transactions_PAC!$B:$B,B189,Transactions_PAC!$C:$C,A189)</f>
        <v>108</v>
      </c>
      <c r="E189" s="10">
        <f>SUMIFS(Transactions_Manual!$E:$E,Transactions_Manual!$B:$B,B189,Transactions_Manual!$C:$C,A189)</f>
        <v>0</v>
      </c>
      <c r="F189" s="10">
        <f t="shared" si="10"/>
        <v>108</v>
      </c>
      <c r="G189" s="10">
        <f t="shared" si="13"/>
        <v>0</v>
      </c>
      <c r="H189" s="10" t="str">
        <f t="shared" si="11"/>
        <v/>
      </c>
      <c r="I189" s="28" t="str">
        <f t="shared" si="12"/>
        <v/>
      </c>
    </row>
    <row r="190" spans="1:9" x14ac:dyDescent="0.35">
      <c r="A190" s="5" t="s">
        <v>31</v>
      </c>
      <c r="B190" s="8">
        <v>46905</v>
      </c>
      <c r="C190" s="34">
        <f>SUMIFS(Month_End!$D:$D,Month_End!$A:$A,B190,Month_End!$B:$B,A190)</f>
        <v>0</v>
      </c>
      <c r="D190" s="10">
        <f>SUMIFS(Transactions_PAC!$H:$H,Transactions_PAC!$B:$B,B190,Transactions_PAC!$C:$C,A190)</f>
        <v>108</v>
      </c>
      <c r="E190" s="10">
        <f>SUMIFS(Transactions_Manual!$E:$E,Transactions_Manual!$B:$B,B190,Transactions_Manual!$C:$C,A190)</f>
        <v>0</v>
      </c>
      <c r="F190" s="10">
        <f t="shared" si="10"/>
        <v>108</v>
      </c>
      <c r="G190" s="10">
        <f t="shared" si="13"/>
        <v>0</v>
      </c>
      <c r="H190" s="10" t="str">
        <f t="shared" si="11"/>
        <v/>
      </c>
      <c r="I190" s="28" t="str">
        <f t="shared" si="12"/>
        <v/>
      </c>
    </row>
    <row r="191" spans="1:9" x14ac:dyDescent="0.35">
      <c r="A191" s="5" t="s">
        <v>31</v>
      </c>
      <c r="B191" s="8">
        <v>46935</v>
      </c>
      <c r="C191" s="34">
        <f>SUMIFS(Month_End!$D:$D,Month_End!$A:$A,B191,Month_End!$B:$B,A191)</f>
        <v>0</v>
      </c>
      <c r="D191" s="10">
        <f>SUMIFS(Transactions_PAC!$H:$H,Transactions_PAC!$B:$B,B191,Transactions_PAC!$C:$C,A191)</f>
        <v>108</v>
      </c>
      <c r="E191" s="10">
        <f>SUMIFS(Transactions_Manual!$E:$E,Transactions_Manual!$B:$B,B191,Transactions_Manual!$C:$C,A191)</f>
        <v>0</v>
      </c>
      <c r="F191" s="10">
        <f t="shared" si="10"/>
        <v>108</v>
      </c>
      <c r="G191" s="10">
        <f t="shared" si="13"/>
        <v>0</v>
      </c>
      <c r="H191" s="10" t="str">
        <f t="shared" si="11"/>
        <v/>
      </c>
      <c r="I191" s="28" t="str">
        <f t="shared" si="12"/>
        <v/>
      </c>
    </row>
    <row r="192" spans="1:9" x14ac:dyDescent="0.35">
      <c r="A192" s="5" t="s">
        <v>31</v>
      </c>
      <c r="B192" s="8">
        <v>46966</v>
      </c>
      <c r="C192" s="34">
        <f>SUMIFS(Month_End!$D:$D,Month_End!$A:$A,B192,Month_End!$B:$B,A192)</f>
        <v>0</v>
      </c>
      <c r="D192" s="10">
        <f>SUMIFS(Transactions_PAC!$H:$H,Transactions_PAC!$B:$B,B192,Transactions_PAC!$C:$C,A192)</f>
        <v>108</v>
      </c>
      <c r="E192" s="10">
        <f>SUMIFS(Transactions_Manual!$E:$E,Transactions_Manual!$B:$B,B192,Transactions_Manual!$C:$C,A192)</f>
        <v>0</v>
      </c>
      <c r="F192" s="10">
        <f t="shared" si="10"/>
        <v>108</v>
      </c>
      <c r="G192" s="10">
        <f t="shared" si="13"/>
        <v>0</v>
      </c>
      <c r="H192" s="10" t="str">
        <f t="shared" si="11"/>
        <v/>
      </c>
      <c r="I192" s="28" t="str">
        <f t="shared" si="12"/>
        <v/>
      </c>
    </row>
    <row r="193" spans="1:9" x14ac:dyDescent="0.35">
      <c r="A193" s="5" t="s">
        <v>31</v>
      </c>
      <c r="B193" s="8">
        <v>46997</v>
      </c>
      <c r="C193" s="34">
        <f>SUMIFS(Month_End!$D:$D,Month_End!$A:$A,B193,Month_End!$B:$B,A193)</f>
        <v>0</v>
      </c>
      <c r="D193" s="10">
        <f>SUMIFS(Transactions_PAC!$H:$H,Transactions_PAC!$B:$B,B193,Transactions_PAC!$C:$C,A193)</f>
        <v>108</v>
      </c>
      <c r="E193" s="10">
        <f>SUMIFS(Transactions_Manual!$E:$E,Transactions_Manual!$B:$B,B193,Transactions_Manual!$C:$C,A193)</f>
        <v>0</v>
      </c>
      <c r="F193" s="10">
        <f t="shared" si="10"/>
        <v>108</v>
      </c>
      <c r="G193" s="10">
        <f t="shared" si="13"/>
        <v>0</v>
      </c>
      <c r="H193" s="10" t="str">
        <f t="shared" si="11"/>
        <v/>
      </c>
      <c r="I193" s="28" t="str">
        <f t="shared" si="12"/>
        <v/>
      </c>
    </row>
    <row r="194" spans="1:9" x14ac:dyDescent="0.35">
      <c r="A194" s="5" t="s">
        <v>31</v>
      </c>
      <c r="B194" s="8">
        <v>47027</v>
      </c>
      <c r="C194" s="34">
        <f>SUMIFS(Month_End!$D:$D,Month_End!$A:$A,B194,Month_End!$B:$B,A194)</f>
        <v>0</v>
      </c>
      <c r="D194" s="10">
        <f>SUMIFS(Transactions_PAC!$H:$H,Transactions_PAC!$B:$B,B194,Transactions_PAC!$C:$C,A194)</f>
        <v>108</v>
      </c>
      <c r="E194" s="10">
        <f>SUMIFS(Transactions_Manual!$E:$E,Transactions_Manual!$B:$B,B194,Transactions_Manual!$C:$C,A194)</f>
        <v>0</v>
      </c>
      <c r="F194" s="10">
        <f t="shared" ref="F194:F257" si="14">D194+E194</f>
        <v>108</v>
      </c>
      <c r="G194" s="10">
        <f t="shared" si="13"/>
        <v>0</v>
      </c>
      <c r="H194" s="10" t="str">
        <f t="shared" si="11"/>
        <v/>
      </c>
      <c r="I194" s="28" t="str">
        <f t="shared" si="12"/>
        <v/>
      </c>
    </row>
    <row r="195" spans="1:9" x14ac:dyDescent="0.35">
      <c r="A195" s="5" t="s">
        <v>31</v>
      </c>
      <c r="B195" s="8">
        <v>47058</v>
      </c>
      <c r="C195" s="34">
        <f>SUMIFS(Month_End!$D:$D,Month_End!$A:$A,B195,Month_End!$B:$B,A195)</f>
        <v>0</v>
      </c>
      <c r="D195" s="10">
        <f>SUMIFS(Transactions_PAC!$H:$H,Transactions_PAC!$B:$B,B195,Transactions_PAC!$C:$C,A195)</f>
        <v>108</v>
      </c>
      <c r="E195" s="10">
        <f>SUMIFS(Transactions_Manual!$E:$E,Transactions_Manual!$B:$B,B195,Transactions_Manual!$C:$C,A195)</f>
        <v>0</v>
      </c>
      <c r="F195" s="10">
        <f t="shared" si="14"/>
        <v>108</v>
      </c>
      <c r="G195" s="10">
        <f t="shared" si="13"/>
        <v>0</v>
      </c>
      <c r="H195" s="10" t="str">
        <f t="shared" ref="H195:H258" si="15">IF(OR(C195=0,G195=0),"",C195-G195-F195)</f>
        <v/>
      </c>
      <c r="I195" s="28" t="str">
        <f t="shared" ref="I195:I258" si="16">IF(OR(C195=0,G195=0,H195=0),"",H195/(G195+F195/2))</f>
        <v/>
      </c>
    </row>
    <row r="196" spans="1:9" x14ac:dyDescent="0.35">
      <c r="A196" s="5" t="s">
        <v>31</v>
      </c>
      <c r="B196" s="8">
        <v>47088</v>
      </c>
      <c r="C196" s="34">
        <f>SUMIFS(Month_End!$D:$D,Month_End!$A:$A,B196,Month_End!$B:$B,A196)</f>
        <v>0</v>
      </c>
      <c r="D196" s="10">
        <f>SUMIFS(Transactions_PAC!$H:$H,Transactions_PAC!$B:$B,B196,Transactions_PAC!$C:$C,A196)</f>
        <v>108</v>
      </c>
      <c r="E196" s="10">
        <f>SUMIFS(Transactions_Manual!$E:$E,Transactions_Manual!$B:$B,B196,Transactions_Manual!$C:$C,A196)</f>
        <v>0</v>
      </c>
      <c r="F196" s="10">
        <f t="shared" si="14"/>
        <v>108</v>
      </c>
      <c r="G196" s="10">
        <f t="shared" si="13"/>
        <v>0</v>
      </c>
      <c r="H196" s="10" t="str">
        <f t="shared" si="15"/>
        <v/>
      </c>
      <c r="I196" s="28" t="str">
        <f t="shared" si="16"/>
        <v/>
      </c>
    </row>
    <row r="197" spans="1:9" x14ac:dyDescent="0.35">
      <c r="A197" s="5" t="s">
        <v>32</v>
      </c>
      <c r="B197" s="8">
        <v>45931</v>
      </c>
      <c r="C197" s="34">
        <f>SUMIFS(Month_End!$D:$D,Month_End!$A:$A,B197,Month_End!$B:$B,A197)</f>
        <v>1439</v>
      </c>
      <c r="D197" s="10">
        <f>SUMIFS(Transactions_PAC!$H:$H,Transactions_PAC!$B:$B,B197,Transactions_PAC!$C:$C,A197)</f>
        <v>0</v>
      </c>
      <c r="E197" s="10">
        <f>SUMIFS(Transactions_Manual!$E:$E,Transactions_Manual!$B:$B,B197,Transactions_Manual!$C:$C,A197)</f>
        <v>196.99</v>
      </c>
      <c r="F197" s="10">
        <f t="shared" si="14"/>
        <v>196.99</v>
      </c>
      <c r="G197" s="10"/>
      <c r="H197" s="10" t="str">
        <f t="shared" si="15"/>
        <v/>
      </c>
      <c r="I197" s="28" t="str">
        <f t="shared" si="16"/>
        <v/>
      </c>
    </row>
    <row r="198" spans="1:9" x14ac:dyDescent="0.35">
      <c r="A198" s="5" t="s">
        <v>32</v>
      </c>
      <c r="B198" s="8">
        <v>45962</v>
      </c>
      <c r="C198" s="34">
        <f>SUMIFS(Month_End!$D:$D,Month_End!$A:$A,B198,Month_End!$B:$B,A198)</f>
        <v>1499</v>
      </c>
      <c r="D198" s="10">
        <f>SUMIFS(Transactions_PAC!$H:$H,Transactions_PAC!$B:$B,B198,Transactions_PAC!$C:$C,A198)</f>
        <v>0</v>
      </c>
      <c r="E198" s="10">
        <f>SUMIFS(Transactions_Manual!$E:$E,Transactions_Manual!$B:$B,B198,Transactions_Manual!$C:$C,A198)</f>
        <v>96</v>
      </c>
      <c r="F198" s="10">
        <f t="shared" si="14"/>
        <v>96</v>
      </c>
      <c r="G198" s="10">
        <f t="shared" ref="G198:G235" si="17">C197</f>
        <v>1439</v>
      </c>
      <c r="H198" s="10">
        <f t="shared" si="15"/>
        <v>-36</v>
      </c>
      <c r="I198" s="28">
        <f t="shared" si="16"/>
        <v>-2.4209818426361801E-2</v>
      </c>
    </row>
    <row r="199" spans="1:9" x14ac:dyDescent="0.35">
      <c r="A199" s="5" t="s">
        <v>32</v>
      </c>
      <c r="B199" s="8">
        <v>45992</v>
      </c>
      <c r="C199" s="34">
        <f>SUMIFS(Month_End!$D:$D,Month_End!$A:$A,B199,Month_End!$B:$B,A199)</f>
        <v>1651</v>
      </c>
      <c r="D199" s="10">
        <f>SUMIFS(Transactions_PAC!$H:$H,Transactions_PAC!$B:$B,B199,Transactions_PAC!$C:$C,A199)</f>
        <v>0</v>
      </c>
      <c r="E199" s="10">
        <f>SUMIFS(Transactions_Manual!$E:$E,Transactions_Manual!$B:$B,B199,Transactions_Manual!$C:$C,A199)</f>
        <v>96</v>
      </c>
      <c r="F199" s="10">
        <f t="shared" si="14"/>
        <v>96</v>
      </c>
      <c r="G199" s="10">
        <f t="shared" si="17"/>
        <v>1499</v>
      </c>
      <c r="H199" s="10">
        <f t="shared" si="15"/>
        <v>56</v>
      </c>
      <c r="I199" s="28">
        <f t="shared" si="16"/>
        <v>3.6199095022624438E-2</v>
      </c>
    </row>
    <row r="200" spans="1:9" x14ac:dyDescent="0.35">
      <c r="A200" s="5" t="s">
        <v>32</v>
      </c>
      <c r="B200" s="8">
        <v>46023</v>
      </c>
      <c r="C200" s="34">
        <f>SUMIFS(Month_End!$D:$D,Month_End!$A:$A,B200,Month_End!$B:$B,A200)</f>
        <v>1824</v>
      </c>
      <c r="D200" s="10">
        <f>SUMIFS(Transactions_PAC!$H:$H,Transactions_PAC!$B:$B,B200,Transactions_PAC!$C:$C,A200)</f>
        <v>0</v>
      </c>
      <c r="E200" s="10">
        <f>SUMIFS(Transactions_Manual!$E:$E,Transactions_Manual!$B:$B,B200,Transactions_Manual!$C:$C,A200)</f>
        <v>96</v>
      </c>
      <c r="F200" s="10">
        <f t="shared" si="14"/>
        <v>96</v>
      </c>
      <c r="G200" s="10">
        <f t="shared" si="17"/>
        <v>1651</v>
      </c>
      <c r="H200" s="10">
        <f t="shared" si="15"/>
        <v>77</v>
      </c>
      <c r="I200" s="28">
        <f t="shared" si="16"/>
        <v>4.5320776927604473E-2</v>
      </c>
    </row>
    <row r="201" spans="1:9" x14ac:dyDescent="0.35">
      <c r="A201" s="5" t="s">
        <v>32</v>
      </c>
      <c r="B201" s="8">
        <v>46054</v>
      </c>
      <c r="C201" s="34">
        <f>SUMIFS(Month_End!$D:$D,Month_End!$A:$A,B201,Month_End!$B:$B,A201)</f>
        <v>2007</v>
      </c>
      <c r="D201" s="10">
        <f>SUMIFS(Transactions_PAC!$H:$H,Transactions_PAC!$B:$B,B201,Transactions_PAC!$C:$C,A201)</f>
        <v>0</v>
      </c>
      <c r="E201" s="10">
        <f>SUMIFS(Transactions_Manual!$E:$E,Transactions_Manual!$B:$B,B201,Transactions_Manual!$C:$C,A201)</f>
        <v>96</v>
      </c>
      <c r="F201" s="10">
        <f t="shared" si="14"/>
        <v>96</v>
      </c>
      <c r="G201" s="10">
        <f t="shared" si="17"/>
        <v>1824</v>
      </c>
      <c r="H201" s="10">
        <f t="shared" si="15"/>
        <v>87</v>
      </c>
      <c r="I201" s="28">
        <f t="shared" si="16"/>
        <v>4.6474358974358976E-2</v>
      </c>
    </row>
    <row r="202" spans="1:9" x14ac:dyDescent="0.35">
      <c r="A202" s="5" t="s">
        <v>32</v>
      </c>
      <c r="B202" s="8">
        <v>46082</v>
      </c>
      <c r="C202" s="34">
        <f>SUMIFS(Month_End!$D:$D,Month_End!$A:$A,B202,Month_End!$B:$B,A202)</f>
        <v>2387</v>
      </c>
      <c r="D202" s="10">
        <f>SUMIFS(Transactions_PAC!$H:$H,Transactions_PAC!$B:$B,B202,Transactions_PAC!$C:$C,A202)</f>
        <v>0</v>
      </c>
      <c r="E202" s="10">
        <f>SUMIFS(Transactions_Manual!$E:$E,Transactions_Manual!$B:$B,B202,Transactions_Manual!$C:$C,A202)</f>
        <v>497</v>
      </c>
      <c r="F202" s="10">
        <f t="shared" si="14"/>
        <v>497</v>
      </c>
      <c r="G202" s="10">
        <f t="shared" si="17"/>
        <v>2007</v>
      </c>
      <c r="H202" s="10">
        <f t="shared" si="15"/>
        <v>-117</v>
      </c>
      <c r="I202" s="28">
        <f t="shared" si="16"/>
        <v>-5.1873198847262249E-2</v>
      </c>
    </row>
    <row r="203" spans="1:9" x14ac:dyDescent="0.35">
      <c r="A203" s="5" t="s">
        <v>32</v>
      </c>
      <c r="B203" s="8">
        <v>46113</v>
      </c>
      <c r="C203" s="34">
        <f>SUMIFS(Month_End!$D:$D,Month_End!$A:$A,B203,Month_End!$B:$B,A203)</f>
        <v>0</v>
      </c>
      <c r="D203" s="10">
        <f>SUMIFS(Transactions_PAC!$H:$H,Transactions_PAC!$B:$B,B203,Transactions_PAC!$C:$C,A203)</f>
        <v>180</v>
      </c>
      <c r="E203" s="10">
        <f>SUMIFS(Transactions_Manual!$E:$E,Transactions_Manual!$B:$B,B203,Transactions_Manual!$C:$C,A203)</f>
        <v>0</v>
      </c>
      <c r="F203" s="10">
        <f t="shared" si="14"/>
        <v>180</v>
      </c>
      <c r="G203" s="10">
        <f t="shared" si="17"/>
        <v>2387</v>
      </c>
      <c r="H203" s="10" t="str">
        <f t="shared" si="15"/>
        <v/>
      </c>
      <c r="I203" s="28" t="str">
        <f t="shared" si="16"/>
        <v/>
      </c>
    </row>
    <row r="204" spans="1:9" x14ac:dyDescent="0.35">
      <c r="A204" s="5" t="s">
        <v>32</v>
      </c>
      <c r="B204" s="8">
        <v>46143</v>
      </c>
      <c r="C204" s="34">
        <f>SUMIFS(Month_End!$D:$D,Month_End!$A:$A,B204,Month_End!$B:$B,A204)</f>
        <v>0</v>
      </c>
      <c r="D204" s="10">
        <f>SUMIFS(Transactions_PAC!$H:$H,Transactions_PAC!$B:$B,B204,Transactions_PAC!$C:$C,A204)</f>
        <v>180</v>
      </c>
      <c r="E204" s="10">
        <f>SUMIFS(Transactions_Manual!$E:$E,Transactions_Manual!$B:$B,B204,Transactions_Manual!$C:$C,A204)</f>
        <v>0</v>
      </c>
      <c r="F204" s="10">
        <f t="shared" si="14"/>
        <v>180</v>
      </c>
      <c r="G204" s="10">
        <f t="shared" si="17"/>
        <v>0</v>
      </c>
      <c r="H204" s="10" t="str">
        <f t="shared" si="15"/>
        <v/>
      </c>
      <c r="I204" s="28" t="str">
        <f t="shared" si="16"/>
        <v/>
      </c>
    </row>
    <row r="205" spans="1:9" x14ac:dyDescent="0.35">
      <c r="A205" s="5" t="s">
        <v>32</v>
      </c>
      <c r="B205" s="8">
        <v>46174</v>
      </c>
      <c r="C205" s="34">
        <f>SUMIFS(Month_End!$D:$D,Month_End!$A:$A,B205,Month_End!$B:$B,A205)</f>
        <v>0</v>
      </c>
      <c r="D205" s="10">
        <f>SUMIFS(Transactions_PAC!$H:$H,Transactions_PAC!$B:$B,B205,Transactions_PAC!$C:$C,A205)</f>
        <v>180</v>
      </c>
      <c r="E205" s="10">
        <f>SUMIFS(Transactions_Manual!$E:$E,Transactions_Manual!$B:$B,B205,Transactions_Manual!$C:$C,A205)</f>
        <v>0</v>
      </c>
      <c r="F205" s="10">
        <f t="shared" si="14"/>
        <v>180</v>
      </c>
      <c r="G205" s="10">
        <f t="shared" si="17"/>
        <v>0</v>
      </c>
      <c r="H205" s="10" t="str">
        <f t="shared" si="15"/>
        <v/>
      </c>
      <c r="I205" s="28" t="str">
        <f t="shared" si="16"/>
        <v/>
      </c>
    </row>
    <row r="206" spans="1:9" x14ac:dyDescent="0.35">
      <c r="A206" s="5" t="s">
        <v>32</v>
      </c>
      <c r="B206" s="8">
        <v>46204</v>
      </c>
      <c r="C206" s="34">
        <f>SUMIFS(Month_End!$D:$D,Month_End!$A:$A,B206,Month_End!$B:$B,A206)</f>
        <v>0</v>
      </c>
      <c r="D206" s="10">
        <f>SUMIFS(Transactions_PAC!$H:$H,Transactions_PAC!$B:$B,B206,Transactions_PAC!$C:$C,A206)</f>
        <v>180</v>
      </c>
      <c r="E206" s="10">
        <f>SUMIFS(Transactions_Manual!$E:$E,Transactions_Manual!$B:$B,B206,Transactions_Manual!$C:$C,A206)</f>
        <v>0</v>
      </c>
      <c r="F206" s="10">
        <f t="shared" si="14"/>
        <v>180</v>
      </c>
      <c r="G206" s="10">
        <f t="shared" si="17"/>
        <v>0</v>
      </c>
      <c r="H206" s="10" t="str">
        <f t="shared" si="15"/>
        <v/>
      </c>
      <c r="I206" s="28" t="str">
        <f t="shared" si="16"/>
        <v/>
      </c>
    </row>
    <row r="207" spans="1:9" x14ac:dyDescent="0.35">
      <c r="A207" s="5" t="s">
        <v>32</v>
      </c>
      <c r="B207" s="8">
        <v>46235</v>
      </c>
      <c r="C207" s="34">
        <f>SUMIFS(Month_End!$D:$D,Month_End!$A:$A,B207,Month_End!$B:$B,A207)</f>
        <v>0</v>
      </c>
      <c r="D207" s="10">
        <f>SUMIFS(Transactions_PAC!$H:$H,Transactions_PAC!$B:$B,B207,Transactions_PAC!$C:$C,A207)</f>
        <v>180</v>
      </c>
      <c r="E207" s="10">
        <f>SUMIFS(Transactions_Manual!$E:$E,Transactions_Manual!$B:$B,B207,Transactions_Manual!$C:$C,A207)</f>
        <v>0</v>
      </c>
      <c r="F207" s="10">
        <f t="shared" si="14"/>
        <v>180</v>
      </c>
      <c r="G207" s="10">
        <f t="shared" si="17"/>
        <v>0</v>
      </c>
      <c r="H207" s="10" t="str">
        <f t="shared" si="15"/>
        <v/>
      </c>
      <c r="I207" s="28" t="str">
        <f t="shared" si="16"/>
        <v/>
      </c>
    </row>
    <row r="208" spans="1:9" x14ac:dyDescent="0.35">
      <c r="A208" s="5" t="s">
        <v>32</v>
      </c>
      <c r="B208" s="8">
        <v>46266</v>
      </c>
      <c r="C208" s="34">
        <f>SUMIFS(Month_End!$D:$D,Month_End!$A:$A,B208,Month_End!$B:$B,A208)</f>
        <v>0</v>
      </c>
      <c r="D208" s="10">
        <f>SUMIFS(Transactions_PAC!$H:$H,Transactions_PAC!$B:$B,B208,Transactions_PAC!$C:$C,A208)</f>
        <v>180</v>
      </c>
      <c r="E208" s="10">
        <f>SUMIFS(Transactions_Manual!$E:$E,Transactions_Manual!$B:$B,B208,Transactions_Manual!$C:$C,A208)</f>
        <v>0</v>
      </c>
      <c r="F208" s="10">
        <f t="shared" si="14"/>
        <v>180</v>
      </c>
      <c r="G208" s="10">
        <f t="shared" si="17"/>
        <v>0</v>
      </c>
      <c r="H208" s="10" t="str">
        <f t="shared" si="15"/>
        <v/>
      </c>
      <c r="I208" s="28" t="str">
        <f t="shared" si="16"/>
        <v/>
      </c>
    </row>
    <row r="209" spans="1:9" x14ac:dyDescent="0.35">
      <c r="A209" s="5" t="s">
        <v>32</v>
      </c>
      <c r="B209" s="8">
        <v>46296</v>
      </c>
      <c r="C209" s="34">
        <f>SUMIFS(Month_End!$D:$D,Month_End!$A:$A,B209,Month_End!$B:$B,A209)</f>
        <v>0</v>
      </c>
      <c r="D209" s="10">
        <f>SUMIFS(Transactions_PAC!$H:$H,Transactions_PAC!$B:$B,B209,Transactions_PAC!$C:$C,A209)</f>
        <v>180</v>
      </c>
      <c r="E209" s="10">
        <f>SUMIFS(Transactions_Manual!$E:$E,Transactions_Manual!$B:$B,B209,Transactions_Manual!$C:$C,A209)</f>
        <v>0</v>
      </c>
      <c r="F209" s="10">
        <f t="shared" si="14"/>
        <v>180</v>
      </c>
      <c r="G209" s="10">
        <f t="shared" si="17"/>
        <v>0</v>
      </c>
      <c r="H209" s="10" t="str">
        <f t="shared" si="15"/>
        <v/>
      </c>
      <c r="I209" s="28" t="str">
        <f t="shared" si="16"/>
        <v/>
      </c>
    </row>
    <row r="210" spans="1:9" x14ac:dyDescent="0.35">
      <c r="A210" s="5" t="s">
        <v>32</v>
      </c>
      <c r="B210" s="8">
        <v>46327</v>
      </c>
      <c r="C210" s="34">
        <f>SUMIFS(Month_End!$D:$D,Month_End!$A:$A,B210,Month_End!$B:$B,A210)</f>
        <v>0</v>
      </c>
      <c r="D210" s="10">
        <f>SUMIFS(Transactions_PAC!$H:$H,Transactions_PAC!$B:$B,B210,Transactions_PAC!$C:$C,A210)</f>
        <v>180</v>
      </c>
      <c r="E210" s="10">
        <f>SUMIFS(Transactions_Manual!$E:$E,Transactions_Manual!$B:$B,B210,Transactions_Manual!$C:$C,A210)</f>
        <v>0</v>
      </c>
      <c r="F210" s="10">
        <f t="shared" si="14"/>
        <v>180</v>
      </c>
      <c r="G210" s="10">
        <f t="shared" si="17"/>
        <v>0</v>
      </c>
      <c r="H210" s="10" t="str">
        <f t="shared" si="15"/>
        <v/>
      </c>
      <c r="I210" s="28" t="str">
        <f t="shared" si="16"/>
        <v/>
      </c>
    </row>
    <row r="211" spans="1:9" x14ac:dyDescent="0.35">
      <c r="A211" s="5" t="s">
        <v>32</v>
      </c>
      <c r="B211" s="8">
        <v>46357</v>
      </c>
      <c r="C211" s="34">
        <f>SUMIFS(Month_End!$D:$D,Month_End!$A:$A,B211,Month_End!$B:$B,A211)</f>
        <v>0</v>
      </c>
      <c r="D211" s="10">
        <f>SUMIFS(Transactions_PAC!$H:$H,Transactions_PAC!$B:$B,B211,Transactions_PAC!$C:$C,A211)</f>
        <v>180</v>
      </c>
      <c r="E211" s="10">
        <f>SUMIFS(Transactions_Manual!$E:$E,Transactions_Manual!$B:$B,B211,Transactions_Manual!$C:$C,A211)</f>
        <v>0</v>
      </c>
      <c r="F211" s="10">
        <f t="shared" si="14"/>
        <v>180</v>
      </c>
      <c r="G211" s="10">
        <f t="shared" si="17"/>
        <v>0</v>
      </c>
      <c r="H211" s="10" t="str">
        <f t="shared" si="15"/>
        <v/>
      </c>
      <c r="I211" s="28" t="str">
        <f t="shared" si="16"/>
        <v/>
      </c>
    </row>
    <row r="212" spans="1:9" x14ac:dyDescent="0.35">
      <c r="A212" s="5" t="s">
        <v>32</v>
      </c>
      <c r="B212" s="8">
        <v>46388</v>
      </c>
      <c r="C212" s="34">
        <f>SUMIFS(Month_End!$D:$D,Month_End!$A:$A,B212,Month_End!$B:$B,A212)</f>
        <v>0</v>
      </c>
      <c r="D212" s="10">
        <f>SUMIFS(Transactions_PAC!$H:$H,Transactions_PAC!$B:$B,B212,Transactions_PAC!$C:$C,A212)</f>
        <v>180</v>
      </c>
      <c r="E212" s="10">
        <f>SUMIFS(Transactions_Manual!$E:$E,Transactions_Manual!$B:$B,B212,Transactions_Manual!$C:$C,A212)</f>
        <v>0</v>
      </c>
      <c r="F212" s="10">
        <f t="shared" si="14"/>
        <v>180</v>
      </c>
      <c r="G212" s="10">
        <f t="shared" si="17"/>
        <v>0</v>
      </c>
      <c r="H212" s="10" t="str">
        <f t="shared" si="15"/>
        <v/>
      </c>
      <c r="I212" s="28" t="str">
        <f t="shared" si="16"/>
        <v/>
      </c>
    </row>
    <row r="213" spans="1:9" x14ac:dyDescent="0.35">
      <c r="A213" s="5" t="s">
        <v>32</v>
      </c>
      <c r="B213" s="8">
        <v>46419</v>
      </c>
      <c r="C213" s="34">
        <f>SUMIFS(Month_End!$D:$D,Month_End!$A:$A,B213,Month_End!$B:$B,A213)</f>
        <v>0</v>
      </c>
      <c r="D213" s="10">
        <f>SUMIFS(Transactions_PAC!$H:$H,Transactions_PAC!$B:$B,B213,Transactions_PAC!$C:$C,A213)</f>
        <v>180</v>
      </c>
      <c r="E213" s="10">
        <f>SUMIFS(Transactions_Manual!$E:$E,Transactions_Manual!$B:$B,B213,Transactions_Manual!$C:$C,A213)</f>
        <v>0</v>
      </c>
      <c r="F213" s="10">
        <f t="shared" si="14"/>
        <v>180</v>
      </c>
      <c r="G213" s="10">
        <f t="shared" si="17"/>
        <v>0</v>
      </c>
      <c r="H213" s="10" t="str">
        <f t="shared" si="15"/>
        <v/>
      </c>
      <c r="I213" s="28" t="str">
        <f t="shared" si="16"/>
        <v/>
      </c>
    </row>
    <row r="214" spans="1:9" x14ac:dyDescent="0.35">
      <c r="A214" s="5" t="s">
        <v>32</v>
      </c>
      <c r="B214" s="8">
        <v>46447</v>
      </c>
      <c r="C214" s="34">
        <f>SUMIFS(Month_End!$D:$D,Month_End!$A:$A,B214,Month_End!$B:$B,A214)</f>
        <v>0</v>
      </c>
      <c r="D214" s="10">
        <f>SUMIFS(Transactions_PAC!$H:$H,Transactions_PAC!$B:$B,B214,Transactions_PAC!$C:$C,A214)</f>
        <v>180</v>
      </c>
      <c r="E214" s="10">
        <f>SUMIFS(Transactions_Manual!$E:$E,Transactions_Manual!$B:$B,B214,Transactions_Manual!$C:$C,A214)</f>
        <v>0</v>
      </c>
      <c r="F214" s="10">
        <f t="shared" si="14"/>
        <v>180</v>
      </c>
      <c r="G214" s="10">
        <f t="shared" si="17"/>
        <v>0</v>
      </c>
      <c r="H214" s="10" t="str">
        <f t="shared" si="15"/>
        <v/>
      </c>
      <c r="I214" s="28" t="str">
        <f t="shared" si="16"/>
        <v/>
      </c>
    </row>
    <row r="215" spans="1:9" x14ac:dyDescent="0.35">
      <c r="A215" s="5" t="s">
        <v>32</v>
      </c>
      <c r="B215" s="8">
        <v>46478</v>
      </c>
      <c r="C215" s="34">
        <f>SUMIFS(Month_End!$D:$D,Month_End!$A:$A,B215,Month_End!$B:$B,A215)</f>
        <v>0</v>
      </c>
      <c r="D215" s="10">
        <f>SUMIFS(Transactions_PAC!$H:$H,Transactions_PAC!$B:$B,B215,Transactions_PAC!$C:$C,A215)</f>
        <v>180</v>
      </c>
      <c r="E215" s="10">
        <f>SUMIFS(Transactions_Manual!$E:$E,Transactions_Manual!$B:$B,B215,Transactions_Manual!$C:$C,A215)</f>
        <v>0</v>
      </c>
      <c r="F215" s="10">
        <f t="shared" si="14"/>
        <v>180</v>
      </c>
      <c r="G215" s="10">
        <f t="shared" si="17"/>
        <v>0</v>
      </c>
      <c r="H215" s="10" t="str">
        <f t="shared" si="15"/>
        <v/>
      </c>
      <c r="I215" s="28" t="str">
        <f t="shared" si="16"/>
        <v/>
      </c>
    </row>
    <row r="216" spans="1:9" x14ac:dyDescent="0.35">
      <c r="A216" s="5" t="s">
        <v>32</v>
      </c>
      <c r="B216" s="8">
        <v>46508</v>
      </c>
      <c r="C216" s="34">
        <f>SUMIFS(Month_End!$D:$D,Month_End!$A:$A,B216,Month_End!$B:$B,A216)</f>
        <v>0</v>
      </c>
      <c r="D216" s="10">
        <f>SUMIFS(Transactions_PAC!$H:$H,Transactions_PAC!$B:$B,B216,Transactions_PAC!$C:$C,A216)</f>
        <v>180</v>
      </c>
      <c r="E216" s="10">
        <f>SUMIFS(Transactions_Manual!$E:$E,Transactions_Manual!$B:$B,B216,Transactions_Manual!$C:$C,A216)</f>
        <v>0</v>
      </c>
      <c r="F216" s="10">
        <f t="shared" si="14"/>
        <v>180</v>
      </c>
      <c r="G216" s="10">
        <f t="shared" si="17"/>
        <v>0</v>
      </c>
      <c r="H216" s="10" t="str">
        <f t="shared" si="15"/>
        <v/>
      </c>
      <c r="I216" s="28" t="str">
        <f t="shared" si="16"/>
        <v/>
      </c>
    </row>
    <row r="217" spans="1:9" x14ac:dyDescent="0.35">
      <c r="A217" s="5" t="s">
        <v>32</v>
      </c>
      <c r="B217" s="8">
        <v>46539</v>
      </c>
      <c r="C217" s="34">
        <f>SUMIFS(Month_End!$D:$D,Month_End!$A:$A,B217,Month_End!$B:$B,A217)</f>
        <v>0</v>
      </c>
      <c r="D217" s="10">
        <f>SUMIFS(Transactions_PAC!$H:$H,Transactions_PAC!$B:$B,B217,Transactions_PAC!$C:$C,A217)</f>
        <v>180</v>
      </c>
      <c r="E217" s="10">
        <f>SUMIFS(Transactions_Manual!$E:$E,Transactions_Manual!$B:$B,B217,Transactions_Manual!$C:$C,A217)</f>
        <v>0</v>
      </c>
      <c r="F217" s="10">
        <f t="shared" si="14"/>
        <v>180</v>
      </c>
      <c r="G217" s="10">
        <f t="shared" si="17"/>
        <v>0</v>
      </c>
      <c r="H217" s="10" t="str">
        <f t="shared" si="15"/>
        <v/>
      </c>
      <c r="I217" s="28" t="str">
        <f t="shared" si="16"/>
        <v/>
      </c>
    </row>
    <row r="218" spans="1:9" x14ac:dyDescent="0.35">
      <c r="A218" s="5" t="s">
        <v>32</v>
      </c>
      <c r="B218" s="8">
        <v>46569</v>
      </c>
      <c r="C218" s="34">
        <f>SUMIFS(Month_End!$D:$D,Month_End!$A:$A,B218,Month_End!$B:$B,A218)</f>
        <v>0</v>
      </c>
      <c r="D218" s="10">
        <f>SUMIFS(Transactions_PAC!$H:$H,Transactions_PAC!$B:$B,B218,Transactions_PAC!$C:$C,A218)</f>
        <v>180</v>
      </c>
      <c r="E218" s="10">
        <f>SUMIFS(Transactions_Manual!$E:$E,Transactions_Manual!$B:$B,B218,Transactions_Manual!$C:$C,A218)</f>
        <v>0</v>
      </c>
      <c r="F218" s="10">
        <f t="shared" si="14"/>
        <v>180</v>
      </c>
      <c r="G218" s="10">
        <f t="shared" si="17"/>
        <v>0</v>
      </c>
      <c r="H218" s="10" t="str">
        <f t="shared" si="15"/>
        <v/>
      </c>
      <c r="I218" s="28" t="str">
        <f t="shared" si="16"/>
        <v/>
      </c>
    </row>
    <row r="219" spans="1:9" x14ac:dyDescent="0.35">
      <c r="A219" s="5" t="s">
        <v>32</v>
      </c>
      <c r="B219" s="8">
        <v>46600</v>
      </c>
      <c r="C219" s="34">
        <f>SUMIFS(Month_End!$D:$D,Month_End!$A:$A,B219,Month_End!$B:$B,A219)</f>
        <v>0</v>
      </c>
      <c r="D219" s="10">
        <f>SUMIFS(Transactions_PAC!$H:$H,Transactions_PAC!$B:$B,B219,Transactions_PAC!$C:$C,A219)</f>
        <v>180</v>
      </c>
      <c r="E219" s="10">
        <f>SUMIFS(Transactions_Manual!$E:$E,Transactions_Manual!$B:$B,B219,Transactions_Manual!$C:$C,A219)</f>
        <v>0</v>
      </c>
      <c r="F219" s="10">
        <f t="shared" si="14"/>
        <v>180</v>
      </c>
      <c r="G219" s="10">
        <f t="shared" si="17"/>
        <v>0</v>
      </c>
      <c r="H219" s="10" t="str">
        <f t="shared" si="15"/>
        <v/>
      </c>
      <c r="I219" s="28" t="str">
        <f t="shared" si="16"/>
        <v/>
      </c>
    </row>
    <row r="220" spans="1:9" x14ac:dyDescent="0.35">
      <c r="A220" s="5" t="s">
        <v>32</v>
      </c>
      <c r="B220" s="8">
        <v>46631</v>
      </c>
      <c r="C220" s="34">
        <f>SUMIFS(Month_End!$D:$D,Month_End!$A:$A,B220,Month_End!$B:$B,A220)</f>
        <v>0</v>
      </c>
      <c r="D220" s="10">
        <f>SUMIFS(Transactions_PAC!$H:$H,Transactions_PAC!$B:$B,B220,Transactions_PAC!$C:$C,A220)</f>
        <v>180</v>
      </c>
      <c r="E220" s="10">
        <f>SUMIFS(Transactions_Manual!$E:$E,Transactions_Manual!$B:$B,B220,Transactions_Manual!$C:$C,A220)</f>
        <v>0</v>
      </c>
      <c r="F220" s="10">
        <f t="shared" si="14"/>
        <v>180</v>
      </c>
      <c r="G220" s="10">
        <f t="shared" si="17"/>
        <v>0</v>
      </c>
      <c r="H220" s="10" t="str">
        <f t="shared" si="15"/>
        <v/>
      </c>
      <c r="I220" s="28" t="str">
        <f t="shared" si="16"/>
        <v/>
      </c>
    </row>
    <row r="221" spans="1:9" x14ac:dyDescent="0.35">
      <c r="A221" s="5" t="s">
        <v>32</v>
      </c>
      <c r="B221" s="8">
        <v>46661</v>
      </c>
      <c r="C221" s="34">
        <f>SUMIFS(Month_End!$D:$D,Month_End!$A:$A,B221,Month_End!$B:$B,A221)</f>
        <v>0</v>
      </c>
      <c r="D221" s="10">
        <f>SUMIFS(Transactions_PAC!$H:$H,Transactions_PAC!$B:$B,B221,Transactions_PAC!$C:$C,A221)</f>
        <v>180</v>
      </c>
      <c r="E221" s="10">
        <f>SUMIFS(Transactions_Manual!$E:$E,Transactions_Manual!$B:$B,B221,Transactions_Manual!$C:$C,A221)</f>
        <v>0</v>
      </c>
      <c r="F221" s="10">
        <f t="shared" si="14"/>
        <v>180</v>
      </c>
      <c r="G221" s="10">
        <f t="shared" si="17"/>
        <v>0</v>
      </c>
      <c r="H221" s="10" t="str">
        <f t="shared" si="15"/>
        <v/>
      </c>
      <c r="I221" s="28" t="str">
        <f t="shared" si="16"/>
        <v/>
      </c>
    </row>
    <row r="222" spans="1:9" x14ac:dyDescent="0.35">
      <c r="A222" s="5" t="s">
        <v>32</v>
      </c>
      <c r="B222" s="8">
        <v>46692</v>
      </c>
      <c r="C222" s="34">
        <f>SUMIFS(Month_End!$D:$D,Month_End!$A:$A,B222,Month_End!$B:$B,A222)</f>
        <v>0</v>
      </c>
      <c r="D222" s="10">
        <f>SUMIFS(Transactions_PAC!$H:$H,Transactions_PAC!$B:$B,B222,Transactions_PAC!$C:$C,A222)</f>
        <v>180</v>
      </c>
      <c r="E222" s="10">
        <f>SUMIFS(Transactions_Manual!$E:$E,Transactions_Manual!$B:$B,B222,Transactions_Manual!$C:$C,A222)</f>
        <v>0</v>
      </c>
      <c r="F222" s="10">
        <f t="shared" si="14"/>
        <v>180</v>
      </c>
      <c r="G222" s="10">
        <f t="shared" si="17"/>
        <v>0</v>
      </c>
      <c r="H222" s="10" t="str">
        <f t="shared" si="15"/>
        <v/>
      </c>
      <c r="I222" s="28" t="str">
        <f t="shared" si="16"/>
        <v/>
      </c>
    </row>
    <row r="223" spans="1:9" x14ac:dyDescent="0.35">
      <c r="A223" s="5" t="s">
        <v>32</v>
      </c>
      <c r="B223" s="8">
        <v>46722</v>
      </c>
      <c r="C223" s="34">
        <f>SUMIFS(Month_End!$D:$D,Month_End!$A:$A,B223,Month_End!$B:$B,A223)</f>
        <v>0</v>
      </c>
      <c r="D223" s="10">
        <f>SUMIFS(Transactions_PAC!$H:$H,Transactions_PAC!$B:$B,B223,Transactions_PAC!$C:$C,A223)</f>
        <v>180</v>
      </c>
      <c r="E223" s="10">
        <f>SUMIFS(Transactions_Manual!$E:$E,Transactions_Manual!$B:$B,B223,Transactions_Manual!$C:$C,A223)</f>
        <v>0</v>
      </c>
      <c r="F223" s="10">
        <f t="shared" si="14"/>
        <v>180</v>
      </c>
      <c r="G223" s="10">
        <f t="shared" si="17"/>
        <v>0</v>
      </c>
      <c r="H223" s="10" t="str">
        <f t="shared" si="15"/>
        <v/>
      </c>
      <c r="I223" s="28" t="str">
        <f t="shared" si="16"/>
        <v/>
      </c>
    </row>
    <row r="224" spans="1:9" x14ac:dyDescent="0.35">
      <c r="A224" s="5" t="s">
        <v>32</v>
      </c>
      <c r="B224" s="8">
        <v>46753</v>
      </c>
      <c r="C224" s="34">
        <f>SUMIFS(Month_End!$D:$D,Month_End!$A:$A,B224,Month_End!$B:$B,A224)</f>
        <v>0</v>
      </c>
      <c r="D224" s="10">
        <f>SUMIFS(Transactions_PAC!$H:$H,Transactions_PAC!$B:$B,B224,Transactions_PAC!$C:$C,A224)</f>
        <v>180</v>
      </c>
      <c r="E224" s="10">
        <f>SUMIFS(Transactions_Manual!$E:$E,Transactions_Manual!$B:$B,B224,Transactions_Manual!$C:$C,A224)</f>
        <v>0</v>
      </c>
      <c r="F224" s="10">
        <f t="shared" si="14"/>
        <v>180</v>
      </c>
      <c r="G224" s="10">
        <f t="shared" si="17"/>
        <v>0</v>
      </c>
      <c r="H224" s="10" t="str">
        <f t="shared" si="15"/>
        <v/>
      </c>
      <c r="I224" s="28" t="str">
        <f t="shared" si="16"/>
        <v/>
      </c>
    </row>
    <row r="225" spans="1:9" x14ac:dyDescent="0.35">
      <c r="A225" s="5" t="s">
        <v>32</v>
      </c>
      <c r="B225" s="8">
        <v>46784</v>
      </c>
      <c r="C225" s="34">
        <f>SUMIFS(Month_End!$D:$D,Month_End!$A:$A,B225,Month_End!$B:$B,A225)</f>
        <v>0</v>
      </c>
      <c r="D225" s="10">
        <f>SUMIFS(Transactions_PAC!$H:$H,Transactions_PAC!$B:$B,B225,Transactions_PAC!$C:$C,A225)</f>
        <v>180</v>
      </c>
      <c r="E225" s="10">
        <f>SUMIFS(Transactions_Manual!$E:$E,Transactions_Manual!$B:$B,B225,Transactions_Manual!$C:$C,A225)</f>
        <v>0</v>
      </c>
      <c r="F225" s="10">
        <f t="shared" si="14"/>
        <v>180</v>
      </c>
      <c r="G225" s="10">
        <f t="shared" si="17"/>
        <v>0</v>
      </c>
      <c r="H225" s="10" t="str">
        <f t="shared" si="15"/>
        <v/>
      </c>
      <c r="I225" s="28" t="str">
        <f t="shared" si="16"/>
        <v/>
      </c>
    </row>
    <row r="226" spans="1:9" x14ac:dyDescent="0.35">
      <c r="A226" s="5" t="s">
        <v>32</v>
      </c>
      <c r="B226" s="8">
        <v>46813</v>
      </c>
      <c r="C226" s="34">
        <f>SUMIFS(Month_End!$D:$D,Month_End!$A:$A,B226,Month_End!$B:$B,A226)</f>
        <v>0</v>
      </c>
      <c r="D226" s="10">
        <f>SUMIFS(Transactions_PAC!$H:$H,Transactions_PAC!$B:$B,B226,Transactions_PAC!$C:$C,A226)</f>
        <v>180</v>
      </c>
      <c r="E226" s="10">
        <f>SUMIFS(Transactions_Manual!$E:$E,Transactions_Manual!$B:$B,B226,Transactions_Manual!$C:$C,A226)</f>
        <v>0</v>
      </c>
      <c r="F226" s="10">
        <f t="shared" si="14"/>
        <v>180</v>
      </c>
      <c r="G226" s="10">
        <f t="shared" si="17"/>
        <v>0</v>
      </c>
      <c r="H226" s="10" t="str">
        <f t="shared" si="15"/>
        <v/>
      </c>
      <c r="I226" s="28" t="str">
        <f t="shared" si="16"/>
        <v/>
      </c>
    </row>
    <row r="227" spans="1:9" x14ac:dyDescent="0.35">
      <c r="A227" s="5" t="s">
        <v>32</v>
      </c>
      <c r="B227" s="8">
        <v>46844</v>
      </c>
      <c r="C227" s="34">
        <f>SUMIFS(Month_End!$D:$D,Month_End!$A:$A,B227,Month_End!$B:$B,A227)</f>
        <v>0</v>
      </c>
      <c r="D227" s="10">
        <f>SUMIFS(Transactions_PAC!$H:$H,Transactions_PAC!$B:$B,B227,Transactions_PAC!$C:$C,A227)</f>
        <v>180</v>
      </c>
      <c r="E227" s="10">
        <f>SUMIFS(Transactions_Manual!$E:$E,Transactions_Manual!$B:$B,B227,Transactions_Manual!$C:$C,A227)</f>
        <v>0</v>
      </c>
      <c r="F227" s="10">
        <f t="shared" si="14"/>
        <v>180</v>
      </c>
      <c r="G227" s="10">
        <f t="shared" si="17"/>
        <v>0</v>
      </c>
      <c r="H227" s="10" t="str">
        <f t="shared" si="15"/>
        <v/>
      </c>
      <c r="I227" s="28" t="str">
        <f t="shared" si="16"/>
        <v/>
      </c>
    </row>
    <row r="228" spans="1:9" x14ac:dyDescent="0.35">
      <c r="A228" s="5" t="s">
        <v>32</v>
      </c>
      <c r="B228" s="8">
        <v>46874</v>
      </c>
      <c r="C228" s="34">
        <f>SUMIFS(Month_End!$D:$D,Month_End!$A:$A,B228,Month_End!$B:$B,A228)</f>
        <v>0</v>
      </c>
      <c r="D228" s="10">
        <f>SUMIFS(Transactions_PAC!$H:$H,Transactions_PAC!$B:$B,B228,Transactions_PAC!$C:$C,A228)</f>
        <v>180</v>
      </c>
      <c r="E228" s="10">
        <f>SUMIFS(Transactions_Manual!$E:$E,Transactions_Manual!$B:$B,B228,Transactions_Manual!$C:$C,A228)</f>
        <v>0</v>
      </c>
      <c r="F228" s="10">
        <f t="shared" si="14"/>
        <v>180</v>
      </c>
      <c r="G228" s="10">
        <f t="shared" si="17"/>
        <v>0</v>
      </c>
      <c r="H228" s="10" t="str">
        <f t="shared" si="15"/>
        <v/>
      </c>
      <c r="I228" s="28" t="str">
        <f t="shared" si="16"/>
        <v/>
      </c>
    </row>
    <row r="229" spans="1:9" x14ac:dyDescent="0.35">
      <c r="A229" s="5" t="s">
        <v>32</v>
      </c>
      <c r="B229" s="8">
        <v>46905</v>
      </c>
      <c r="C229" s="34">
        <f>SUMIFS(Month_End!$D:$D,Month_End!$A:$A,B229,Month_End!$B:$B,A229)</f>
        <v>0</v>
      </c>
      <c r="D229" s="10">
        <f>SUMIFS(Transactions_PAC!$H:$H,Transactions_PAC!$B:$B,B229,Transactions_PAC!$C:$C,A229)</f>
        <v>180</v>
      </c>
      <c r="E229" s="10">
        <f>SUMIFS(Transactions_Manual!$E:$E,Transactions_Manual!$B:$B,B229,Transactions_Manual!$C:$C,A229)</f>
        <v>0</v>
      </c>
      <c r="F229" s="10">
        <f t="shared" si="14"/>
        <v>180</v>
      </c>
      <c r="G229" s="10">
        <f t="shared" si="17"/>
        <v>0</v>
      </c>
      <c r="H229" s="10" t="str">
        <f t="shared" si="15"/>
        <v/>
      </c>
      <c r="I229" s="28" t="str">
        <f t="shared" si="16"/>
        <v/>
      </c>
    </row>
    <row r="230" spans="1:9" x14ac:dyDescent="0.35">
      <c r="A230" s="5" t="s">
        <v>32</v>
      </c>
      <c r="B230" s="8">
        <v>46935</v>
      </c>
      <c r="C230" s="34">
        <f>SUMIFS(Month_End!$D:$D,Month_End!$A:$A,B230,Month_End!$B:$B,A230)</f>
        <v>0</v>
      </c>
      <c r="D230" s="10">
        <f>SUMIFS(Transactions_PAC!$H:$H,Transactions_PAC!$B:$B,B230,Transactions_PAC!$C:$C,A230)</f>
        <v>180</v>
      </c>
      <c r="E230" s="10">
        <f>SUMIFS(Transactions_Manual!$E:$E,Transactions_Manual!$B:$B,B230,Transactions_Manual!$C:$C,A230)</f>
        <v>0</v>
      </c>
      <c r="F230" s="10">
        <f t="shared" si="14"/>
        <v>180</v>
      </c>
      <c r="G230" s="10">
        <f t="shared" si="17"/>
        <v>0</v>
      </c>
      <c r="H230" s="10" t="str">
        <f t="shared" si="15"/>
        <v/>
      </c>
      <c r="I230" s="28" t="str">
        <f t="shared" si="16"/>
        <v/>
      </c>
    </row>
    <row r="231" spans="1:9" x14ac:dyDescent="0.35">
      <c r="A231" s="5" t="s">
        <v>32</v>
      </c>
      <c r="B231" s="8">
        <v>46966</v>
      </c>
      <c r="C231" s="34">
        <f>SUMIFS(Month_End!$D:$D,Month_End!$A:$A,B231,Month_End!$B:$B,A231)</f>
        <v>0</v>
      </c>
      <c r="D231" s="10">
        <f>SUMIFS(Transactions_PAC!$H:$H,Transactions_PAC!$B:$B,B231,Transactions_PAC!$C:$C,A231)</f>
        <v>180</v>
      </c>
      <c r="E231" s="10">
        <f>SUMIFS(Transactions_Manual!$E:$E,Transactions_Manual!$B:$B,B231,Transactions_Manual!$C:$C,A231)</f>
        <v>0</v>
      </c>
      <c r="F231" s="10">
        <f t="shared" si="14"/>
        <v>180</v>
      </c>
      <c r="G231" s="10">
        <f t="shared" si="17"/>
        <v>0</v>
      </c>
      <c r="H231" s="10" t="str">
        <f t="shared" si="15"/>
        <v/>
      </c>
      <c r="I231" s="28" t="str">
        <f t="shared" si="16"/>
        <v/>
      </c>
    </row>
    <row r="232" spans="1:9" x14ac:dyDescent="0.35">
      <c r="A232" s="5" t="s">
        <v>32</v>
      </c>
      <c r="B232" s="8">
        <v>46997</v>
      </c>
      <c r="C232" s="34">
        <f>SUMIFS(Month_End!$D:$D,Month_End!$A:$A,B232,Month_End!$B:$B,A232)</f>
        <v>0</v>
      </c>
      <c r="D232" s="10">
        <f>SUMIFS(Transactions_PAC!$H:$H,Transactions_PAC!$B:$B,B232,Transactions_PAC!$C:$C,A232)</f>
        <v>180</v>
      </c>
      <c r="E232" s="10">
        <f>SUMIFS(Transactions_Manual!$E:$E,Transactions_Manual!$B:$B,B232,Transactions_Manual!$C:$C,A232)</f>
        <v>0</v>
      </c>
      <c r="F232" s="10">
        <f t="shared" si="14"/>
        <v>180</v>
      </c>
      <c r="G232" s="10">
        <f t="shared" si="17"/>
        <v>0</v>
      </c>
      <c r="H232" s="10" t="str">
        <f t="shared" si="15"/>
        <v/>
      </c>
      <c r="I232" s="28" t="str">
        <f t="shared" si="16"/>
        <v/>
      </c>
    </row>
    <row r="233" spans="1:9" x14ac:dyDescent="0.35">
      <c r="A233" s="5" t="s">
        <v>32</v>
      </c>
      <c r="B233" s="8">
        <v>47027</v>
      </c>
      <c r="C233" s="34">
        <f>SUMIFS(Month_End!$D:$D,Month_End!$A:$A,B233,Month_End!$B:$B,A233)</f>
        <v>0</v>
      </c>
      <c r="D233" s="10">
        <f>SUMIFS(Transactions_PAC!$H:$H,Transactions_PAC!$B:$B,B233,Transactions_PAC!$C:$C,A233)</f>
        <v>180</v>
      </c>
      <c r="E233" s="10">
        <f>SUMIFS(Transactions_Manual!$E:$E,Transactions_Manual!$B:$B,B233,Transactions_Manual!$C:$C,A233)</f>
        <v>0</v>
      </c>
      <c r="F233" s="10">
        <f t="shared" si="14"/>
        <v>180</v>
      </c>
      <c r="G233" s="10">
        <f t="shared" si="17"/>
        <v>0</v>
      </c>
      <c r="H233" s="10" t="str">
        <f t="shared" si="15"/>
        <v/>
      </c>
      <c r="I233" s="28" t="str">
        <f t="shared" si="16"/>
        <v/>
      </c>
    </row>
    <row r="234" spans="1:9" x14ac:dyDescent="0.35">
      <c r="A234" s="5" t="s">
        <v>32</v>
      </c>
      <c r="B234" s="8">
        <v>47058</v>
      </c>
      <c r="C234" s="34">
        <f>SUMIFS(Month_End!$D:$D,Month_End!$A:$A,B234,Month_End!$B:$B,A234)</f>
        <v>0</v>
      </c>
      <c r="D234" s="10">
        <f>SUMIFS(Transactions_PAC!$H:$H,Transactions_PAC!$B:$B,B234,Transactions_PAC!$C:$C,A234)</f>
        <v>180</v>
      </c>
      <c r="E234" s="10">
        <f>SUMIFS(Transactions_Manual!$E:$E,Transactions_Manual!$B:$B,B234,Transactions_Manual!$C:$C,A234)</f>
        <v>0</v>
      </c>
      <c r="F234" s="10">
        <f t="shared" si="14"/>
        <v>180</v>
      </c>
      <c r="G234" s="10">
        <f t="shared" si="17"/>
        <v>0</v>
      </c>
      <c r="H234" s="10" t="str">
        <f t="shared" si="15"/>
        <v/>
      </c>
      <c r="I234" s="28" t="str">
        <f t="shared" si="16"/>
        <v/>
      </c>
    </row>
    <row r="235" spans="1:9" x14ac:dyDescent="0.35">
      <c r="A235" s="5" t="s">
        <v>32</v>
      </c>
      <c r="B235" s="8">
        <v>47088</v>
      </c>
      <c r="C235" s="34">
        <f>SUMIFS(Month_End!$D:$D,Month_End!$A:$A,B235,Month_End!$B:$B,A235)</f>
        <v>0</v>
      </c>
      <c r="D235" s="10">
        <f>SUMIFS(Transactions_PAC!$H:$H,Transactions_PAC!$B:$B,B235,Transactions_PAC!$C:$C,A235)</f>
        <v>180</v>
      </c>
      <c r="E235" s="10">
        <f>SUMIFS(Transactions_Manual!$E:$E,Transactions_Manual!$B:$B,B235,Transactions_Manual!$C:$C,A235)</f>
        <v>0</v>
      </c>
      <c r="F235" s="10">
        <f t="shared" si="14"/>
        <v>180</v>
      </c>
      <c r="G235" s="10">
        <f t="shared" si="17"/>
        <v>0</v>
      </c>
      <c r="H235" s="10" t="str">
        <f t="shared" si="15"/>
        <v/>
      </c>
      <c r="I235" s="28" t="str">
        <f t="shared" si="16"/>
        <v/>
      </c>
    </row>
    <row r="236" spans="1:9" x14ac:dyDescent="0.35">
      <c r="A236" s="5" t="s">
        <v>33</v>
      </c>
      <c r="B236" s="8">
        <v>45931</v>
      </c>
      <c r="C236" s="34">
        <f>SUMIFS(Month_End!$D:$D,Month_End!$A:$A,B236,Month_End!$B:$B,A236)</f>
        <v>1233</v>
      </c>
      <c r="D236" s="10">
        <f>SUMIFS(Transactions_PAC!$H:$H,Transactions_PAC!$B:$B,B236,Transactions_PAC!$C:$C,A236)</f>
        <v>0</v>
      </c>
      <c r="E236" s="10">
        <f>SUMIFS(Transactions_Manual!$E:$E,Transactions_Manual!$B:$B,B236,Transactions_Manual!$C:$C,A236)</f>
        <v>44</v>
      </c>
      <c r="F236" s="10">
        <f t="shared" si="14"/>
        <v>44</v>
      </c>
      <c r="G236" s="10"/>
      <c r="H236" s="10" t="str">
        <f t="shared" si="15"/>
        <v/>
      </c>
      <c r="I236" s="28" t="str">
        <f t="shared" si="16"/>
        <v/>
      </c>
    </row>
    <row r="237" spans="1:9" x14ac:dyDescent="0.35">
      <c r="A237" s="5" t="s">
        <v>33</v>
      </c>
      <c r="B237" s="8">
        <v>45962</v>
      </c>
      <c r="C237" s="34">
        <f>SUMIFS(Month_End!$D:$D,Month_End!$A:$A,B237,Month_End!$B:$B,A237)</f>
        <v>1225</v>
      </c>
      <c r="D237" s="10">
        <f>SUMIFS(Transactions_PAC!$H:$H,Transactions_PAC!$B:$B,B237,Transactions_PAC!$C:$C,A237)</f>
        <v>0</v>
      </c>
      <c r="E237" s="10">
        <f>SUMIFS(Transactions_Manual!$E:$E,Transactions_Manual!$B:$B,B237,Transactions_Manual!$C:$C,A237)</f>
        <v>44</v>
      </c>
      <c r="F237" s="10">
        <f t="shared" si="14"/>
        <v>44</v>
      </c>
      <c r="G237" s="10">
        <f t="shared" ref="G237:G274" si="18">C236</f>
        <v>1233</v>
      </c>
      <c r="H237" s="10">
        <f t="shared" si="15"/>
        <v>-52</v>
      </c>
      <c r="I237" s="28">
        <f t="shared" si="16"/>
        <v>-4.1434262948207172E-2</v>
      </c>
    </row>
    <row r="238" spans="1:9" x14ac:dyDescent="0.35">
      <c r="A238" s="5" t="s">
        <v>33</v>
      </c>
      <c r="B238" s="8">
        <v>45992</v>
      </c>
      <c r="C238" s="34">
        <f>SUMIFS(Month_End!$D:$D,Month_End!$A:$A,B238,Month_End!$B:$B,A238)</f>
        <v>1306</v>
      </c>
      <c r="D238" s="10">
        <f>SUMIFS(Transactions_PAC!$H:$H,Transactions_PAC!$B:$B,B238,Transactions_PAC!$C:$C,A238)</f>
        <v>0</v>
      </c>
      <c r="E238" s="10">
        <f>SUMIFS(Transactions_Manual!$E:$E,Transactions_Manual!$B:$B,B238,Transactions_Manual!$C:$C,A238)</f>
        <v>44</v>
      </c>
      <c r="F238" s="10">
        <f t="shared" si="14"/>
        <v>44</v>
      </c>
      <c r="G238" s="10">
        <f t="shared" si="18"/>
        <v>1225</v>
      </c>
      <c r="H238" s="10">
        <f t="shared" si="15"/>
        <v>37</v>
      </c>
      <c r="I238" s="28">
        <f t="shared" si="16"/>
        <v>2.9671210906174819E-2</v>
      </c>
    </row>
    <row r="239" spans="1:9" x14ac:dyDescent="0.35">
      <c r="A239" s="5" t="s">
        <v>33</v>
      </c>
      <c r="B239" s="8">
        <v>46023</v>
      </c>
      <c r="C239" s="34">
        <f>SUMIFS(Month_End!$D:$D,Month_End!$A:$A,B239,Month_End!$B:$B,A239)</f>
        <v>1419</v>
      </c>
      <c r="D239" s="10">
        <f>SUMIFS(Transactions_PAC!$H:$H,Transactions_PAC!$B:$B,B239,Transactions_PAC!$C:$C,A239)</f>
        <v>0</v>
      </c>
      <c r="E239" s="10">
        <f>SUMIFS(Transactions_Manual!$E:$E,Transactions_Manual!$B:$B,B239,Transactions_Manual!$C:$C,A239)</f>
        <v>44</v>
      </c>
      <c r="F239" s="10">
        <f t="shared" si="14"/>
        <v>44</v>
      </c>
      <c r="G239" s="10">
        <f t="shared" si="18"/>
        <v>1306</v>
      </c>
      <c r="H239" s="10">
        <f t="shared" si="15"/>
        <v>69</v>
      </c>
      <c r="I239" s="28">
        <f t="shared" si="16"/>
        <v>5.1957831325301206E-2</v>
      </c>
    </row>
    <row r="240" spans="1:9" x14ac:dyDescent="0.35">
      <c r="A240" s="5" t="s">
        <v>33</v>
      </c>
      <c r="B240" s="8">
        <v>46054</v>
      </c>
      <c r="C240" s="34">
        <f>SUMIFS(Month_End!$D:$D,Month_End!$A:$A,B240,Month_End!$B:$B,A240)</f>
        <v>1544</v>
      </c>
      <c r="D240" s="10">
        <f>SUMIFS(Transactions_PAC!$H:$H,Transactions_PAC!$B:$B,B240,Transactions_PAC!$C:$C,A240)</f>
        <v>0</v>
      </c>
      <c r="E240" s="10">
        <f>SUMIFS(Transactions_Manual!$E:$E,Transactions_Manual!$B:$B,B240,Transactions_Manual!$C:$C,A240)</f>
        <v>44</v>
      </c>
      <c r="F240" s="10">
        <f t="shared" si="14"/>
        <v>44</v>
      </c>
      <c r="G240" s="10">
        <f t="shared" si="18"/>
        <v>1419</v>
      </c>
      <c r="H240" s="10">
        <f t="shared" si="15"/>
        <v>81</v>
      </c>
      <c r="I240" s="28">
        <f t="shared" si="16"/>
        <v>5.6210964607911175E-2</v>
      </c>
    </row>
    <row r="241" spans="1:9" x14ac:dyDescent="0.35">
      <c r="A241" s="5" t="s">
        <v>33</v>
      </c>
      <c r="B241" s="8">
        <v>46082</v>
      </c>
      <c r="C241" s="34">
        <f>SUMIFS(Month_End!$D:$D,Month_End!$A:$A,B241,Month_End!$B:$B,A241)</f>
        <v>2033</v>
      </c>
      <c r="D241" s="10">
        <f>SUMIFS(Transactions_PAC!$H:$H,Transactions_PAC!$B:$B,B241,Transactions_PAC!$C:$C,A241)</f>
        <v>0</v>
      </c>
      <c r="E241" s="10">
        <f>SUMIFS(Transactions_Manual!$E:$E,Transactions_Manual!$B:$B,B241,Transactions_Manual!$C:$C,A241)</f>
        <v>645.99</v>
      </c>
      <c r="F241" s="10">
        <f t="shared" si="14"/>
        <v>645.99</v>
      </c>
      <c r="G241" s="10">
        <f t="shared" si="18"/>
        <v>1544</v>
      </c>
      <c r="H241" s="10">
        <f t="shared" si="15"/>
        <v>-156.99</v>
      </c>
      <c r="I241" s="28">
        <f t="shared" si="16"/>
        <v>-8.4086995412414073E-2</v>
      </c>
    </row>
    <row r="242" spans="1:9" x14ac:dyDescent="0.35">
      <c r="A242" s="5" t="s">
        <v>33</v>
      </c>
      <c r="B242" s="8">
        <v>46113</v>
      </c>
      <c r="C242" s="34">
        <f>SUMIFS(Month_End!$D:$D,Month_End!$A:$A,B242,Month_End!$B:$B,A242)</f>
        <v>0</v>
      </c>
      <c r="D242" s="10">
        <f>SUMIFS(Transactions_PAC!$H:$H,Transactions_PAC!$B:$B,B242,Transactions_PAC!$C:$C,A242)</f>
        <v>164</v>
      </c>
      <c r="E242" s="10">
        <f>SUMIFS(Transactions_Manual!$E:$E,Transactions_Manual!$B:$B,B242,Transactions_Manual!$C:$C,A242)</f>
        <v>0</v>
      </c>
      <c r="F242" s="10">
        <f t="shared" si="14"/>
        <v>164</v>
      </c>
      <c r="G242" s="10">
        <f t="shared" si="18"/>
        <v>2033</v>
      </c>
      <c r="H242" s="10" t="str">
        <f t="shared" si="15"/>
        <v/>
      </c>
      <c r="I242" s="28" t="str">
        <f t="shared" si="16"/>
        <v/>
      </c>
    </row>
    <row r="243" spans="1:9" x14ac:dyDescent="0.35">
      <c r="A243" s="5" t="s">
        <v>33</v>
      </c>
      <c r="B243" s="8">
        <v>46143</v>
      </c>
      <c r="C243" s="34">
        <f>SUMIFS(Month_End!$D:$D,Month_End!$A:$A,B243,Month_End!$B:$B,A243)</f>
        <v>0</v>
      </c>
      <c r="D243" s="10">
        <f>SUMIFS(Transactions_PAC!$H:$H,Transactions_PAC!$B:$B,B243,Transactions_PAC!$C:$C,A243)</f>
        <v>164</v>
      </c>
      <c r="E243" s="10">
        <f>SUMIFS(Transactions_Manual!$E:$E,Transactions_Manual!$B:$B,B243,Transactions_Manual!$C:$C,A243)</f>
        <v>0</v>
      </c>
      <c r="F243" s="10">
        <f t="shared" si="14"/>
        <v>164</v>
      </c>
      <c r="G243" s="10">
        <f t="shared" si="18"/>
        <v>0</v>
      </c>
      <c r="H243" s="10" t="str">
        <f t="shared" si="15"/>
        <v/>
      </c>
      <c r="I243" s="28" t="str">
        <f t="shared" si="16"/>
        <v/>
      </c>
    </row>
    <row r="244" spans="1:9" x14ac:dyDescent="0.35">
      <c r="A244" s="5" t="s">
        <v>33</v>
      </c>
      <c r="B244" s="8">
        <v>46174</v>
      </c>
      <c r="C244" s="34">
        <f>SUMIFS(Month_End!$D:$D,Month_End!$A:$A,B244,Month_End!$B:$B,A244)</f>
        <v>0</v>
      </c>
      <c r="D244" s="10">
        <f>SUMIFS(Transactions_PAC!$H:$H,Transactions_PAC!$B:$B,B244,Transactions_PAC!$C:$C,A244)</f>
        <v>164</v>
      </c>
      <c r="E244" s="10">
        <f>SUMIFS(Transactions_Manual!$E:$E,Transactions_Manual!$B:$B,B244,Transactions_Manual!$C:$C,A244)</f>
        <v>0</v>
      </c>
      <c r="F244" s="10">
        <f t="shared" si="14"/>
        <v>164</v>
      </c>
      <c r="G244" s="10">
        <f t="shared" si="18"/>
        <v>0</v>
      </c>
      <c r="H244" s="10" t="str">
        <f t="shared" si="15"/>
        <v/>
      </c>
      <c r="I244" s="28" t="str">
        <f t="shared" si="16"/>
        <v/>
      </c>
    </row>
    <row r="245" spans="1:9" x14ac:dyDescent="0.35">
      <c r="A245" s="5" t="s">
        <v>33</v>
      </c>
      <c r="B245" s="8">
        <v>46204</v>
      </c>
      <c r="C245" s="34">
        <f>SUMIFS(Month_End!$D:$D,Month_End!$A:$A,B245,Month_End!$B:$B,A245)</f>
        <v>0</v>
      </c>
      <c r="D245" s="10">
        <f>SUMIFS(Transactions_PAC!$H:$H,Transactions_PAC!$B:$B,B245,Transactions_PAC!$C:$C,A245)</f>
        <v>164</v>
      </c>
      <c r="E245" s="10">
        <f>SUMIFS(Transactions_Manual!$E:$E,Transactions_Manual!$B:$B,B245,Transactions_Manual!$C:$C,A245)</f>
        <v>0</v>
      </c>
      <c r="F245" s="10">
        <f t="shared" si="14"/>
        <v>164</v>
      </c>
      <c r="G245" s="10">
        <f t="shared" si="18"/>
        <v>0</v>
      </c>
      <c r="H245" s="10" t="str">
        <f t="shared" si="15"/>
        <v/>
      </c>
      <c r="I245" s="28" t="str">
        <f t="shared" si="16"/>
        <v/>
      </c>
    </row>
    <row r="246" spans="1:9" x14ac:dyDescent="0.35">
      <c r="A246" s="5" t="s">
        <v>33</v>
      </c>
      <c r="B246" s="8">
        <v>46235</v>
      </c>
      <c r="C246" s="34">
        <f>SUMIFS(Month_End!$D:$D,Month_End!$A:$A,B246,Month_End!$B:$B,A246)</f>
        <v>0</v>
      </c>
      <c r="D246" s="10">
        <f>SUMIFS(Transactions_PAC!$H:$H,Transactions_PAC!$B:$B,B246,Transactions_PAC!$C:$C,A246)</f>
        <v>164</v>
      </c>
      <c r="E246" s="10">
        <f>SUMIFS(Transactions_Manual!$E:$E,Transactions_Manual!$B:$B,B246,Transactions_Manual!$C:$C,A246)</f>
        <v>0</v>
      </c>
      <c r="F246" s="10">
        <f t="shared" si="14"/>
        <v>164</v>
      </c>
      <c r="G246" s="10">
        <f t="shared" si="18"/>
        <v>0</v>
      </c>
      <c r="H246" s="10" t="str">
        <f t="shared" si="15"/>
        <v/>
      </c>
      <c r="I246" s="28" t="str">
        <f t="shared" si="16"/>
        <v/>
      </c>
    </row>
    <row r="247" spans="1:9" x14ac:dyDescent="0.35">
      <c r="A247" s="5" t="s">
        <v>33</v>
      </c>
      <c r="B247" s="8">
        <v>46266</v>
      </c>
      <c r="C247" s="34">
        <f>SUMIFS(Month_End!$D:$D,Month_End!$A:$A,B247,Month_End!$B:$B,A247)</f>
        <v>0</v>
      </c>
      <c r="D247" s="10">
        <f>SUMIFS(Transactions_PAC!$H:$H,Transactions_PAC!$B:$B,B247,Transactions_PAC!$C:$C,A247)</f>
        <v>164</v>
      </c>
      <c r="E247" s="10">
        <f>SUMIFS(Transactions_Manual!$E:$E,Transactions_Manual!$B:$B,B247,Transactions_Manual!$C:$C,A247)</f>
        <v>0</v>
      </c>
      <c r="F247" s="10">
        <f t="shared" si="14"/>
        <v>164</v>
      </c>
      <c r="G247" s="10">
        <f t="shared" si="18"/>
        <v>0</v>
      </c>
      <c r="H247" s="10" t="str">
        <f t="shared" si="15"/>
        <v/>
      </c>
      <c r="I247" s="28" t="str">
        <f t="shared" si="16"/>
        <v/>
      </c>
    </row>
    <row r="248" spans="1:9" x14ac:dyDescent="0.35">
      <c r="A248" s="5" t="s">
        <v>33</v>
      </c>
      <c r="B248" s="8">
        <v>46296</v>
      </c>
      <c r="C248" s="34">
        <f>SUMIFS(Month_End!$D:$D,Month_End!$A:$A,B248,Month_End!$B:$B,A248)</f>
        <v>0</v>
      </c>
      <c r="D248" s="10">
        <f>SUMIFS(Transactions_PAC!$H:$H,Transactions_PAC!$B:$B,B248,Transactions_PAC!$C:$C,A248)</f>
        <v>164</v>
      </c>
      <c r="E248" s="10">
        <f>SUMIFS(Transactions_Manual!$E:$E,Transactions_Manual!$B:$B,B248,Transactions_Manual!$C:$C,A248)</f>
        <v>0</v>
      </c>
      <c r="F248" s="10">
        <f t="shared" si="14"/>
        <v>164</v>
      </c>
      <c r="G248" s="10">
        <f t="shared" si="18"/>
        <v>0</v>
      </c>
      <c r="H248" s="10" t="str">
        <f t="shared" si="15"/>
        <v/>
      </c>
      <c r="I248" s="28" t="str">
        <f t="shared" si="16"/>
        <v/>
      </c>
    </row>
    <row r="249" spans="1:9" x14ac:dyDescent="0.35">
      <c r="A249" s="5" t="s">
        <v>33</v>
      </c>
      <c r="B249" s="8">
        <v>46327</v>
      </c>
      <c r="C249" s="34">
        <f>SUMIFS(Month_End!$D:$D,Month_End!$A:$A,B249,Month_End!$B:$B,A249)</f>
        <v>0</v>
      </c>
      <c r="D249" s="10">
        <f>SUMIFS(Transactions_PAC!$H:$H,Transactions_PAC!$B:$B,B249,Transactions_PAC!$C:$C,A249)</f>
        <v>164</v>
      </c>
      <c r="E249" s="10">
        <f>SUMIFS(Transactions_Manual!$E:$E,Transactions_Manual!$B:$B,B249,Transactions_Manual!$C:$C,A249)</f>
        <v>0</v>
      </c>
      <c r="F249" s="10">
        <f t="shared" si="14"/>
        <v>164</v>
      </c>
      <c r="G249" s="10">
        <f t="shared" si="18"/>
        <v>0</v>
      </c>
      <c r="H249" s="10" t="str">
        <f t="shared" si="15"/>
        <v/>
      </c>
      <c r="I249" s="28" t="str">
        <f t="shared" si="16"/>
        <v/>
      </c>
    </row>
    <row r="250" spans="1:9" x14ac:dyDescent="0.35">
      <c r="A250" s="5" t="s">
        <v>33</v>
      </c>
      <c r="B250" s="8">
        <v>46357</v>
      </c>
      <c r="C250" s="34">
        <f>SUMIFS(Month_End!$D:$D,Month_End!$A:$A,B250,Month_End!$B:$B,A250)</f>
        <v>0</v>
      </c>
      <c r="D250" s="10">
        <f>SUMIFS(Transactions_PAC!$H:$H,Transactions_PAC!$B:$B,B250,Transactions_PAC!$C:$C,A250)</f>
        <v>164</v>
      </c>
      <c r="E250" s="10">
        <f>SUMIFS(Transactions_Manual!$E:$E,Transactions_Manual!$B:$B,B250,Transactions_Manual!$C:$C,A250)</f>
        <v>0</v>
      </c>
      <c r="F250" s="10">
        <f t="shared" si="14"/>
        <v>164</v>
      </c>
      <c r="G250" s="10">
        <f t="shared" si="18"/>
        <v>0</v>
      </c>
      <c r="H250" s="10" t="str">
        <f t="shared" si="15"/>
        <v/>
      </c>
      <c r="I250" s="28" t="str">
        <f t="shared" si="16"/>
        <v/>
      </c>
    </row>
    <row r="251" spans="1:9" x14ac:dyDescent="0.35">
      <c r="A251" s="5" t="s">
        <v>33</v>
      </c>
      <c r="B251" s="8">
        <v>46388</v>
      </c>
      <c r="C251" s="34">
        <f>SUMIFS(Month_End!$D:$D,Month_End!$A:$A,B251,Month_End!$B:$B,A251)</f>
        <v>0</v>
      </c>
      <c r="D251" s="10">
        <f>SUMIFS(Transactions_PAC!$H:$H,Transactions_PAC!$B:$B,B251,Transactions_PAC!$C:$C,A251)</f>
        <v>164</v>
      </c>
      <c r="E251" s="10">
        <f>SUMIFS(Transactions_Manual!$E:$E,Transactions_Manual!$B:$B,B251,Transactions_Manual!$C:$C,A251)</f>
        <v>0</v>
      </c>
      <c r="F251" s="10">
        <f t="shared" si="14"/>
        <v>164</v>
      </c>
      <c r="G251" s="10">
        <f t="shared" si="18"/>
        <v>0</v>
      </c>
      <c r="H251" s="10" t="str">
        <f t="shared" si="15"/>
        <v/>
      </c>
      <c r="I251" s="28" t="str">
        <f t="shared" si="16"/>
        <v/>
      </c>
    </row>
    <row r="252" spans="1:9" x14ac:dyDescent="0.35">
      <c r="A252" s="5" t="s">
        <v>33</v>
      </c>
      <c r="B252" s="8">
        <v>46419</v>
      </c>
      <c r="C252" s="34">
        <f>SUMIFS(Month_End!$D:$D,Month_End!$A:$A,B252,Month_End!$B:$B,A252)</f>
        <v>0</v>
      </c>
      <c r="D252" s="10">
        <f>SUMIFS(Transactions_PAC!$H:$H,Transactions_PAC!$B:$B,B252,Transactions_PAC!$C:$C,A252)</f>
        <v>164</v>
      </c>
      <c r="E252" s="10">
        <f>SUMIFS(Transactions_Manual!$E:$E,Transactions_Manual!$B:$B,B252,Transactions_Manual!$C:$C,A252)</f>
        <v>0</v>
      </c>
      <c r="F252" s="10">
        <f t="shared" si="14"/>
        <v>164</v>
      </c>
      <c r="G252" s="10">
        <f t="shared" si="18"/>
        <v>0</v>
      </c>
      <c r="H252" s="10" t="str">
        <f t="shared" si="15"/>
        <v/>
      </c>
      <c r="I252" s="28" t="str">
        <f t="shared" si="16"/>
        <v/>
      </c>
    </row>
    <row r="253" spans="1:9" x14ac:dyDescent="0.35">
      <c r="A253" s="5" t="s">
        <v>33</v>
      </c>
      <c r="B253" s="8">
        <v>46447</v>
      </c>
      <c r="C253" s="34">
        <f>SUMIFS(Month_End!$D:$D,Month_End!$A:$A,B253,Month_End!$B:$B,A253)</f>
        <v>0</v>
      </c>
      <c r="D253" s="10">
        <f>SUMIFS(Transactions_PAC!$H:$H,Transactions_PAC!$B:$B,B253,Transactions_PAC!$C:$C,A253)</f>
        <v>164</v>
      </c>
      <c r="E253" s="10">
        <f>SUMIFS(Transactions_Manual!$E:$E,Transactions_Manual!$B:$B,B253,Transactions_Manual!$C:$C,A253)</f>
        <v>0</v>
      </c>
      <c r="F253" s="10">
        <f t="shared" si="14"/>
        <v>164</v>
      </c>
      <c r="G253" s="10">
        <f t="shared" si="18"/>
        <v>0</v>
      </c>
      <c r="H253" s="10" t="str">
        <f t="shared" si="15"/>
        <v/>
      </c>
      <c r="I253" s="28" t="str">
        <f t="shared" si="16"/>
        <v/>
      </c>
    </row>
    <row r="254" spans="1:9" x14ac:dyDescent="0.35">
      <c r="A254" s="5" t="s">
        <v>33</v>
      </c>
      <c r="B254" s="8">
        <v>46478</v>
      </c>
      <c r="C254" s="34">
        <f>SUMIFS(Month_End!$D:$D,Month_End!$A:$A,B254,Month_End!$B:$B,A254)</f>
        <v>0</v>
      </c>
      <c r="D254" s="10">
        <f>SUMIFS(Transactions_PAC!$H:$H,Transactions_PAC!$B:$B,B254,Transactions_PAC!$C:$C,A254)</f>
        <v>164</v>
      </c>
      <c r="E254" s="10">
        <f>SUMIFS(Transactions_Manual!$E:$E,Transactions_Manual!$B:$B,B254,Transactions_Manual!$C:$C,A254)</f>
        <v>0</v>
      </c>
      <c r="F254" s="10">
        <f t="shared" si="14"/>
        <v>164</v>
      </c>
      <c r="G254" s="10">
        <f t="shared" si="18"/>
        <v>0</v>
      </c>
      <c r="H254" s="10" t="str">
        <f t="shared" si="15"/>
        <v/>
      </c>
      <c r="I254" s="28" t="str">
        <f t="shared" si="16"/>
        <v/>
      </c>
    </row>
    <row r="255" spans="1:9" x14ac:dyDescent="0.35">
      <c r="A255" s="5" t="s">
        <v>33</v>
      </c>
      <c r="B255" s="8">
        <v>46508</v>
      </c>
      <c r="C255" s="34">
        <f>SUMIFS(Month_End!$D:$D,Month_End!$A:$A,B255,Month_End!$B:$B,A255)</f>
        <v>0</v>
      </c>
      <c r="D255" s="10">
        <f>SUMIFS(Transactions_PAC!$H:$H,Transactions_PAC!$B:$B,B255,Transactions_PAC!$C:$C,A255)</f>
        <v>164</v>
      </c>
      <c r="E255" s="10">
        <f>SUMIFS(Transactions_Manual!$E:$E,Transactions_Manual!$B:$B,B255,Transactions_Manual!$C:$C,A255)</f>
        <v>0</v>
      </c>
      <c r="F255" s="10">
        <f t="shared" si="14"/>
        <v>164</v>
      </c>
      <c r="G255" s="10">
        <f t="shared" si="18"/>
        <v>0</v>
      </c>
      <c r="H255" s="10" t="str">
        <f t="shared" si="15"/>
        <v/>
      </c>
      <c r="I255" s="28" t="str">
        <f t="shared" si="16"/>
        <v/>
      </c>
    </row>
    <row r="256" spans="1:9" x14ac:dyDescent="0.35">
      <c r="A256" s="5" t="s">
        <v>33</v>
      </c>
      <c r="B256" s="8">
        <v>46539</v>
      </c>
      <c r="C256" s="34">
        <f>SUMIFS(Month_End!$D:$D,Month_End!$A:$A,B256,Month_End!$B:$B,A256)</f>
        <v>0</v>
      </c>
      <c r="D256" s="10">
        <f>SUMIFS(Transactions_PAC!$H:$H,Transactions_PAC!$B:$B,B256,Transactions_PAC!$C:$C,A256)</f>
        <v>164</v>
      </c>
      <c r="E256" s="10">
        <f>SUMIFS(Transactions_Manual!$E:$E,Transactions_Manual!$B:$B,B256,Transactions_Manual!$C:$C,A256)</f>
        <v>0</v>
      </c>
      <c r="F256" s="10">
        <f t="shared" si="14"/>
        <v>164</v>
      </c>
      <c r="G256" s="10">
        <f t="shared" si="18"/>
        <v>0</v>
      </c>
      <c r="H256" s="10" t="str">
        <f t="shared" si="15"/>
        <v/>
      </c>
      <c r="I256" s="28" t="str">
        <f t="shared" si="16"/>
        <v/>
      </c>
    </row>
    <row r="257" spans="1:9" x14ac:dyDescent="0.35">
      <c r="A257" s="5" t="s">
        <v>33</v>
      </c>
      <c r="B257" s="8">
        <v>46569</v>
      </c>
      <c r="C257" s="34">
        <f>SUMIFS(Month_End!$D:$D,Month_End!$A:$A,B257,Month_End!$B:$B,A257)</f>
        <v>0</v>
      </c>
      <c r="D257" s="10">
        <f>SUMIFS(Transactions_PAC!$H:$H,Transactions_PAC!$B:$B,B257,Transactions_PAC!$C:$C,A257)</f>
        <v>164</v>
      </c>
      <c r="E257" s="10">
        <f>SUMIFS(Transactions_Manual!$E:$E,Transactions_Manual!$B:$B,B257,Transactions_Manual!$C:$C,A257)</f>
        <v>0</v>
      </c>
      <c r="F257" s="10">
        <f t="shared" si="14"/>
        <v>164</v>
      </c>
      <c r="G257" s="10">
        <f t="shared" si="18"/>
        <v>0</v>
      </c>
      <c r="H257" s="10" t="str">
        <f t="shared" si="15"/>
        <v/>
      </c>
      <c r="I257" s="28" t="str">
        <f t="shared" si="16"/>
        <v/>
      </c>
    </row>
    <row r="258" spans="1:9" x14ac:dyDescent="0.35">
      <c r="A258" s="5" t="s">
        <v>33</v>
      </c>
      <c r="B258" s="8">
        <v>46600</v>
      </c>
      <c r="C258" s="34">
        <f>SUMIFS(Month_End!$D:$D,Month_End!$A:$A,B258,Month_End!$B:$B,A258)</f>
        <v>0</v>
      </c>
      <c r="D258" s="10">
        <f>SUMIFS(Transactions_PAC!$H:$H,Transactions_PAC!$B:$B,B258,Transactions_PAC!$C:$C,A258)</f>
        <v>164</v>
      </c>
      <c r="E258" s="10">
        <f>SUMIFS(Transactions_Manual!$E:$E,Transactions_Manual!$B:$B,B258,Transactions_Manual!$C:$C,A258)</f>
        <v>0</v>
      </c>
      <c r="F258" s="10">
        <f t="shared" ref="F258:F321" si="19">D258+E258</f>
        <v>164</v>
      </c>
      <c r="G258" s="10">
        <f t="shared" si="18"/>
        <v>0</v>
      </c>
      <c r="H258" s="10" t="str">
        <f t="shared" si="15"/>
        <v/>
      </c>
      <c r="I258" s="28" t="str">
        <f t="shared" si="16"/>
        <v/>
      </c>
    </row>
    <row r="259" spans="1:9" x14ac:dyDescent="0.35">
      <c r="A259" s="5" t="s">
        <v>33</v>
      </c>
      <c r="B259" s="8">
        <v>46631</v>
      </c>
      <c r="C259" s="34">
        <f>SUMIFS(Month_End!$D:$D,Month_End!$A:$A,B259,Month_End!$B:$B,A259)</f>
        <v>0</v>
      </c>
      <c r="D259" s="10">
        <f>SUMIFS(Transactions_PAC!$H:$H,Transactions_PAC!$B:$B,B259,Transactions_PAC!$C:$C,A259)</f>
        <v>164</v>
      </c>
      <c r="E259" s="10">
        <f>SUMIFS(Transactions_Manual!$E:$E,Transactions_Manual!$B:$B,B259,Transactions_Manual!$C:$C,A259)</f>
        <v>0</v>
      </c>
      <c r="F259" s="10">
        <f t="shared" si="19"/>
        <v>164</v>
      </c>
      <c r="G259" s="10">
        <f t="shared" si="18"/>
        <v>0</v>
      </c>
      <c r="H259" s="10" t="str">
        <f t="shared" ref="H259:H322" si="20">IF(OR(C259=0,G259=0),"",C259-G259-F259)</f>
        <v/>
      </c>
      <c r="I259" s="28" t="str">
        <f t="shared" ref="I259:I322" si="21">IF(OR(C259=0,G259=0,H259=0),"",H259/(G259+F259/2))</f>
        <v/>
      </c>
    </row>
    <row r="260" spans="1:9" x14ac:dyDescent="0.35">
      <c r="A260" s="5" t="s">
        <v>33</v>
      </c>
      <c r="B260" s="8">
        <v>46661</v>
      </c>
      <c r="C260" s="34">
        <f>SUMIFS(Month_End!$D:$D,Month_End!$A:$A,B260,Month_End!$B:$B,A260)</f>
        <v>0</v>
      </c>
      <c r="D260" s="10">
        <f>SUMIFS(Transactions_PAC!$H:$H,Transactions_PAC!$B:$B,B260,Transactions_PAC!$C:$C,A260)</f>
        <v>164</v>
      </c>
      <c r="E260" s="10">
        <f>SUMIFS(Transactions_Manual!$E:$E,Transactions_Manual!$B:$B,B260,Transactions_Manual!$C:$C,A260)</f>
        <v>0</v>
      </c>
      <c r="F260" s="10">
        <f t="shared" si="19"/>
        <v>164</v>
      </c>
      <c r="G260" s="10">
        <f t="shared" si="18"/>
        <v>0</v>
      </c>
      <c r="H260" s="10" t="str">
        <f t="shared" si="20"/>
        <v/>
      </c>
      <c r="I260" s="28" t="str">
        <f t="shared" si="21"/>
        <v/>
      </c>
    </row>
    <row r="261" spans="1:9" x14ac:dyDescent="0.35">
      <c r="A261" s="5" t="s">
        <v>33</v>
      </c>
      <c r="B261" s="8">
        <v>46692</v>
      </c>
      <c r="C261" s="34">
        <f>SUMIFS(Month_End!$D:$D,Month_End!$A:$A,B261,Month_End!$B:$B,A261)</f>
        <v>0</v>
      </c>
      <c r="D261" s="10">
        <f>SUMIFS(Transactions_PAC!$H:$H,Transactions_PAC!$B:$B,B261,Transactions_PAC!$C:$C,A261)</f>
        <v>164</v>
      </c>
      <c r="E261" s="10">
        <f>SUMIFS(Transactions_Manual!$E:$E,Transactions_Manual!$B:$B,B261,Transactions_Manual!$C:$C,A261)</f>
        <v>0</v>
      </c>
      <c r="F261" s="10">
        <f t="shared" si="19"/>
        <v>164</v>
      </c>
      <c r="G261" s="10">
        <f t="shared" si="18"/>
        <v>0</v>
      </c>
      <c r="H261" s="10" t="str">
        <f t="shared" si="20"/>
        <v/>
      </c>
      <c r="I261" s="28" t="str">
        <f t="shared" si="21"/>
        <v/>
      </c>
    </row>
    <row r="262" spans="1:9" x14ac:dyDescent="0.35">
      <c r="A262" s="5" t="s">
        <v>33</v>
      </c>
      <c r="B262" s="8">
        <v>46722</v>
      </c>
      <c r="C262" s="34">
        <f>SUMIFS(Month_End!$D:$D,Month_End!$A:$A,B262,Month_End!$B:$B,A262)</f>
        <v>0</v>
      </c>
      <c r="D262" s="10">
        <f>SUMIFS(Transactions_PAC!$H:$H,Transactions_PAC!$B:$B,B262,Transactions_PAC!$C:$C,A262)</f>
        <v>164</v>
      </c>
      <c r="E262" s="10">
        <f>SUMIFS(Transactions_Manual!$E:$E,Transactions_Manual!$B:$B,B262,Transactions_Manual!$C:$C,A262)</f>
        <v>0</v>
      </c>
      <c r="F262" s="10">
        <f t="shared" si="19"/>
        <v>164</v>
      </c>
      <c r="G262" s="10">
        <f t="shared" si="18"/>
        <v>0</v>
      </c>
      <c r="H262" s="10" t="str">
        <f t="shared" si="20"/>
        <v/>
      </c>
      <c r="I262" s="28" t="str">
        <f t="shared" si="21"/>
        <v/>
      </c>
    </row>
    <row r="263" spans="1:9" x14ac:dyDescent="0.35">
      <c r="A263" s="5" t="s">
        <v>33</v>
      </c>
      <c r="B263" s="8">
        <v>46753</v>
      </c>
      <c r="C263" s="34">
        <f>SUMIFS(Month_End!$D:$D,Month_End!$A:$A,B263,Month_End!$B:$B,A263)</f>
        <v>0</v>
      </c>
      <c r="D263" s="10">
        <f>SUMIFS(Transactions_PAC!$H:$H,Transactions_PAC!$B:$B,B263,Transactions_PAC!$C:$C,A263)</f>
        <v>164</v>
      </c>
      <c r="E263" s="10">
        <f>SUMIFS(Transactions_Manual!$E:$E,Transactions_Manual!$B:$B,B263,Transactions_Manual!$C:$C,A263)</f>
        <v>0</v>
      </c>
      <c r="F263" s="10">
        <f t="shared" si="19"/>
        <v>164</v>
      </c>
      <c r="G263" s="10">
        <f t="shared" si="18"/>
        <v>0</v>
      </c>
      <c r="H263" s="10" t="str">
        <f t="shared" si="20"/>
        <v/>
      </c>
      <c r="I263" s="28" t="str">
        <f t="shared" si="21"/>
        <v/>
      </c>
    </row>
    <row r="264" spans="1:9" x14ac:dyDescent="0.35">
      <c r="A264" s="5" t="s">
        <v>33</v>
      </c>
      <c r="B264" s="8">
        <v>46784</v>
      </c>
      <c r="C264" s="34">
        <f>SUMIFS(Month_End!$D:$D,Month_End!$A:$A,B264,Month_End!$B:$B,A264)</f>
        <v>0</v>
      </c>
      <c r="D264" s="10">
        <f>SUMIFS(Transactions_PAC!$H:$H,Transactions_PAC!$B:$B,B264,Transactions_PAC!$C:$C,A264)</f>
        <v>164</v>
      </c>
      <c r="E264" s="10">
        <f>SUMIFS(Transactions_Manual!$E:$E,Transactions_Manual!$B:$B,B264,Transactions_Manual!$C:$C,A264)</f>
        <v>0</v>
      </c>
      <c r="F264" s="10">
        <f t="shared" si="19"/>
        <v>164</v>
      </c>
      <c r="G264" s="10">
        <f t="shared" si="18"/>
        <v>0</v>
      </c>
      <c r="H264" s="10" t="str">
        <f t="shared" si="20"/>
        <v/>
      </c>
      <c r="I264" s="28" t="str">
        <f t="shared" si="21"/>
        <v/>
      </c>
    </row>
    <row r="265" spans="1:9" x14ac:dyDescent="0.35">
      <c r="A265" s="5" t="s">
        <v>33</v>
      </c>
      <c r="B265" s="8">
        <v>46813</v>
      </c>
      <c r="C265" s="34">
        <f>SUMIFS(Month_End!$D:$D,Month_End!$A:$A,B265,Month_End!$B:$B,A265)</f>
        <v>0</v>
      </c>
      <c r="D265" s="10">
        <f>SUMIFS(Transactions_PAC!$H:$H,Transactions_PAC!$B:$B,B265,Transactions_PAC!$C:$C,A265)</f>
        <v>164</v>
      </c>
      <c r="E265" s="10">
        <f>SUMIFS(Transactions_Manual!$E:$E,Transactions_Manual!$B:$B,B265,Transactions_Manual!$C:$C,A265)</f>
        <v>0</v>
      </c>
      <c r="F265" s="10">
        <f t="shared" si="19"/>
        <v>164</v>
      </c>
      <c r="G265" s="10">
        <f t="shared" si="18"/>
        <v>0</v>
      </c>
      <c r="H265" s="10" t="str">
        <f t="shared" si="20"/>
        <v/>
      </c>
      <c r="I265" s="28" t="str">
        <f t="shared" si="21"/>
        <v/>
      </c>
    </row>
    <row r="266" spans="1:9" x14ac:dyDescent="0.35">
      <c r="A266" s="5" t="s">
        <v>33</v>
      </c>
      <c r="B266" s="8">
        <v>46844</v>
      </c>
      <c r="C266" s="34">
        <f>SUMIFS(Month_End!$D:$D,Month_End!$A:$A,B266,Month_End!$B:$B,A266)</f>
        <v>0</v>
      </c>
      <c r="D266" s="10">
        <f>SUMIFS(Transactions_PAC!$H:$H,Transactions_PAC!$B:$B,B266,Transactions_PAC!$C:$C,A266)</f>
        <v>164</v>
      </c>
      <c r="E266" s="10">
        <f>SUMIFS(Transactions_Manual!$E:$E,Transactions_Manual!$B:$B,B266,Transactions_Manual!$C:$C,A266)</f>
        <v>0</v>
      </c>
      <c r="F266" s="10">
        <f t="shared" si="19"/>
        <v>164</v>
      </c>
      <c r="G266" s="10">
        <f t="shared" si="18"/>
        <v>0</v>
      </c>
      <c r="H266" s="10" t="str">
        <f t="shared" si="20"/>
        <v/>
      </c>
      <c r="I266" s="28" t="str">
        <f t="shared" si="21"/>
        <v/>
      </c>
    </row>
    <row r="267" spans="1:9" x14ac:dyDescent="0.35">
      <c r="A267" s="5" t="s">
        <v>33</v>
      </c>
      <c r="B267" s="8">
        <v>46874</v>
      </c>
      <c r="C267" s="34">
        <f>SUMIFS(Month_End!$D:$D,Month_End!$A:$A,B267,Month_End!$B:$B,A267)</f>
        <v>0</v>
      </c>
      <c r="D267" s="10">
        <f>SUMIFS(Transactions_PAC!$H:$H,Transactions_PAC!$B:$B,B267,Transactions_PAC!$C:$C,A267)</f>
        <v>164</v>
      </c>
      <c r="E267" s="10">
        <f>SUMIFS(Transactions_Manual!$E:$E,Transactions_Manual!$B:$B,B267,Transactions_Manual!$C:$C,A267)</f>
        <v>0</v>
      </c>
      <c r="F267" s="10">
        <f t="shared" si="19"/>
        <v>164</v>
      </c>
      <c r="G267" s="10">
        <f t="shared" si="18"/>
        <v>0</v>
      </c>
      <c r="H267" s="10" t="str">
        <f t="shared" si="20"/>
        <v/>
      </c>
      <c r="I267" s="28" t="str">
        <f t="shared" si="21"/>
        <v/>
      </c>
    </row>
    <row r="268" spans="1:9" x14ac:dyDescent="0.35">
      <c r="A268" s="5" t="s">
        <v>33</v>
      </c>
      <c r="B268" s="8">
        <v>46905</v>
      </c>
      <c r="C268" s="34">
        <f>SUMIFS(Month_End!$D:$D,Month_End!$A:$A,B268,Month_End!$B:$B,A268)</f>
        <v>0</v>
      </c>
      <c r="D268" s="10">
        <f>SUMIFS(Transactions_PAC!$H:$H,Transactions_PAC!$B:$B,B268,Transactions_PAC!$C:$C,A268)</f>
        <v>164</v>
      </c>
      <c r="E268" s="10">
        <f>SUMIFS(Transactions_Manual!$E:$E,Transactions_Manual!$B:$B,B268,Transactions_Manual!$C:$C,A268)</f>
        <v>0</v>
      </c>
      <c r="F268" s="10">
        <f t="shared" si="19"/>
        <v>164</v>
      </c>
      <c r="G268" s="10">
        <f t="shared" si="18"/>
        <v>0</v>
      </c>
      <c r="H268" s="10" t="str">
        <f t="shared" si="20"/>
        <v/>
      </c>
      <c r="I268" s="28" t="str">
        <f t="shared" si="21"/>
        <v/>
      </c>
    </row>
    <row r="269" spans="1:9" x14ac:dyDescent="0.35">
      <c r="A269" s="5" t="s">
        <v>33</v>
      </c>
      <c r="B269" s="8">
        <v>46935</v>
      </c>
      <c r="C269" s="34">
        <f>SUMIFS(Month_End!$D:$D,Month_End!$A:$A,B269,Month_End!$B:$B,A269)</f>
        <v>0</v>
      </c>
      <c r="D269" s="10">
        <f>SUMIFS(Transactions_PAC!$H:$H,Transactions_PAC!$B:$B,B269,Transactions_PAC!$C:$C,A269)</f>
        <v>164</v>
      </c>
      <c r="E269" s="10">
        <f>SUMIFS(Transactions_Manual!$E:$E,Transactions_Manual!$B:$B,B269,Transactions_Manual!$C:$C,A269)</f>
        <v>0</v>
      </c>
      <c r="F269" s="10">
        <f t="shared" si="19"/>
        <v>164</v>
      </c>
      <c r="G269" s="10">
        <f t="shared" si="18"/>
        <v>0</v>
      </c>
      <c r="H269" s="10" t="str">
        <f t="shared" si="20"/>
        <v/>
      </c>
      <c r="I269" s="28" t="str">
        <f t="shared" si="21"/>
        <v/>
      </c>
    </row>
    <row r="270" spans="1:9" x14ac:dyDescent="0.35">
      <c r="A270" s="5" t="s">
        <v>33</v>
      </c>
      <c r="B270" s="8">
        <v>46966</v>
      </c>
      <c r="C270" s="34">
        <f>SUMIFS(Month_End!$D:$D,Month_End!$A:$A,B270,Month_End!$B:$B,A270)</f>
        <v>0</v>
      </c>
      <c r="D270" s="10">
        <f>SUMIFS(Transactions_PAC!$H:$H,Transactions_PAC!$B:$B,B270,Transactions_PAC!$C:$C,A270)</f>
        <v>164</v>
      </c>
      <c r="E270" s="10">
        <f>SUMIFS(Transactions_Manual!$E:$E,Transactions_Manual!$B:$B,B270,Transactions_Manual!$C:$C,A270)</f>
        <v>0</v>
      </c>
      <c r="F270" s="10">
        <f t="shared" si="19"/>
        <v>164</v>
      </c>
      <c r="G270" s="10">
        <f t="shared" si="18"/>
        <v>0</v>
      </c>
      <c r="H270" s="10" t="str">
        <f t="shared" si="20"/>
        <v/>
      </c>
      <c r="I270" s="28" t="str">
        <f t="shared" si="21"/>
        <v/>
      </c>
    </row>
    <row r="271" spans="1:9" x14ac:dyDescent="0.35">
      <c r="A271" s="5" t="s">
        <v>33</v>
      </c>
      <c r="B271" s="8">
        <v>46997</v>
      </c>
      <c r="C271" s="34">
        <f>SUMIFS(Month_End!$D:$D,Month_End!$A:$A,B271,Month_End!$B:$B,A271)</f>
        <v>0</v>
      </c>
      <c r="D271" s="10">
        <f>SUMIFS(Transactions_PAC!$H:$H,Transactions_PAC!$B:$B,B271,Transactions_PAC!$C:$C,A271)</f>
        <v>164</v>
      </c>
      <c r="E271" s="10">
        <f>SUMIFS(Transactions_Manual!$E:$E,Transactions_Manual!$B:$B,B271,Transactions_Manual!$C:$C,A271)</f>
        <v>0</v>
      </c>
      <c r="F271" s="10">
        <f t="shared" si="19"/>
        <v>164</v>
      </c>
      <c r="G271" s="10">
        <f t="shared" si="18"/>
        <v>0</v>
      </c>
      <c r="H271" s="10" t="str">
        <f t="shared" si="20"/>
        <v/>
      </c>
      <c r="I271" s="28" t="str">
        <f t="shared" si="21"/>
        <v/>
      </c>
    </row>
    <row r="272" spans="1:9" x14ac:dyDescent="0.35">
      <c r="A272" s="5" t="s">
        <v>33</v>
      </c>
      <c r="B272" s="8">
        <v>47027</v>
      </c>
      <c r="C272" s="34">
        <f>SUMIFS(Month_End!$D:$D,Month_End!$A:$A,B272,Month_End!$B:$B,A272)</f>
        <v>0</v>
      </c>
      <c r="D272" s="10">
        <f>SUMIFS(Transactions_PAC!$H:$H,Transactions_PAC!$B:$B,B272,Transactions_PAC!$C:$C,A272)</f>
        <v>164</v>
      </c>
      <c r="E272" s="10">
        <f>SUMIFS(Transactions_Manual!$E:$E,Transactions_Manual!$B:$B,B272,Transactions_Manual!$C:$C,A272)</f>
        <v>0</v>
      </c>
      <c r="F272" s="10">
        <f t="shared" si="19"/>
        <v>164</v>
      </c>
      <c r="G272" s="10">
        <f t="shared" si="18"/>
        <v>0</v>
      </c>
      <c r="H272" s="10" t="str">
        <f t="shared" si="20"/>
        <v/>
      </c>
      <c r="I272" s="28" t="str">
        <f t="shared" si="21"/>
        <v/>
      </c>
    </row>
    <row r="273" spans="1:9" x14ac:dyDescent="0.35">
      <c r="A273" s="5" t="s">
        <v>33</v>
      </c>
      <c r="B273" s="8">
        <v>47058</v>
      </c>
      <c r="C273" s="34">
        <f>SUMIFS(Month_End!$D:$D,Month_End!$A:$A,B273,Month_End!$B:$B,A273)</f>
        <v>0</v>
      </c>
      <c r="D273" s="10">
        <f>SUMIFS(Transactions_PAC!$H:$H,Transactions_PAC!$B:$B,B273,Transactions_PAC!$C:$C,A273)</f>
        <v>164</v>
      </c>
      <c r="E273" s="10">
        <f>SUMIFS(Transactions_Manual!$E:$E,Transactions_Manual!$B:$B,B273,Transactions_Manual!$C:$C,A273)</f>
        <v>0</v>
      </c>
      <c r="F273" s="10">
        <f t="shared" si="19"/>
        <v>164</v>
      </c>
      <c r="G273" s="10">
        <f t="shared" si="18"/>
        <v>0</v>
      </c>
      <c r="H273" s="10" t="str">
        <f t="shared" si="20"/>
        <v/>
      </c>
      <c r="I273" s="28" t="str">
        <f t="shared" si="21"/>
        <v/>
      </c>
    </row>
    <row r="274" spans="1:9" x14ac:dyDescent="0.35">
      <c r="A274" s="5" t="s">
        <v>33</v>
      </c>
      <c r="B274" s="8">
        <v>47088</v>
      </c>
      <c r="C274" s="34">
        <f>SUMIFS(Month_End!$D:$D,Month_End!$A:$A,B274,Month_End!$B:$B,A274)</f>
        <v>0</v>
      </c>
      <c r="D274" s="10">
        <f>SUMIFS(Transactions_PAC!$H:$H,Transactions_PAC!$B:$B,B274,Transactions_PAC!$C:$C,A274)</f>
        <v>164</v>
      </c>
      <c r="E274" s="10">
        <f>SUMIFS(Transactions_Manual!$E:$E,Transactions_Manual!$B:$B,B274,Transactions_Manual!$C:$C,A274)</f>
        <v>0</v>
      </c>
      <c r="F274" s="10">
        <f t="shared" si="19"/>
        <v>164</v>
      </c>
      <c r="G274" s="10">
        <f t="shared" si="18"/>
        <v>0</v>
      </c>
      <c r="H274" s="10" t="str">
        <f t="shared" si="20"/>
        <v/>
      </c>
      <c r="I274" s="28" t="str">
        <f t="shared" si="21"/>
        <v/>
      </c>
    </row>
    <row r="275" spans="1:9" x14ac:dyDescent="0.35">
      <c r="A275" s="5" t="s">
        <v>34</v>
      </c>
      <c r="B275" s="8">
        <v>45931</v>
      </c>
      <c r="C275" s="34">
        <f>SUMIFS(Month_End!$D:$D,Month_End!$A:$A,B275,Month_End!$B:$B,A275)</f>
        <v>483.2</v>
      </c>
      <c r="D275" s="10">
        <f>SUMIFS(Transactions_PAC!$H:$H,Transactions_PAC!$B:$B,B275,Transactions_PAC!$C:$C,A275)</f>
        <v>0</v>
      </c>
      <c r="E275" s="10">
        <f>SUMIFS(Transactions_Manual!$E:$E,Transactions_Manual!$B:$B,B275,Transactions_Manual!$C:$C,A275)</f>
        <v>0</v>
      </c>
      <c r="F275" s="10">
        <f t="shared" si="19"/>
        <v>0</v>
      </c>
      <c r="G275" s="10"/>
      <c r="H275" s="10" t="str">
        <f t="shared" si="20"/>
        <v/>
      </c>
      <c r="I275" s="28" t="str">
        <f t="shared" si="21"/>
        <v/>
      </c>
    </row>
    <row r="276" spans="1:9" x14ac:dyDescent="0.35">
      <c r="A276" s="5" t="s">
        <v>34</v>
      </c>
      <c r="B276" s="8">
        <v>45962</v>
      </c>
      <c r="C276" s="34">
        <f>SUMIFS(Month_End!$D:$D,Month_End!$A:$A,B276,Month_End!$B:$B,A276)</f>
        <v>383.76</v>
      </c>
      <c r="D276" s="10">
        <f>SUMIFS(Transactions_PAC!$H:$H,Transactions_PAC!$B:$B,B276,Transactions_PAC!$C:$C,A276)</f>
        <v>0</v>
      </c>
      <c r="E276" s="10">
        <f>SUMIFS(Transactions_Manual!$E:$E,Transactions_Manual!$B:$B,B276,Transactions_Manual!$C:$C,A276)</f>
        <v>0</v>
      </c>
      <c r="F276" s="10">
        <f t="shared" si="19"/>
        <v>0</v>
      </c>
      <c r="G276" s="10">
        <f t="shared" ref="G276:G313" si="22">C275</f>
        <v>483.2</v>
      </c>
      <c r="H276" s="10">
        <f t="shared" si="20"/>
        <v>-99.44</v>
      </c>
      <c r="I276" s="28">
        <f t="shared" si="21"/>
        <v>-0.20579470198675498</v>
      </c>
    </row>
    <row r="277" spans="1:9" x14ac:dyDescent="0.35">
      <c r="A277" s="5" t="s">
        <v>34</v>
      </c>
      <c r="B277" s="8">
        <v>45992</v>
      </c>
      <c r="C277" s="34">
        <f>SUMIFS(Month_End!$D:$D,Month_End!$A:$A,B277,Month_End!$B:$B,A277)</f>
        <v>402.89</v>
      </c>
      <c r="D277" s="10">
        <f>SUMIFS(Transactions_PAC!$H:$H,Transactions_PAC!$B:$B,B277,Transactions_PAC!$C:$C,A277)</f>
        <v>0</v>
      </c>
      <c r="E277" s="10">
        <f>SUMIFS(Transactions_Manual!$E:$E,Transactions_Manual!$B:$B,B277,Transactions_Manual!$C:$C,A277)</f>
        <v>0</v>
      </c>
      <c r="F277" s="10">
        <f t="shared" si="19"/>
        <v>0</v>
      </c>
      <c r="G277" s="10">
        <f t="shared" si="22"/>
        <v>383.76</v>
      </c>
      <c r="H277" s="10">
        <f t="shared" si="20"/>
        <v>19.129999999999995</v>
      </c>
      <c r="I277" s="28">
        <f t="shared" si="21"/>
        <v>4.9848863873254108E-2</v>
      </c>
    </row>
    <row r="278" spans="1:9" x14ac:dyDescent="0.35">
      <c r="A278" s="5" t="s">
        <v>34</v>
      </c>
      <c r="B278" s="8">
        <v>46023</v>
      </c>
      <c r="C278" s="34">
        <f>SUMIFS(Month_End!$D:$D,Month_End!$A:$A,B278,Month_End!$B:$B,A278)</f>
        <v>452.33</v>
      </c>
      <c r="D278" s="10">
        <f>SUMIFS(Transactions_PAC!$H:$H,Transactions_PAC!$B:$B,B278,Transactions_PAC!$C:$C,A278)</f>
        <v>0</v>
      </c>
      <c r="E278" s="10">
        <f>SUMIFS(Transactions_Manual!$E:$E,Transactions_Manual!$B:$B,B278,Transactions_Manual!$C:$C,A278)</f>
        <v>0</v>
      </c>
      <c r="F278" s="10">
        <f t="shared" si="19"/>
        <v>0</v>
      </c>
      <c r="G278" s="10">
        <f t="shared" si="22"/>
        <v>402.89</v>
      </c>
      <c r="H278" s="10">
        <f t="shared" si="20"/>
        <v>49.44</v>
      </c>
      <c r="I278" s="28">
        <f t="shared" si="21"/>
        <v>0.12271339571595224</v>
      </c>
    </row>
    <row r="279" spans="1:9" x14ac:dyDescent="0.35">
      <c r="A279" s="5" t="s">
        <v>34</v>
      </c>
      <c r="B279" s="8">
        <v>46054</v>
      </c>
      <c r="C279" s="34">
        <f>SUMIFS(Month_End!$D:$D,Month_End!$A:$A,B279,Month_End!$B:$B,A279)</f>
        <v>450.32</v>
      </c>
      <c r="D279" s="10">
        <f>SUMIFS(Transactions_PAC!$H:$H,Transactions_PAC!$B:$B,B279,Transactions_PAC!$C:$C,A279)</f>
        <v>0</v>
      </c>
      <c r="E279" s="10">
        <f>SUMIFS(Transactions_Manual!$E:$E,Transactions_Manual!$B:$B,B279,Transactions_Manual!$C:$C,A279)</f>
        <v>0</v>
      </c>
      <c r="F279" s="10">
        <f t="shared" si="19"/>
        <v>0</v>
      </c>
      <c r="G279" s="10">
        <f t="shared" si="22"/>
        <v>452.33</v>
      </c>
      <c r="H279" s="10">
        <f t="shared" si="20"/>
        <v>-2.0099999999999909</v>
      </c>
      <c r="I279" s="28">
        <f t="shared" si="21"/>
        <v>-4.4436583909977026E-3</v>
      </c>
    </row>
    <row r="280" spans="1:9" x14ac:dyDescent="0.35">
      <c r="A280" s="5" t="s">
        <v>34</v>
      </c>
      <c r="B280" s="8">
        <v>46082</v>
      </c>
      <c r="C280" s="34">
        <f>SUMIFS(Month_End!$D:$D,Month_End!$A:$A,B280,Month_End!$B:$B,A280)</f>
        <v>439.71</v>
      </c>
      <c r="D280" s="10">
        <f>SUMIFS(Transactions_PAC!$H:$H,Transactions_PAC!$B:$B,B280,Transactions_PAC!$C:$C,A280)</f>
        <v>0</v>
      </c>
      <c r="E280" s="10">
        <f>SUMIFS(Transactions_Manual!$E:$E,Transactions_Manual!$B:$B,B280,Transactions_Manual!$C:$C,A280)</f>
        <v>0</v>
      </c>
      <c r="F280" s="10">
        <f t="shared" si="19"/>
        <v>0</v>
      </c>
      <c r="G280" s="10">
        <f t="shared" si="22"/>
        <v>450.32</v>
      </c>
      <c r="H280" s="10">
        <f t="shared" si="20"/>
        <v>-10.610000000000014</v>
      </c>
      <c r="I280" s="28">
        <f t="shared" si="21"/>
        <v>-2.35610232723397E-2</v>
      </c>
    </row>
    <row r="281" spans="1:9" x14ac:dyDescent="0.35">
      <c r="A281" s="5" t="s">
        <v>34</v>
      </c>
      <c r="B281" s="8">
        <v>46113</v>
      </c>
      <c r="C281" s="34">
        <f>SUMIFS(Month_End!$D:$D,Month_End!$A:$A,B281,Month_End!$B:$B,A281)</f>
        <v>0</v>
      </c>
      <c r="D281" s="10">
        <f>SUMIFS(Transactions_PAC!$H:$H,Transactions_PAC!$B:$B,B281,Transactions_PAC!$C:$C,A281)</f>
        <v>60</v>
      </c>
      <c r="E281" s="10">
        <f>SUMIFS(Transactions_Manual!$E:$E,Transactions_Manual!$B:$B,B281,Transactions_Manual!$C:$C,A281)</f>
        <v>0</v>
      </c>
      <c r="F281" s="10">
        <f t="shared" si="19"/>
        <v>60</v>
      </c>
      <c r="G281" s="10">
        <f t="shared" si="22"/>
        <v>439.71</v>
      </c>
      <c r="H281" s="10" t="str">
        <f t="shared" si="20"/>
        <v/>
      </c>
      <c r="I281" s="28" t="str">
        <f t="shared" si="21"/>
        <v/>
      </c>
    </row>
    <row r="282" spans="1:9" x14ac:dyDescent="0.35">
      <c r="A282" s="5" t="s">
        <v>34</v>
      </c>
      <c r="B282" s="8">
        <v>46143</v>
      </c>
      <c r="C282" s="34">
        <f>SUMIFS(Month_End!$D:$D,Month_End!$A:$A,B282,Month_End!$B:$B,A282)</f>
        <v>0</v>
      </c>
      <c r="D282" s="10">
        <f>SUMIFS(Transactions_PAC!$H:$H,Transactions_PAC!$B:$B,B282,Transactions_PAC!$C:$C,A282)</f>
        <v>60</v>
      </c>
      <c r="E282" s="10">
        <f>SUMIFS(Transactions_Manual!$E:$E,Transactions_Manual!$B:$B,B282,Transactions_Manual!$C:$C,A282)</f>
        <v>0</v>
      </c>
      <c r="F282" s="10">
        <f t="shared" si="19"/>
        <v>60</v>
      </c>
      <c r="G282" s="10">
        <f t="shared" si="22"/>
        <v>0</v>
      </c>
      <c r="H282" s="10" t="str">
        <f t="shared" si="20"/>
        <v/>
      </c>
      <c r="I282" s="28" t="str">
        <f t="shared" si="21"/>
        <v/>
      </c>
    </row>
    <row r="283" spans="1:9" x14ac:dyDescent="0.35">
      <c r="A283" s="5" t="s">
        <v>34</v>
      </c>
      <c r="B283" s="8">
        <v>46174</v>
      </c>
      <c r="C283" s="34">
        <f>SUMIFS(Month_End!$D:$D,Month_End!$A:$A,B283,Month_End!$B:$B,A283)</f>
        <v>0</v>
      </c>
      <c r="D283" s="10">
        <f>SUMIFS(Transactions_PAC!$H:$H,Transactions_PAC!$B:$B,B283,Transactions_PAC!$C:$C,A283)</f>
        <v>60</v>
      </c>
      <c r="E283" s="10">
        <f>SUMIFS(Transactions_Manual!$E:$E,Transactions_Manual!$B:$B,B283,Transactions_Manual!$C:$C,A283)</f>
        <v>0</v>
      </c>
      <c r="F283" s="10">
        <f t="shared" si="19"/>
        <v>60</v>
      </c>
      <c r="G283" s="10">
        <f t="shared" si="22"/>
        <v>0</v>
      </c>
      <c r="H283" s="10" t="str">
        <f t="shared" si="20"/>
        <v/>
      </c>
      <c r="I283" s="28" t="str">
        <f t="shared" si="21"/>
        <v/>
      </c>
    </row>
    <row r="284" spans="1:9" x14ac:dyDescent="0.35">
      <c r="A284" s="5" t="s">
        <v>34</v>
      </c>
      <c r="B284" s="8">
        <v>46204</v>
      </c>
      <c r="C284" s="34">
        <f>SUMIFS(Month_End!$D:$D,Month_End!$A:$A,B284,Month_End!$B:$B,A284)</f>
        <v>0</v>
      </c>
      <c r="D284" s="10">
        <f>SUMIFS(Transactions_PAC!$H:$H,Transactions_PAC!$B:$B,B284,Transactions_PAC!$C:$C,A284)</f>
        <v>60</v>
      </c>
      <c r="E284" s="10">
        <f>SUMIFS(Transactions_Manual!$E:$E,Transactions_Manual!$B:$B,B284,Transactions_Manual!$C:$C,A284)</f>
        <v>0</v>
      </c>
      <c r="F284" s="10">
        <f t="shared" si="19"/>
        <v>60</v>
      </c>
      <c r="G284" s="10">
        <f t="shared" si="22"/>
        <v>0</v>
      </c>
      <c r="H284" s="10" t="str">
        <f t="shared" si="20"/>
        <v/>
      </c>
      <c r="I284" s="28" t="str">
        <f t="shared" si="21"/>
        <v/>
      </c>
    </row>
    <row r="285" spans="1:9" x14ac:dyDescent="0.35">
      <c r="A285" s="5" t="s">
        <v>34</v>
      </c>
      <c r="B285" s="8">
        <v>46235</v>
      </c>
      <c r="C285" s="34">
        <f>SUMIFS(Month_End!$D:$D,Month_End!$A:$A,B285,Month_End!$B:$B,A285)</f>
        <v>0</v>
      </c>
      <c r="D285" s="10">
        <f>SUMIFS(Transactions_PAC!$H:$H,Transactions_PAC!$B:$B,B285,Transactions_PAC!$C:$C,A285)</f>
        <v>60</v>
      </c>
      <c r="E285" s="10">
        <f>SUMIFS(Transactions_Manual!$E:$E,Transactions_Manual!$B:$B,B285,Transactions_Manual!$C:$C,A285)</f>
        <v>0</v>
      </c>
      <c r="F285" s="10">
        <f t="shared" si="19"/>
        <v>60</v>
      </c>
      <c r="G285" s="10">
        <f t="shared" si="22"/>
        <v>0</v>
      </c>
      <c r="H285" s="10" t="str">
        <f t="shared" si="20"/>
        <v/>
      </c>
      <c r="I285" s="28" t="str">
        <f t="shared" si="21"/>
        <v/>
      </c>
    </row>
    <row r="286" spans="1:9" x14ac:dyDescent="0.35">
      <c r="A286" s="5" t="s">
        <v>34</v>
      </c>
      <c r="B286" s="8">
        <v>46266</v>
      </c>
      <c r="C286" s="34">
        <f>SUMIFS(Month_End!$D:$D,Month_End!$A:$A,B286,Month_End!$B:$B,A286)</f>
        <v>0</v>
      </c>
      <c r="D286" s="10">
        <f>SUMIFS(Transactions_PAC!$H:$H,Transactions_PAC!$B:$B,B286,Transactions_PAC!$C:$C,A286)</f>
        <v>60</v>
      </c>
      <c r="E286" s="10">
        <f>SUMIFS(Transactions_Manual!$E:$E,Transactions_Manual!$B:$B,B286,Transactions_Manual!$C:$C,A286)</f>
        <v>0</v>
      </c>
      <c r="F286" s="10">
        <f t="shared" si="19"/>
        <v>60</v>
      </c>
      <c r="G286" s="10">
        <f t="shared" si="22"/>
        <v>0</v>
      </c>
      <c r="H286" s="10" t="str">
        <f t="shared" si="20"/>
        <v/>
      </c>
      <c r="I286" s="28" t="str">
        <f t="shared" si="21"/>
        <v/>
      </c>
    </row>
    <row r="287" spans="1:9" x14ac:dyDescent="0.35">
      <c r="A287" s="5" t="s">
        <v>34</v>
      </c>
      <c r="B287" s="8">
        <v>46296</v>
      </c>
      <c r="C287" s="34">
        <f>SUMIFS(Month_End!$D:$D,Month_End!$A:$A,B287,Month_End!$B:$B,A287)</f>
        <v>0</v>
      </c>
      <c r="D287" s="10">
        <f>SUMIFS(Transactions_PAC!$H:$H,Transactions_PAC!$B:$B,B287,Transactions_PAC!$C:$C,A287)</f>
        <v>60</v>
      </c>
      <c r="E287" s="10">
        <f>SUMIFS(Transactions_Manual!$E:$E,Transactions_Manual!$B:$B,B287,Transactions_Manual!$C:$C,A287)</f>
        <v>0</v>
      </c>
      <c r="F287" s="10">
        <f t="shared" si="19"/>
        <v>60</v>
      </c>
      <c r="G287" s="10">
        <f t="shared" si="22"/>
        <v>0</v>
      </c>
      <c r="H287" s="10" t="str">
        <f t="shared" si="20"/>
        <v/>
      </c>
      <c r="I287" s="28" t="str">
        <f t="shared" si="21"/>
        <v/>
      </c>
    </row>
    <row r="288" spans="1:9" x14ac:dyDescent="0.35">
      <c r="A288" s="5" t="s">
        <v>34</v>
      </c>
      <c r="B288" s="8">
        <v>46327</v>
      </c>
      <c r="C288" s="34">
        <f>SUMIFS(Month_End!$D:$D,Month_End!$A:$A,B288,Month_End!$B:$B,A288)</f>
        <v>0</v>
      </c>
      <c r="D288" s="10">
        <f>SUMIFS(Transactions_PAC!$H:$H,Transactions_PAC!$B:$B,B288,Transactions_PAC!$C:$C,A288)</f>
        <v>60</v>
      </c>
      <c r="E288" s="10">
        <f>SUMIFS(Transactions_Manual!$E:$E,Transactions_Manual!$B:$B,B288,Transactions_Manual!$C:$C,A288)</f>
        <v>0</v>
      </c>
      <c r="F288" s="10">
        <f t="shared" si="19"/>
        <v>60</v>
      </c>
      <c r="G288" s="10">
        <f t="shared" si="22"/>
        <v>0</v>
      </c>
      <c r="H288" s="10" t="str">
        <f t="shared" si="20"/>
        <v/>
      </c>
      <c r="I288" s="28" t="str">
        <f t="shared" si="21"/>
        <v/>
      </c>
    </row>
    <row r="289" spans="1:9" x14ac:dyDescent="0.35">
      <c r="A289" s="5" t="s">
        <v>34</v>
      </c>
      <c r="B289" s="8">
        <v>46357</v>
      </c>
      <c r="C289" s="34">
        <f>SUMIFS(Month_End!$D:$D,Month_End!$A:$A,B289,Month_End!$B:$B,A289)</f>
        <v>0</v>
      </c>
      <c r="D289" s="10">
        <f>SUMIFS(Transactions_PAC!$H:$H,Transactions_PAC!$B:$B,B289,Transactions_PAC!$C:$C,A289)</f>
        <v>60</v>
      </c>
      <c r="E289" s="10">
        <f>SUMIFS(Transactions_Manual!$E:$E,Transactions_Manual!$B:$B,B289,Transactions_Manual!$C:$C,A289)</f>
        <v>0</v>
      </c>
      <c r="F289" s="10">
        <f t="shared" si="19"/>
        <v>60</v>
      </c>
      <c r="G289" s="10">
        <f t="shared" si="22"/>
        <v>0</v>
      </c>
      <c r="H289" s="10" t="str">
        <f t="shared" si="20"/>
        <v/>
      </c>
      <c r="I289" s="28" t="str">
        <f t="shared" si="21"/>
        <v/>
      </c>
    </row>
    <row r="290" spans="1:9" x14ac:dyDescent="0.35">
      <c r="A290" s="5" t="s">
        <v>34</v>
      </c>
      <c r="B290" s="8">
        <v>46388</v>
      </c>
      <c r="C290" s="34">
        <f>SUMIFS(Month_End!$D:$D,Month_End!$A:$A,B290,Month_End!$B:$B,A290)</f>
        <v>0</v>
      </c>
      <c r="D290" s="10">
        <f>SUMIFS(Transactions_PAC!$H:$H,Transactions_PAC!$B:$B,B290,Transactions_PAC!$C:$C,A290)</f>
        <v>60</v>
      </c>
      <c r="E290" s="10">
        <f>SUMIFS(Transactions_Manual!$E:$E,Transactions_Manual!$B:$B,B290,Transactions_Manual!$C:$C,A290)</f>
        <v>0</v>
      </c>
      <c r="F290" s="10">
        <f t="shared" si="19"/>
        <v>60</v>
      </c>
      <c r="G290" s="10">
        <f t="shared" si="22"/>
        <v>0</v>
      </c>
      <c r="H290" s="10" t="str">
        <f t="shared" si="20"/>
        <v/>
      </c>
      <c r="I290" s="28" t="str">
        <f t="shared" si="21"/>
        <v/>
      </c>
    </row>
    <row r="291" spans="1:9" x14ac:dyDescent="0.35">
      <c r="A291" s="5" t="s">
        <v>34</v>
      </c>
      <c r="B291" s="8">
        <v>46419</v>
      </c>
      <c r="C291" s="34">
        <f>SUMIFS(Month_End!$D:$D,Month_End!$A:$A,B291,Month_End!$B:$B,A291)</f>
        <v>0</v>
      </c>
      <c r="D291" s="10">
        <f>SUMIFS(Transactions_PAC!$H:$H,Transactions_PAC!$B:$B,B291,Transactions_PAC!$C:$C,A291)</f>
        <v>60</v>
      </c>
      <c r="E291" s="10">
        <f>SUMIFS(Transactions_Manual!$E:$E,Transactions_Manual!$B:$B,B291,Transactions_Manual!$C:$C,A291)</f>
        <v>0</v>
      </c>
      <c r="F291" s="10">
        <f t="shared" si="19"/>
        <v>60</v>
      </c>
      <c r="G291" s="10">
        <f t="shared" si="22"/>
        <v>0</v>
      </c>
      <c r="H291" s="10" t="str">
        <f t="shared" si="20"/>
        <v/>
      </c>
      <c r="I291" s="28" t="str">
        <f t="shared" si="21"/>
        <v/>
      </c>
    </row>
    <row r="292" spans="1:9" x14ac:dyDescent="0.35">
      <c r="A292" s="5" t="s">
        <v>34</v>
      </c>
      <c r="B292" s="8">
        <v>46447</v>
      </c>
      <c r="C292" s="34">
        <f>SUMIFS(Month_End!$D:$D,Month_End!$A:$A,B292,Month_End!$B:$B,A292)</f>
        <v>0</v>
      </c>
      <c r="D292" s="10">
        <f>SUMIFS(Transactions_PAC!$H:$H,Transactions_PAC!$B:$B,B292,Transactions_PAC!$C:$C,A292)</f>
        <v>60</v>
      </c>
      <c r="E292" s="10">
        <f>SUMIFS(Transactions_Manual!$E:$E,Transactions_Manual!$B:$B,B292,Transactions_Manual!$C:$C,A292)</f>
        <v>0</v>
      </c>
      <c r="F292" s="10">
        <f t="shared" si="19"/>
        <v>60</v>
      </c>
      <c r="G292" s="10">
        <f t="shared" si="22"/>
        <v>0</v>
      </c>
      <c r="H292" s="10" t="str">
        <f t="shared" si="20"/>
        <v/>
      </c>
      <c r="I292" s="28" t="str">
        <f t="shared" si="21"/>
        <v/>
      </c>
    </row>
    <row r="293" spans="1:9" x14ac:dyDescent="0.35">
      <c r="A293" s="5" t="s">
        <v>34</v>
      </c>
      <c r="B293" s="8">
        <v>46478</v>
      </c>
      <c r="C293" s="34">
        <f>SUMIFS(Month_End!$D:$D,Month_End!$A:$A,B293,Month_End!$B:$B,A293)</f>
        <v>0</v>
      </c>
      <c r="D293" s="10">
        <f>SUMIFS(Transactions_PAC!$H:$H,Transactions_PAC!$B:$B,B293,Transactions_PAC!$C:$C,A293)</f>
        <v>60</v>
      </c>
      <c r="E293" s="10">
        <f>SUMIFS(Transactions_Manual!$E:$E,Transactions_Manual!$B:$B,B293,Transactions_Manual!$C:$C,A293)</f>
        <v>0</v>
      </c>
      <c r="F293" s="10">
        <f t="shared" si="19"/>
        <v>60</v>
      </c>
      <c r="G293" s="10">
        <f t="shared" si="22"/>
        <v>0</v>
      </c>
      <c r="H293" s="10" t="str">
        <f t="shared" si="20"/>
        <v/>
      </c>
      <c r="I293" s="28" t="str">
        <f t="shared" si="21"/>
        <v/>
      </c>
    </row>
    <row r="294" spans="1:9" x14ac:dyDescent="0.35">
      <c r="A294" s="5" t="s">
        <v>34</v>
      </c>
      <c r="B294" s="8">
        <v>46508</v>
      </c>
      <c r="C294" s="34">
        <f>SUMIFS(Month_End!$D:$D,Month_End!$A:$A,B294,Month_End!$B:$B,A294)</f>
        <v>0</v>
      </c>
      <c r="D294" s="10">
        <f>SUMIFS(Transactions_PAC!$H:$H,Transactions_PAC!$B:$B,B294,Transactions_PAC!$C:$C,A294)</f>
        <v>60</v>
      </c>
      <c r="E294" s="10">
        <f>SUMIFS(Transactions_Manual!$E:$E,Transactions_Manual!$B:$B,B294,Transactions_Manual!$C:$C,A294)</f>
        <v>0</v>
      </c>
      <c r="F294" s="10">
        <f t="shared" si="19"/>
        <v>60</v>
      </c>
      <c r="G294" s="10">
        <f t="shared" si="22"/>
        <v>0</v>
      </c>
      <c r="H294" s="10" t="str">
        <f t="shared" si="20"/>
        <v/>
      </c>
      <c r="I294" s="28" t="str">
        <f t="shared" si="21"/>
        <v/>
      </c>
    </row>
    <row r="295" spans="1:9" x14ac:dyDescent="0.35">
      <c r="A295" s="5" t="s">
        <v>34</v>
      </c>
      <c r="B295" s="8">
        <v>46539</v>
      </c>
      <c r="C295" s="34">
        <f>SUMIFS(Month_End!$D:$D,Month_End!$A:$A,B295,Month_End!$B:$B,A295)</f>
        <v>0</v>
      </c>
      <c r="D295" s="10">
        <f>SUMIFS(Transactions_PAC!$H:$H,Transactions_PAC!$B:$B,B295,Transactions_PAC!$C:$C,A295)</f>
        <v>60</v>
      </c>
      <c r="E295" s="10">
        <f>SUMIFS(Transactions_Manual!$E:$E,Transactions_Manual!$B:$B,B295,Transactions_Manual!$C:$C,A295)</f>
        <v>0</v>
      </c>
      <c r="F295" s="10">
        <f t="shared" si="19"/>
        <v>60</v>
      </c>
      <c r="G295" s="10">
        <f t="shared" si="22"/>
        <v>0</v>
      </c>
      <c r="H295" s="10" t="str">
        <f t="shared" si="20"/>
        <v/>
      </c>
      <c r="I295" s="28" t="str">
        <f t="shared" si="21"/>
        <v/>
      </c>
    </row>
    <row r="296" spans="1:9" x14ac:dyDescent="0.35">
      <c r="A296" s="5" t="s">
        <v>34</v>
      </c>
      <c r="B296" s="8">
        <v>46569</v>
      </c>
      <c r="C296" s="34">
        <f>SUMIFS(Month_End!$D:$D,Month_End!$A:$A,B296,Month_End!$B:$B,A296)</f>
        <v>0</v>
      </c>
      <c r="D296" s="10">
        <f>SUMIFS(Transactions_PAC!$H:$H,Transactions_PAC!$B:$B,B296,Transactions_PAC!$C:$C,A296)</f>
        <v>60</v>
      </c>
      <c r="E296" s="10">
        <f>SUMIFS(Transactions_Manual!$E:$E,Transactions_Manual!$B:$B,B296,Transactions_Manual!$C:$C,A296)</f>
        <v>0</v>
      </c>
      <c r="F296" s="10">
        <f t="shared" si="19"/>
        <v>60</v>
      </c>
      <c r="G296" s="10">
        <f t="shared" si="22"/>
        <v>0</v>
      </c>
      <c r="H296" s="10" t="str">
        <f t="shared" si="20"/>
        <v/>
      </c>
      <c r="I296" s="28" t="str">
        <f t="shared" si="21"/>
        <v/>
      </c>
    </row>
    <row r="297" spans="1:9" x14ac:dyDescent="0.35">
      <c r="A297" s="5" t="s">
        <v>34</v>
      </c>
      <c r="B297" s="8">
        <v>46600</v>
      </c>
      <c r="C297" s="34">
        <f>SUMIFS(Month_End!$D:$D,Month_End!$A:$A,B297,Month_End!$B:$B,A297)</f>
        <v>0</v>
      </c>
      <c r="D297" s="10">
        <f>SUMIFS(Transactions_PAC!$H:$H,Transactions_PAC!$B:$B,B297,Transactions_PAC!$C:$C,A297)</f>
        <v>60</v>
      </c>
      <c r="E297" s="10">
        <f>SUMIFS(Transactions_Manual!$E:$E,Transactions_Manual!$B:$B,B297,Transactions_Manual!$C:$C,A297)</f>
        <v>0</v>
      </c>
      <c r="F297" s="10">
        <f t="shared" si="19"/>
        <v>60</v>
      </c>
      <c r="G297" s="10">
        <f t="shared" si="22"/>
        <v>0</v>
      </c>
      <c r="H297" s="10" t="str">
        <f t="shared" si="20"/>
        <v/>
      </c>
      <c r="I297" s="28" t="str">
        <f t="shared" si="21"/>
        <v/>
      </c>
    </row>
    <row r="298" spans="1:9" x14ac:dyDescent="0.35">
      <c r="A298" s="5" t="s">
        <v>34</v>
      </c>
      <c r="B298" s="8">
        <v>46631</v>
      </c>
      <c r="C298" s="34">
        <f>SUMIFS(Month_End!$D:$D,Month_End!$A:$A,B298,Month_End!$B:$B,A298)</f>
        <v>0</v>
      </c>
      <c r="D298" s="10">
        <f>SUMIFS(Transactions_PAC!$H:$H,Transactions_PAC!$B:$B,B298,Transactions_PAC!$C:$C,A298)</f>
        <v>60</v>
      </c>
      <c r="E298" s="10">
        <f>SUMIFS(Transactions_Manual!$E:$E,Transactions_Manual!$B:$B,B298,Transactions_Manual!$C:$C,A298)</f>
        <v>0</v>
      </c>
      <c r="F298" s="10">
        <f t="shared" si="19"/>
        <v>60</v>
      </c>
      <c r="G298" s="10">
        <f t="shared" si="22"/>
        <v>0</v>
      </c>
      <c r="H298" s="10" t="str">
        <f t="shared" si="20"/>
        <v/>
      </c>
      <c r="I298" s="28" t="str">
        <f t="shared" si="21"/>
        <v/>
      </c>
    </row>
    <row r="299" spans="1:9" x14ac:dyDescent="0.35">
      <c r="A299" s="5" t="s">
        <v>34</v>
      </c>
      <c r="B299" s="8">
        <v>46661</v>
      </c>
      <c r="C299" s="34">
        <f>SUMIFS(Month_End!$D:$D,Month_End!$A:$A,B299,Month_End!$B:$B,A299)</f>
        <v>0</v>
      </c>
      <c r="D299" s="10">
        <f>SUMIFS(Transactions_PAC!$H:$H,Transactions_PAC!$B:$B,B299,Transactions_PAC!$C:$C,A299)</f>
        <v>60</v>
      </c>
      <c r="E299" s="10">
        <f>SUMIFS(Transactions_Manual!$E:$E,Transactions_Manual!$B:$B,B299,Transactions_Manual!$C:$C,A299)</f>
        <v>0</v>
      </c>
      <c r="F299" s="10">
        <f t="shared" si="19"/>
        <v>60</v>
      </c>
      <c r="G299" s="10">
        <f t="shared" si="22"/>
        <v>0</v>
      </c>
      <c r="H299" s="10" t="str">
        <f t="shared" si="20"/>
        <v/>
      </c>
      <c r="I299" s="28" t="str">
        <f t="shared" si="21"/>
        <v/>
      </c>
    </row>
    <row r="300" spans="1:9" x14ac:dyDescent="0.35">
      <c r="A300" s="5" t="s">
        <v>34</v>
      </c>
      <c r="B300" s="8">
        <v>46692</v>
      </c>
      <c r="C300" s="34">
        <f>SUMIFS(Month_End!$D:$D,Month_End!$A:$A,B300,Month_End!$B:$B,A300)</f>
        <v>0</v>
      </c>
      <c r="D300" s="10">
        <f>SUMIFS(Transactions_PAC!$H:$H,Transactions_PAC!$B:$B,B300,Transactions_PAC!$C:$C,A300)</f>
        <v>60</v>
      </c>
      <c r="E300" s="10">
        <f>SUMIFS(Transactions_Manual!$E:$E,Transactions_Manual!$B:$B,B300,Transactions_Manual!$C:$C,A300)</f>
        <v>0</v>
      </c>
      <c r="F300" s="10">
        <f t="shared" si="19"/>
        <v>60</v>
      </c>
      <c r="G300" s="10">
        <f t="shared" si="22"/>
        <v>0</v>
      </c>
      <c r="H300" s="10" t="str">
        <f t="shared" si="20"/>
        <v/>
      </c>
      <c r="I300" s="28" t="str">
        <f t="shared" si="21"/>
        <v/>
      </c>
    </row>
    <row r="301" spans="1:9" x14ac:dyDescent="0.35">
      <c r="A301" s="5" t="s">
        <v>34</v>
      </c>
      <c r="B301" s="8">
        <v>46722</v>
      </c>
      <c r="C301" s="34">
        <f>SUMIFS(Month_End!$D:$D,Month_End!$A:$A,B301,Month_End!$B:$B,A301)</f>
        <v>0</v>
      </c>
      <c r="D301" s="10">
        <f>SUMIFS(Transactions_PAC!$H:$H,Transactions_PAC!$B:$B,B301,Transactions_PAC!$C:$C,A301)</f>
        <v>60</v>
      </c>
      <c r="E301" s="10">
        <f>SUMIFS(Transactions_Manual!$E:$E,Transactions_Manual!$B:$B,B301,Transactions_Manual!$C:$C,A301)</f>
        <v>0</v>
      </c>
      <c r="F301" s="10">
        <f t="shared" si="19"/>
        <v>60</v>
      </c>
      <c r="G301" s="10">
        <f t="shared" si="22"/>
        <v>0</v>
      </c>
      <c r="H301" s="10" t="str">
        <f t="shared" si="20"/>
        <v/>
      </c>
      <c r="I301" s="28" t="str">
        <f t="shared" si="21"/>
        <v/>
      </c>
    </row>
    <row r="302" spans="1:9" x14ac:dyDescent="0.35">
      <c r="A302" s="5" t="s">
        <v>34</v>
      </c>
      <c r="B302" s="8">
        <v>46753</v>
      </c>
      <c r="C302" s="34">
        <f>SUMIFS(Month_End!$D:$D,Month_End!$A:$A,B302,Month_End!$B:$B,A302)</f>
        <v>0</v>
      </c>
      <c r="D302" s="10">
        <f>SUMIFS(Transactions_PAC!$H:$H,Transactions_PAC!$B:$B,B302,Transactions_PAC!$C:$C,A302)</f>
        <v>60</v>
      </c>
      <c r="E302" s="10">
        <f>SUMIFS(Transactions_Manual!$E:$E,Transactions_Manual!$B:$B,B302,Transactions_Manual!$C:$C,A302)</f>
        <v>0</v>
      </c>
      <c r="F302" s="10">
        <f t="shared" si="19"/>
        <v>60</v>
      </c>
      <c r="G302" s="10">
        <f t="shared" si="22"/>
        <v>0</v>
      </c>
      <c r="H302" s="10" t="str">
        <f t="shared" si="20"/>
        <v/>
      </c>
      <c r="I302" s="28" t="str">
        <f t="shared" si="21"/>
        <v/>
      </c>
    </row>
    <row r="303" spans="1:9" x14ac:dyDescent="0.35">
      <c r="A303" s="5" t="s">
        <v>34</v>
      </c>
      <c r="B303" s="8">
        <v>46784</v>
      </c>
      <c r="C303" s="34">
        <f>SUMIFS(Month_End!$D:$D,Month_End!$A:$A,B303,Month_End!$B:$B,A303)</f>
        <v>0</v>
      </c>
      <c r="D303" s="10">
        <f>SUMIFS(Transactions_PAC!$H:$H,Transactions_PAC!$B:$B,B303,Transactions_PAC!$C:$C,A303)</f>
        <v>60</v>
      </c>
      <c r="E303" s="10">
        <f>SUMIFS(Transactions_Manual!$E:$E,Transactions_Manual!$B:$B,B303,Transactions_Manual!$C:$C,A303)</f>
        <v>0</v>
      </c>
      <c r="F303" s="10">
        <f t="shared" si="19"/>
        <v>60</v>
      </c>
      <c r="G303" s="10">
        <f t="shared" si="22"/>
        <v>0</v>
      </c>
      <c r="H303" s="10" t="str">
        <f t="shared" si="20"/>
        <v/>
      </c>
      <c r="I303" s="28" t="str">
        <f t="shared" si="21"/>
        <v/>
      </c>
    </row>
    <row r="304" spans="1:9" x14ac:dyDescent="0.35">
      <c r="A304" s="5" t="s">
        <v>34</v>
      </c>
      <c r="B304" s="8">
        <v>46813</v>
      </c>
      <c r="C304" s="34">
        <f>SUMIFS(Month_End!$D:$D,Month_End!$A:$A,B304,Month_End!$B:$B,A304)</f>
        <v>0</v>
      </c>
      <c r="D304" s="10">
        <f>SUMIFS(Transactions_PAC!$H:$H,Transactions_PAC!$B:$B,B304,Transactions_PAC!$C:$C,A304)</f>
        <v>60</v>
      </c>
      <c r="E304" s="10">
        <f>SUMIFS(Transactions_Manual!$E:$E,Transactions_Manual!$B:$B,B304,Transactions_Manual!$C:$C,A304)</f>
        <v>0</v>
      </c>
      <c r="F304" s="10">
        <f t="shared" si="19"/>
        <v>60</v>
      </c>
      <c r="G304" s="10">
        <f t="shared" si="22"/>
        <v>0</v>
      </c>
      <c r="H304" s="10" t="str">
        <f t="shared" si="20"/>
        <v/>
      </c>
      <c r="I304" s="28" t="str">
        <f t="shared" si="21"/>
        <v/>
      </c>
    </row>
    <row r="305" spans="1:9" x14ac:dyDescent="0.35">
      <c r="A305" s="5" t="s">
        <v>34</v>
      </c>
      <c r="B305" s="8">
        <v>46844</v>
      </c>
      <c r="C305" s="34">
        <f>SUMIFS(Month_End!$D:$D,Month_End!$A:$A,B305,Month_End!$B:$B,A305)</f>
        <v>0</v>
      </c>
      <c r="D305" s="10">
        <f>SUMIFS(Transactions_PAC!$H:$H,Transactions_PAC!$B:$B,B305,Transactions_PAC!$C:$C,A305)</f>
        <v>60</v>
      </c>
      <c r="E305" s="10">
        <f>SUMIFS(Transactions_Manual!$E:$E,Transactions_Manual!$B:$B,B305,Transactions_Manual!$C:$C,A305)</f>
        <v>0</v>
      </c>
      <c r="F305" s="10">
        <f t="shared" si="19"/>
        <v>60</v>
      </c>
      <c r="G305" s="10">
        <f t="shared" si="22"/>
        <v>0</v>
      </c>
      <c r="H305" s="10" t="str">
        <f t="shared" si="20"/>
        <v/>
      </c>
      <c r="I305" s="28" t="str">
        <f t="shared" si="21"/>
        <v/>
      </c>
    </row>
    <row r="306" spans="1:9" x14ac:dyDescent="0.35">
      <c r="A306" s="5" t="s">
        <v>34</v>
      </c>
      <c r="B306" s="8">
        <v>46874</v>
      </c>
      <c r="C306" s="34">
        <f>SUMIFS(Month_End!$D:$D,Month_End!$A:$A,B306,Month_End!$B:$B,A306)</f>
        <v>0</v>
      </c>
      <c r="D306" s="10">
        <f>SUMIFS(Transactions_PAC!$H:$H,Transactions_PAC!$B:$B,B306,Transactions_PAC!$C:$C,A306)</f>
        <v>60</v>
      </c>
      <c r="E306" s="10">
        <f>SUMIFS(Transactions_Manual!$E:$E,Transactions_Manual!$B:$B,B306,Transactions_Manual!$C:$C,A306)</f>
        <v>0</v>
      </c>
      <c r="F306" s="10">
        <f t="shared" si="19"/>
        <v>60</v>
      </c>
      <c r="G306" s="10">
        <f t="shared" si="22"/>
        <v>0</v>
      </c>
      <c r="H306" s="10" t="str">
        <f t="shared" si="20"/>
        <v/>
      </c>
      <c r="I306" s="28" t="str">
        <f t="shared" si="21"/>
        <v/>
      </c>
    </row>
    <row r="307" spans="1:9" x14ac:dyDescent="0.35">
      <c r="A307" s="5" t="s">
        <v>34</v>
      </c>
      <c r="B307" s="8">
        <v>46905</v>
      </c>
      <c r="C307" s="34">
        <f>SUMIFS(Month_End!$D:$D,Month_End!$A:$A,B307,Month_End!$B:$B,A307)</f>
        <v>0</v>
      </c>
      <c r="D307" s="10">
        <f>SUMIFS(Transactions_PAC!$H:$H,Transactions_PAC!$B:$B,B307,Transactions_PAC!$C:$C,A307)</f>
        <v>60</v>
      </c>
      <c r="E307" s="10">
        <f>SUMIFS(Transactions_Manual!$E:$E,Transactions_Manual!$B:$B,B307,Transactions_Manual!$C:$C,A307)</f>
        <v>0</v>
      </c>
      <c r="F307" s="10">
        <f t="shared" si="19"/>
        <v>60</v>
      </c>
      <c r="G307" s="10">
        <f t="shared" si="22"/>
        <v>0</v>
      </c>
      <c r="H307" s="10" t="str">
        <f t="shared" si="20"/>
        <v/>
      </c>
      <c r="I307" s="28" t="str">
        <f t="shared" si="21"/>
        <v/>
      </c>
    </row>
    <row r="308" spans="1:9" x14ac:dyDescent="0.35">
      <c r="A308" s="5" t="s">
        <v>34</v>
      </c>
      <c r="B308" s="8">
        <v>46935</v>
      </c>
      <c r="C308" s="34">
        <f>SUMIFS(Month_End!$D:$D,Month_End!$A:$A,B308,Month_End!$B:$B,A308)</f>
        <v>0</v>
      </c>
      <c r="D308" s="10">
        <f>SUMIFS(Transactions_PAC!$H:$H,Transactions_PAC!$B:$B,B308,Transactions_PAC!$C:$C,A308)</f>
        <v>60</v>
      </c>
      <c r="E308" s="10">
        <f>SUMIFS(Transactions_Manual!$E:$E,Transactions_Manual!$B:$B,B308,Transactions_Manual!$C:$C,A308)</f>
        <v>0</v>
      </c>
      <c r="F308" s="10">
        <f t="shared" si="19"/>
        <v>60</v>
      </c>
      <c r="G308" s="10">
        <f t="shared" si="22"/>
        <v>0</v>
      </c>
      <c r="H308" s="10" t="str">
        <f t="shared" si="20"/>
        <v/>
      </c>
      <c r="I308" s="28" t="str">
        <f t="shared" si="21"/>
        <v/>
      </c>
    </row>
    <row r="309" spans="1:9" x14ac:dyDescent="0.35">
      <c r="A309" s="5" t="s">
        <v>34</v>
      </c>
      <c r="B309" s="8">
        <v>46966</v>
      </c>
      <c r="C309" s="34">
        <f>SUMIFS(Month_End!$D:$D,Month_End!$A:$A,B309,Month_End!$B:$B,A309)</f>
        <v>0</v>
      </c>
      <c r="D309" s="10">
        <f>SUMIFS(Transactions_PAC!$H:$H,Transactions_PAC!$B:$B,B309,Transactions_PAC!$C:$C,A309)</f>
        <v>60</v>
      </c>
      <c r="E309" s="10">
        <f>SUMIFS(Transactions_Manual!$E:$E,Transactions_Manual!$B:$B,B309,Transactions_Manual!$C:$C,A309)</f>
        <v>0</v>
      </c>
      <c r="F309" s="10">
        <f t="shared" si="19"/>
        <v>60</v>
      </c>
      <c r="G309" s="10">
        <f t="shared" si="22"/>
        <v>0</v>
      </c>
      <c r="H309" s="10" t="str">
        <f t="shared" si="20"/>
        <v/>
      </c>
      <c r="I309" s="28" t="str">
        <f t="shared" si="21"/>
        <v/>
      </c>
    </row>
    <row r="310" spans="1:9" x14ac:dyDescent="0.35">
      <c r="A310" s="5" t="s">
        <v>34</v>
      </c>
      <c r="B310" s="8">
        <v>46997</v>
      </c>
      <c r="C310" s="34">
        <f>SUMIFS(Month_End!$D:$D,Month_End!$A:$A,B310,Month_End!$B:$B,A310)</f>
        <v>0</v>
      </c>
      <c r="D310" s="10">
        <f>SUMIFS(Transactions_PAC!$H:$H,Transactions_PAC!$B:$B,B310,Transactions_PAC!$C:$C,A310)</f>
        <v>60</v>
      </c>
      <c r="E310" s="10">
        <f>SUMIFS(Transactions_Manual!$E:$E,Transactions_Manual!$B:$B,B310,Transactions_Manual!$C:$C,A310)</f>
        <v>0</v>
      </c>
      <c r="F310" s="10">
        <f t="shared" si="19"/>
        <v>60</v>
      </c>
      <c r="G310" s="10">
        <f t="shared" si="22"/>
        <v>0</v>
      </c>
      <c r="H310" s="10" t="str">
        <f t="shared" si="20"/>
        <v/>
      </c>
      <c r="I310" s="28" t="str">
        <f t="shared" si="21"/>
        <v/>
      </c>
    </row>
    <row r="311" spans="1:9" x14ac:dyDescent="0.35">
      <c r="A311" s="5" t="s">
        <v>34</v>
      </c>
      <c r="B311" s="8">
        <v>47027</v>
      </c>
      <c r="C311" s="34">
        <f>SUMIFS(Month_End!$D:$D,Month_End!$A:$A,B311,Month_End!$B:$B,A311)</f>
        <v>0</v>
      </c>
      <c r="D311" s="10">
        <f>SUMIFS(Transactions_PAC!$H:$H,Transactions_PAC!$B:$B,B311,Transactions_PAC!$C:$C,A311)</f>
        <v>60</v>
      </c>
      <c r="E311" s="10">
        <f>SUMIFS(Transactions_Manual!$E:$E,Transactions_Manual!$B:$B,B311,Transactions_Manual!$C:$C,A311)</f>
        <v>0</v>
      </c>
      <c r="F311" s="10">
        <f t="shared" si="19"/>
        <v>60</v>
      </c>
      <c r="G311" s="10">
        <f t="shared" si="22"/>
        <v>0</v>
      </c>
      <c r="H311" s="10" t="str">
        <f t="shared" si="20"/>
        <v/>
      </c>
      <c r="I311" s="28" t="str">
        <f t="shared" si="21"/>
        <v/>
      </c>
    </row>
    <row r="312" spans="1:9" x14ac:dyDescent="0.35">
      <c r="A312" s="5" t="s">
        <v>34</v>
      </c>
      <c r="B312" s="8">
        <v>47058</v>
      </c>
      <c r="C312" s="34">
        <f>SUMIFS(Month_End!$D:$D,Month_End!$A:$A,B312,Month_End!$B:$B,A312)</f>
        <v>0</v>
      </c>
      <c r="D312" s="10">
        <f>SUMIFS(Transactions_PAC!$H:$H,Transactions_PAC!$B:$B,B312,Transactions_PAC!$C:$C,A312)</f>
        <v>60</v>
      </c>
      <c r="E312" s="10">
        <f>SUMIFS(Transactions_Manual!$E:$E,Transactions_Manual!$B:$B,B312,Transactions_Manual!$C:$C,A312)</f>
        <v>0</v>
      </c>
      <c r="F312" s="10">
        <f t="shared" si="19"/>
        <v>60</v>
      </c>
      <c r="G312" s="10">
        <f t="shared" si="22"/>
        <v>0</v>
      </c>
      <c r="H312" s="10" t="str">
        <f t="shared" si="20"/>
        <v/>
      </c>
      <c r="I312" s="28" t="str">
        <f t="shared" si="21"/>
        <v/>
      </c>
    </row>
    <row r="313" spans="1:9" x14ac:dyDescent="0.35">
      <c r="A313" s="5" t="s">
        <v>34</v>
      </c>
      <c r="B313" s="8">
        <v>47088</v>
      </c>
      <c r="C313" s="34">
        <f>SUMIFS(Month_End!$D:$D,Month_End!$A:$A,B313,Month_End!$B:$B,A313)</f>
        <v>0</v>
      </c>
      <c r="D313" s="10">
        <f>SUMIFS(Transactions_PAC!$H:$H,Transactions_PAC!$B:$B,B313,Transactions_PAC!$C:$C,A313)</f>
        <v>60</v>
      </c>
      <c r="E313" s="10">
        <f>SUMIFS(Transactions_Manual!$E:$E,Transactions_Manual!$B:$B,B313,Transactions_Manual!$C:$C,A313)</f>
        <v>0</v>
      </c>
      <c r="F313" s="10">
        <f t="shared" si="19"/>
        <v>60</v>
      </c>
      <c r="G313" s="10">
        <f t="shared" si="22"/>
        <v>0</v>
      </c>
      <c r="H313" s="10" t="str">
        <f t="shared" si="20"/>
        <v/>
      </c>
      <c r="I313" s="28" t="str">
        <f t="shared" si="21"/>
        <v/>
      </c>
    </row>
    <row r="314" spans="1:9" x14ac:dyDescent="0.35">
      <c r="A314" s="5" t="s">
        <v>35</v>
      </c>
      <c r="B314" s="8">
        <v>45931</v>
      </c>
      <c r="C314" s="34">
        <f>SUMIFS(Month_End!$D:$D,Month_End!$A:$A,B314,Month_End!$B:$B,A314)</f>
        <v>34010.01</v>
      </c>
      <c r="D314" s="10">
        <f>SUMIFS(Transactions_PAC!$H:$H,Transactions_PAC!$B:$B,B314,Transactions_PAC!$C:$C,A314)</f>
        <v>0</v>
      </c>
      <c r="E314" s="10">
        <f>SUMIFS(Transactions_Manual!$E:$E,Transactions_Manual!$B:$B,B314,Transactions_Manual!$C:$C,A314)</f>
        <v>0</v>
      </c>
      <c r="F314" s="10">
        <f t="shared" si="19"/>
        <v>0</v>
      </c>
      <c r="G314" s="10"/>
      <c r="H314" s="10" t="str">
        <f t="shared" si="20"/>
        <v/>
      </c>
      <c r="I314" s="28" t="str">
        <f t="shared" si="21"/>
        <v/>
      </c>
    </row>
    <row r="315" spans="1:9" x14ac:dyDescent="0.35">
      <c r="A315" s="5" t="s">
        <v>35</v>
      </c>
      <c r="B315" s="8">
        <v>45962</v>
      </c>
      <c r="C315" s="34">
        <f>SUMIFS(Month_End!$D:$D,Month_End!$A:$A,B315,Month_End!$B:$B,A315)</f>
        <v>35690.22</v>
      </c>
      <c r="D315" s="10">
        <f>SUMIFS(Transactions_PAC!$H:$H,Transactions_PAC!$B:$B,B315,Transactions_PAC!$C:$C,A315)</f>
        <v>0</v>
      </c>
      <c r="E315" s="10">
        <f>SUMIFS(Transactions_Manual!$E:$E,Transactions_Manual!$B:$B,B315,Transactions_Manual!$C:$C,A315)</f>
        <v>0</v>
      </c>
      <c r="F315" s="10">
        <f t="shared" si="19"/>
        <v>0</v>
      </c>
      <c r="G315" s="10">
        <f t="shared" ref="G315:G352" si="23">C314</f>
        <v>34010.01</v>
      </c>
      <c r="H315" s="10">
        <f t="shared" si="20"/>
        <v>1680.2099999999991</v>
      </c>
      <c r="I315" s="28">
        <f t="shared" si="21"/>
        <v>4.9403396235402429E-2</v>
      </c>
    </row>
    <row r="316" spans="1:9" x14ac:dyDescent="0.35">
      <c r="A316" s="5" t="s">
        <v>35</v>
      </c>
      <c r="B316" s="8">
        <v>45992</v>
      </c>
      <c r="C316" s="34">
        <f>SUMIFS(Month_End!$D:$D,Month_End!$A:$A,B316,Month_End!$B:$B,A316)</f>
        <v>37889.160000000003</v>
      </c>
      <c r="D316" s="10">
        <f>SUMIFS(Transactions_PAC!$H:$H,Transactions_PAC!$B:$B,B316,Transactions_PAC!$C:$C,A316)</f>
        <v>0</v>
      </c>
      <c r="E316" s="10">
        <f>SUMIFS(Transactions_Manual!$E:$E,Transactions_Manual!$B:$B,B316,Transactions_Manual!$C:$C,A316)</f>
        <v>0</v>
      </c>
      <c r="F316" s="10">
        <f t="shared" si="19"/>
        <v>0</v>
      </c>
      <c r="G316" s="10">
        <f t="shared" si="23"/>
        <v>35690.22</v>
      </c>
      <c r="H316" s="10">
        <f t="shared" si="20"/>
        <v>2198.9400000000023</v>
      </c>
      <c r="I316" s="28">
        <f t="shared" si="21"/>
        <v>6.1611836519920644E-2</v>
      </c>
    </row>
    <row r="317" spans="1:9" x14ac:dyDescent="0.35">
      <c r="A317" s="5" t="s">
        <v>35</v>
      </c>
      <c r="B317" s="8">
        <v>46023</v>
      </c>
      <c r="C317" s="34">
        <f>SUMIFS(Month_End!$D:$D,Month_End!$A:$A,B317,Month_End!$B:$B,A317)</f>
        <v>38095</v>
      </c>
      <c r="D317" s="10">
        <f>SUMIFS(Transactions_PAC!$H:$H,Transactions_PAC!$B:$B,B317,Transactions_PAC!$C:$C,A317)</f>
        <v>0</v>
      </c>
      <c r="E317" s="10">
        <f>SUMIFS(Transactions_Manual!$E:$E,Transactions_Manual!$B:$B,B317,Transactions_Manual!$C:$C,A317)</f>
        <v>0</v>
      </c>
      <c r="F317" s="10">
        <f t="shared" si="19"/>
        <v>0</v>
      </c>
      <c r="G317" s="10">
        <f t="shared" si="23"/>
        <v>37889.160000000003</v>
      </c>
      <c r="H317" s="10">
        <f t="shared" si="20"/>
        <v>205.83999999999651</v>
      </c>
      <c r="I317" s="28">
        <f t="shared" si="21"/>
        <v>5.4326883995315942E-3</v>
      </c>
    </row>
    <row r="318" spans="1:9" x14ac:dyDescent="0.35">
      <c r="A318" s="5" t="s">
        <v>35</v>
      </c>
      <c r="B318" s="8">
        <v>46054</v>
      </c>
      <c r="C318" s="34">
        <f>SUMIFS(Month_End!$D:$D,Month_End!$A:$A,B318,Month_End!$B:$B,A318)</f>
        <v>37801</v>
      </c>
      <c r="D318" s="10">
        <f>SUMIFS(Transactions_PAC!$H:$H,Transactions_PAC!$B:$B,B318,Transactions_PAC!$C:$C,A318)</f>
        <v>0</v>
      </c>
      <c r="E318" s="10">
        <f>SUMIFS(Transactions_Manual!$E:$E,Transactions_Manual!$B:$B,B318,Transactions_Manual!$C:$C,A318)</f>
        <v>0</v>
      </c>
      <c r="F318" s="10">
        <f t="shared" si="19"/>
        <v>0</v>
      </c>
      <c r="G318" s="10">
        <f t="shared" si="23"/>
        <v>38095</v>
      </c>
      <c r="H318" s="10">
        <f t="shared" si="20"/>
        <v>-294</v>
      </c>
      <c r="I318" s="28">
        <f t="shared" si="21"/>
        <v>-7.7175482346764669E-3</v>
      </c>
    </row>
    <row r="319" spans="1:9" x14ac:dyDescent="0.35">
      <c r="A319" s="5" t="s">
        <v>35</v>
      </c>
      <c r="B319" s="8">
        <v>46082</v>
      </c>
      <c r="C319" s="34">
        <f>SUMIFS(Month_End!$D:$D,Month_End!$A:$A,B319,Month_End!$B:$B,A319)</f>
        <v>39883</v>
      </c>
      <c r="D319" s="10">
        <f>SUMIFS(Transactions_PAC!$H:$H,Transactions_PAC!$B:$B,B319,Transactions_PAC!$C:$C,A319)</f>
        <v>0</v>
      </c>
      <c r="E319" s="10">
        <f>SUMIFS(Transactions_Manual!$E:$E,Transactions_Manual!$B:$B,B319,Transactions_Manual!$C:$C,A319)</f>
        <v>0</v>
      </c>
      <c r="F319" s="10">
        <f t="shared" si="19"/>
        <v>0</v>
      </c>
      <c r="G319" s="10">
        <f t="shared" si="23"/>
        <v>37801</v>
      </c>
      <c r="H319" s="10">
        <f t="shared" si="20"/>
        <v>2082</v>
      </c>
      <c r="I319" s="28">
        <f t="shared" si="21"/>
        <v>5.5077907991852068E-2</v>
      </c>
    </row>
    <row r="320" spans="1:9" x14ac:dyDescent="0.35">
      <c r="A320" s="5" t="s">
        <v>35</v>
      </c>
      <c r="B320" s="8">
        <v>46113</v>
      </c>
      <c r="C320" s="34">
        <f>SUMIFS(Month_End!$D:$D,Month_End!$A:$A,B320,Month_End!$B:$B,A320)</f>
        <v>0</v>
      </c>
      <c r="D320" s="10">
        <f>SUMIFS(Transactions_PAC!$H:$H,Transactions_PAC!$B:$B,B320,Transactions_PAC!$C:$C,A320)</f>
        <v>0</v>
      </c>
      <c r="E320" s="10">
        <f>SUMIFS(Transactions_Manual!$E:$E,Transactions_Manual!$B:$B,B320,Transactions_Manual!$C:$C,A320)</f>
        <v>0</v>
      </c>
      <c r="F320" s="10">
        <f t="shared" si="19"/>
        <v>0</v>
      </c>
      <c r="G320" s="10">
        <f t="shared" si="23"/>
        <v>39883</v>
      </c>
      <c r="H320" s="10" t="str">
        <f t="shared" si="20"/>
        <v/>
      </c>
      <c r="I320" s="28" t="str">
        <f t="shared" si="21"/>
        <v/>
      </c>
    </row>
    <row r="321" spans="1:9" x14ac:dyDescent="0.35">
      <c r="A321" s="5" t="s">
        <v>35</v>
      </c>
      <c r="B321" s="8">
        <v>46143</v>
      </c>
      <c r="C321" s="34">
        <f>SUMIFS(Month_End!$D:$D,Month_End!$A:$A,B321,Month_End!$B:$B,A321)</f>
        <v>0</v>
      </c>
      <c r="D321" s="10">
        <f>SUMIFS(Transactions_PAC!$H:$H,Transactions_PAC!$B:$B,B321,Transactions_PAC!$C:$C,A321)</f>
        <v>0</v>
      </c>
      <c r="E321" s="10">
        <f>SUMIFS(Transactions_Manual!$E:$E,Transactions_Manual!$B:$B,B321,Transactions_Manual!$C:$C,A321)</f>
        <v>0</v>
      </c>
      <c r="F321" s="10">
        <f t="shared" si="19"/>
        <v>0</v>
      </c>
      <c r="G321" s="10">
        <f t="shared" si="23"/>
        <v>0</v>
      </c>
      <c r="H321" s="10" t="str">
        <f t="shared" si="20"/>
        <v/>
      </c>
      <c r="I321" s="28" t="str">
        <f t="shared" si="21"/>
        <v/>
      </c>
    </row>
    <row r="322" spans="1:9" x14ac:dyDescent="0.35">
      <c r="A322" s="5" t="s">
        <v>35</v>
      </c>
      <c r="B322" s="8">
        <v>46174</v>
      </c>
      <c r="C322" s="34">
        <f>SUMIFS(Month_End!$D:$D,Month_End!$A:$A,B322,Month_End!$B:$B,A322)</f>
        <v>0</v>
      </c>
      <c r="D322" s="10">
        <f>SUMIFS(Transactions_PAC!$H:$H,Transactions_PAC!$B:$B,B322,Transactions_PAC!$C:$C,A322)</f>
        <v>0</v>
      </c>
      <c r="E322" s="10">
        <f>SUMIFS(Transactions_Manual!$E:$E,Transactions_Manual!$B:$B,B322,Transactions_Manual!$C:$C,A322)</f>
        <v>0</v>
      </c>
      <c r="F322" s="10">
        <f t="shared" ref="F322:F385" si="24">D322+E322</f>
        <v>0</v>
      </c>
      <c r="G322" s="10">
        <f t="shared" si="23"/>
        <v>0</v>
      </c>
      <c r="H322" s="10" t="str">
        <f t="shared" si="20"/>
        <v/>
      </c>
      <c r="I322" s="28" t="str">
        <f t="shared" si="21"/>
        <v/>
      </c>
    </row>
    <row r="323" spans="1:9" x14ac:dyDescent="0.35">
      <c r="A323" s="5" t="s">
        <v>35</v>
      </c>
      <c r="B323" s="8">
        <v>46204</v>
      </c>
      <c r="C323" s="34">
        <f>SUMIFS(Month_End!$D:$D,Month_End!$A:$A,B323,Month_End!$B:$B,A323)</f>
        <v>0</v>
      </c>
      <c r="D323" s="10">
        <f>SUMIFS(Transactions_PAC!$H:$H,Transactions_PAC!$B:$B,B323,Transactions_PAC!$C:$C,A323)</f>
        <v>0</v>
      </c>
      <c r="E323" s="10">
        <f>SUMIFS(Transactions_Manual!$E:$E,Transactions_Manual!$B:$B,B323,Transactions_Manual!$C:$C,A323)</f>
        <v>0</v>
      </c>
      <c r="F323" s="10">
        <f t="shared" si="24"/>
        <v>0</v>
      </c>
      <c r="G323" s="10">
        <f t="shared" si="23"/>
        <v>0</v>
      </c>
      <c r="H323" s="10" t="str">
        <f t="shared" ref="H323:H352" si="25">IF(OR(C323=0,G323=0),"",C323-G323-F323)</f>
        <v/>
      </c>
      <c r="I323" s="28" t="str">
        <f t="shared" ref="I323:I352" si="26">IF(OR(C323=0,G323=0,H323=0),"",H323/(G323+F323/2))</f>
        <v/>
      </c>
    </row>
    <row r="324" spans="1:9" x14ac:dyDescent="0.35">
      <c r="A324" s="5" t="s">
        <v>35</v>
      </c>
      <c r="B324" s="8">
        <v>46235</v>
      </c>
      <c r="C324" s="34">
        <f>SUMIFS(Month_End!$D:$D,Month_End!$A:$A,B324,Month_End!$B:$B,A324)</f>
        <v>0</v>
      </c>
      <c r="D324" s="10">
        <f>SUMIFS(Transactions_PAC!$H:$H,Transactions_PAC!$B:$B,B324,Transactions_PAC!$C:$C,A324)</f>
        <v>0</v>
      </c>
      <c r="E324" s="10">
        <f>SUMIFS(Transactions_Manual!$E:$E,Transactions_Manual!$B:$B,B324,Transactions_Manual!$C:$C,A324)</f>
        <v>0</v>
      </c>
      <c r="F324" s="10">
        <f t="shared" si="24"/>
        <v>0</v>
      </c>
      <c r="G324" s="10">
        <f t="shared" si="23"/>
        <v>0</v>
      </c>
      <c r="H324" s="10" t="str">
        <f t="shared" si="25"/>
        <v/>
      </c>
      <c r="I324" s="28" t="str">
        <f t="shared" si="26"/>
        <v/>
      </c>
    </row>
    <row r="325" spans="1:9" x14ac:dyDescent="0.35">
      <c r="A325" s="5" t="s">
        <v>35</v>
      </c>
      <c r="B325" s="8">
        <v>46266</v>
      </c>
      <c r="C325" s="34">
        <f>SUMIFS(Month_End!$D:$D,Month_End!$A:$A,B325,Month_End!$B:$B,A325)</f>
        <v>0</v>
      </c>
      <c r="D325" s="10">
        <f>SUMIFS(Transactions_PAC!$H:$H,Transactions_PAC!$B:$B,B325,Transactions_PAC!$C:$C,A325)</f>
        <v>0</v>
      </c>
      <c r="E325" s="10">
        <f>SUMIFS(Transactions_Manual!$E:$E,Transactions_Manual!$B:$B,B325,Transactions_Manual!$C:$C,A325)</f>
        <v>0</v>
      </c>
      <c r="F325" s="10">
        <f t="shared" si="24"/>
        <v>0</v>
      </c>
      <c r="G325" s="10">
        <f t="shared" si="23"/>
        <v>0</v>
      </c>
      <c r="H325" s="10" t="str">
        <f t="shared" si="25"/>
        <v/>
      </c>
      <c r="I325" s="28" t="str">
        <f t="shared" si="26"/>
        <v/>
      </c>
    </row>
    <row r="326" spans="1:9" x14ac:dyDescent="0.35">
      <c r="A326" s="5" t="s">
        <v>35</v>
      </c>
      <c r="B326" s="8">
        <v>46296</v>
      </c>
      <c r="C326" s="34">
        <f>SUMIFS(Month_End!$D:$D,Month_End!$A:$A,B326,Month_End!$B:$B,A326)</f>
        <v>0</v>
      </c>
      <c r="D326" s="10">
        <f>SUMIFS(Transactions_PAC!$H:$H,Transactions_PAC!$B:$B,B326,Transactions_PAC!$C:$C,A326)</f>
        <v>0</v>
      </c>
      <c r="E326" s="10">
        <f>SUMIFS(Transactions_Manual!$E:$E,Transactions_Manual!$B:$B,B326,Transactions_Manual!$C:$C,A326)</f>
        <v>0</v>
      </c>
      <c r="F326" s="10">
        <f t="shared" si="24"/>
        <v>0</v>
      </c>
      <c r="G326" s="10">
        <f t="shared" si="23"/>
        <v>0</v>
      </c>
      <c r="H326" s="10" t="str">
        <f t="shared" si="25"/>
        <v/>
      </c>
      <c r="I326" s="28" t="str">
        <f t="shared" si="26"/>
        <v/>
      </c>
    </row>
    <row r="327" spans="1:9" x14ac:dyDescent="0.35">
      <c r="A327" s="5" t="s">
        <v>35</v>
      </c>
      <c r="B327" s="8">
        <v>46327</v>
      </c>
      <c r="C327" s="34">
        <f>SUMIFS(Month_End!$D:$D,Month_End!$A:$A,B327,Month_End!$B:$B,A327)</f>
        <v>0</v>
      </c>
      <c r="D327" s="10">
        <f>SUMIFS(Transactions_PAC!$H:$H,Transactions_PAC!$B:$B,B327,Transactions_PAC!$C:$C,A327)</f>
        <v>0</v>
      </c>
      <c r="E327" s="10">
        <f>SUMIFS(Transactions_Manual!$E:$E,Transactions_Manual!$B:$B,B327,Transactions_Manual!$C:$C,A327)</f>
        <v>0</v>
      </c>
      <c r="F327" s="10">
        <f t="shared" si="24"/>
        <v>0</v>
      </c>
      <c r="G327" s="10">
        <f t="shared" si="23"/>
        <v>0</v>
      </c>
      <c r="H327" s="10" t="str">
        <f t="shared" si="25"/>
        <v/>
      </c>
      <c r="I327" s="28" t="str">
        <f t="shared" si="26"/>
        <v/>
      </c>
    </row>
    <row r="328" spans="1:9" x14ac:dyDescent="0.35">
      <c r="A328" s="5" t="s">
        <v>35</v>
      </c>
      <c r="B328" s="8">
        <v>46357</v>
      </c>
      <c r="C328" s="34">
        <f>SUMIFS(Month_End!$D:$D,Month_End!$A:$A,B328,Month_End!$B:$B,A328)</f>
        <v>0</v>
      </c>
      <c r="D328" s="10">
        <f>SUMIFS(Transactions_PAC!$H:$H,Transactions_PAC!$B:$B,B328,Transactions_PAC!$C:$C,A328)</f>
        <v>0</v>
      </c>
      <c r="E328" s="10">
        <f>SUMIFS(Transactions_Manual!$E:$E,Transactions_Manual!$B:$B,B328,Transactions_Manual!$C:$C,A328)</f>
        <v>0</v>
      </c>
      <c r="F328" s="10">
        <f t="shared" si="24"/>
        <v>0</v>
      </c>
      <c r="G328" s="10">
        <f t="shared" si="23"/>
        <v>0</v>
      </c>
      <c r="H328" s="10" t="str">
        <f t="shared" si="25"/>
        <v/>
      </c>
      <c r="I328" s="28" t="str">
        <f t="shared" si="26"/>
        <v/>
      </c>
    </row>
    <row r="329" spans="1:9" x14ac:dyDescent="0.35">
      <c r="A329" s="5" t="s">
        <v>35</v>
      </c>
      <c r="B329" s="8">
        <v>46388</v>
      </c>
      <c r="C329" s="34">
        <f>SUMIFS(Month_End!$D:$D,Month_End!$A:$A,B329,Month_End!$B:$B,A329)</f>
        <v>0</v>
      </c>
      <c r="D329" s="10">
        <f>SUMIFS(Transactions_PAC!$H:$H,Transactions_PAC!$B:$B,B329,Transactions_PAC!$C:$C,A329)</f>
        <v>0</v>
      </c>
      <c r="E329" s="10">
        <f>SUMIFS(Transactions_Manual!$E:$E,Transactions_Manual!$B:$B,B329,Transactions_Manual!$C:$C,A329)</f>
        <v>0</v>
      </c>
      <c r="F329" s="10">
        <f t="shared" si="24"/>
        <v>0</v>
      </c>
      <c r="G329" s="10">
        <f t="shared" si="23"/>
        <v>0</v>
      </c>
      <c r="H329" s="10" t="str">
        <f t="shared" si="25"/>
        <v/>
      </c>
      <c r="I329" s="28" t="str">
        <f t="shared" si="26"/>
        <v/>
      </c>
    </row>
    <row r="330" spans="1:9" x14ac:dyDescent="0.35">
      <c r="A330" s="5" t="s">
        <v>35</v>
      </c>
      <c r="B330" s="8">
        <v>46419</v>
      </c>
      <c r="C330" s="34">
        <f>SUMIFS(Month_End!$D:$D,Month_End!$A:$A,B330,Month_End!$B:$B,A330)</f>
        <v>0</v>
      </c>
      <c r="D330" s="10">
        <f>SUMIFS(Transactions_PAC!$H:$H,Transactions_PAC!$B:$B,B330,Transactions_PAC!$C:$C,A330)</f>
        <v>0</v>
      </c>
      <c r="E330" s="10">
        <f>SUMIFS(Transactions_Manual!$E:$E,Transactions_Manual!$B:$B,B330,Transactions_Manual!$C:$C,A330)</f>
        <v>0</v>
      </c>
      <c r="F330" s="10">
        <f t="shared" si="24"/>
        <v>0</v>
      </c>
      <c r="G330" s="10">
        <f t="shared" si="23"/>
        <v>0</v>
      </c>
      <c r="H330" s="10" t="str">
        <f t="shared" si="25"/>
        <v/>
      </c>
      <c r="I330" s="28" t="str">
        <f t="shared" si="26"/>
        <v/>
      </c>
    </row>
    <row r="331" spans="1:9" x14ac:dyDescent="0.35">
      <c r="A331" s="5" t="s">
        <v>35</v>
      </c>
      <c r="B331" s="8">
        <v>46447</v>
      </c>
      <c r="C331" s="34">
        <f>SUMIFS(Month_End!$D:$D,Month_End!$A:$A,B331,Month_End!$B:$B,A331)</f>
        <v>0</v>
      </c>
      <c r="D331" s="10">
        <f>SUMIFS(Transactions_PAC!$H:$H,Transactions_PAC!$B:$B,B331,Transactions_PAC!$C:$C,A331)</f>
        <v>0</v>
      </c>
      <c r="E331" s="10">
        <f>SUMIFS(Transactions_Manual!$E:$E,Transactions_Manual!$B:$B,B331,Transactions_Manual!$C:$C,A331)</f>
        <v>0</v>
      </c>
      <c r="F331" s="10">
        <f t="shared" si="24"/>
        <v>0</v>
      </c>
      <c r="G331" s="10">
        <f t="shared" si="23"/>
        <v>0</v>
      </c>
      <c r="H331" s="10" t="str">
        <f t="shared" si="25"/>
        <v/>
      </c>
      <c r="I331" s="28" t="str">
        <f t="shared" si="26"/>
        <v/>
      </c>
    </row>
    <row r="332" spans="1:9" x14ac:dyDescent="0.35">
      <c r="A332" s="5" t="s">
        <v>35</v>
      </c>
      <c r="B332" s="8">
        <v>46478</v>
      </c>
      <c r="C332" s="34">
        <f>SUMIFS(Month_End!$D:$D,Month_End!$A:$A,B332,Month_End!$B:$B,A332)</f>
        <v>0</v>
      </c>
      <c r="D332" s="10">
        <f>SUMIFS(Transactions_PAC!$H:$H,Transactions_PAC!$B:$B,B332,Transactions_PAC!$C:$C,A332)</f>
        <v>0</v>
      </c>
      <c r="E332" s="10">
        <f>SUMIFS(Transactions_Manual!$E:$E,Transactions_Manual!$B:$B,B332,Transactions_Manual!$C:$C,A332)</f>
        <v>0</v>
      </c>
      <c r="F332" s="10">
        <f t="shared" si="24"/>
        <v>0</v>
      </c>
      <c r="G332" s="10">
        <f t="shared" si="23"/>
        <v>0</v>
      </c>
      <c r="H332" s="10" t="str">
        <f t="shared" si="25"/>
        <v/>
      </c>
      <c r="I332" s="28" t="str">
        <f t="shared" si="26"/>
        <v/>
      </c>
    </row>
    <row r="333" spans="1:9" x14ac:dyDescent="0.35">
      <c r="A333" s="5" t="s">
        <v>35</v>
      </c>
      <c r="B333" s="8">
        <v>46508</v>
      </c>
      <c r="C333" s="34">
        <f>SUMIFS(Month_End!$D:$D,Month_End!$A:$A,B333,Month_End!$B:$B,A333)</f>
        <v>0</v>
      </c>
      <c r="D333" s="10">
        <f>SUMIFS(Transactions_PAC!$H:$H,Transactions_PAC!$B:$B,B333,Transactions_PAC!$C:$C,A333)</f>
        <v>0</v>
      </c>
      <c r="E333" s="10">
        <f>SUMIFS(Transactions_Manual!$E:$E,Transactions_Manual!$B:$B,B333,Transactions_Manual!$C:$C,A333)</f>
        <v>0</v>
      </c>
      <c r="F333" s="10">
        <f t="shared" si="24"/>
        <v>0</v>
      </c>
      <c r="G333" s="10">
        <f t="shared" si="23"/>
        <v>0</v>
      </c>
      <c r="H333" s="10" t="str">
        <f t="shared" si="25"/>
        <v/>
      </c>
      <c r="I333" s="28" t="str">
        <f t="shared" si="26"/>
        <v/>
      </c>
    </row>
    <row r="334" spans="1:9" x14ac:dyDescent="0.35">
      <c r="A334" s="5" t="s">
        <v>35</v>
      </c>
      <c r="B334" s="8">
        <v>46539</v>
      </c>
      <c r="C334" s="34">
        <f>SUMIFS(Month_End!$D:$D,Month_End!$A:$A,B334,Month_End!$B:$B,A334)</f>
        <v>0</v>
      </c>
      <c r="D334" s="10">
        <f>SUMIFS(Transactions_PAC!$H:$H,Transactions_PAC!$B:$B,B334,Transactions_PAC!$C:$C,A334)</f>
        <v>0</v>
      </c>
      <c r="E334" s="10">
        <f>SUMIFS(Transactions_Manual!$E:$E,Transactions_Manual!$B:$B,B334,Transactions_Manual!$C:$C,A334)</f>
        <v>0</v>
      </c>
      <c r="F334" s="10">
        <f t="shared" si="24"/>
        <v>0</v>
      </c>
      <c r="G334" s="10">
        <f t="shared" si="23"/>
        <v>0</v>
      </c>
      <c r="H334" s="10" t="str">
        <f t="shared" si="25"/>
        <v/>
      </c>
      <c r="I334" s="28" t="str">
        <f t="shared" si="26"/>
        <v/>
      </c>
    </row>
    <row r="335" spans="1:9" x14ac:dyDescent="0.35">
      <c r="A335" s="5" t="s">
        <v>35</v>
      </c>
      <c r="B335" s="8">
        <v>46569</v>
      </c>
      <c r="C335" s="34">
        <f>SUMIFS(Month_End!$D:$D,Month_End!$A:$A,B335,Month_End!$B:$B,A335)</f>
        <v>0</v>
      </c>
      <c r="D335" s="10">
        <f>SUMIFS(Transactions_PAC!$H:$H,Transactions_PAC!$B:$B,B335,Transactions_PAC!$C:$C,A335)</f>
        <v>0</v>
      </c>
      <c r="E335" s="10">
        <f>SUMIFS(Transactions_Manual!$E:$E,Transactions_Manual!$B:$B,B335,Transactions_Manual!$C:$C,A335)</f>
        <v>0</v>
      </c>
      <c r="F335" s="10">
        <f t="shared" si="24"/>
        <v>0</v>
      </c>
      <c r="G335" s="10">
        <f t="shared" si="23"/>
        <v>0</v>
      </c>
      <c r="H335" s="10" t="str">
        <f t="shared" si="25"/>
        <v/>
      </c>
      <c r="I335" s="28" t="str">
        <f t="shared" si="26"/>
        <v/>
      </c>
    </row>
    <row r="336" spans="1:9" x14ac:dyDescent="0.35">
      <c r="A336" s="5" t="s">
        <v>35</v>
      </c>
      <c r="B336" s="8">
        <v>46600</v>
      </c>
      <c r="C336" s="34">
        <f>SUMIFS(Month_End!$D:$D,Month_End!$A:$A,B336,Month_End!$B:$B,A336)</f>
        <v>0</v>
      </c>
      <c r="D336" s="10">
        <f>SUMIFS(Transactions_PAC!$H:$H,Transactions_PAC!$B:$B,B336,Transactions_PAC!$C:$C,A336)</f>
        <v>0</v>
      </c>
      <c r="E336" s="10">
        <f>SUMIFS(Transactions_Manual!$E:$E,Transactions_Manual!$B:$B,B336,Transactions_Manual!$C:$C,A336)</f>
        <v>0</v>
      </c>
      <c r="F336" s="10">
        <f t="shared" si="24"/>
        <v>0</v>
      </c>
      <c r="G336" s="10">
        <f t="shared" si="23"/>
        <v>0</v>
      </c>
      <c r="H336" s="10" t="str">
        <f t="shared" si="25"/>
        <v/>
      </c>
      <c r="I336" s="28" t="str">
        <f t="shared" si="26"/>
        <v/>
      </c>
    </row>
    <row r="337" spans="1:9" x14ac:dyDescent="0.35">
      <c r="A337" s="5" t="s">
        <v>35</v>
      </c>
      <c r="B337" s="8">
        <v>46631</v>
      </c>
      <c r="C337" s="34">
        <f>SUMIFS(Month_End!$D:$D,Month_End!$A:$A,B337,Month_End!$B:$B,A337)</f>
        <v>0</v>
      </c>
      <c r="D337" s="10">
        <f>SUMIFS(Transactions_PAC!$H:$H,Transactions_PAC!$B:$B,B337,Transactions_PAC!$C:$C,A337)</f>
        <v>0</v>
      </c>
      <c r="E337" s="10">
        <f>SUMIFS(Transactions_Manual!$E:$E,Transactions_Manual!$B:$B,B337,Transactions_Manual!$C:$C,A337)</f>
        <v>0</v>
      </c>
      <c r="F337" s="10">
        <f t="shared" si="24"/>
        <v>0</v>
      </c>
      <c r="G337" s="10">
        <f t="shared" si="23"/>
        <v>0</v>
      </c>
      <c r="H337" s="10" t="str">
        <f t="shared" si="25"/>
        <v/>
      </c>
      <c r="I337" s="28" t="str">
        <f t="shared" si="26"/>
        <v/>
      </c>
    </row>
    <row r="338" spans="1:9" x14ac:dyDescent="0.35">
      <c r="A338" s="5" t="s">
        <v>35</v>
      </c>
      <c r="B338" s="8">
        <v>46661</v>
      </c>
      <c r="C338" s="34">
        <f>SUMIFS(Month_End!$D:$D,Month_End!$A:$A,B338,Month_End!$B:$B,A338)</f>
        <v>0</v>
      </c>
      <c r="D338" s="10">
        <f>SUMIFS(Transactions_PAC!$H:$H,Transactions_PAC!$B:$B,B338,Transactions_PAC!$C:$C,A338)</f>
        <v>0</v>
      </c>
      <c r="E338" s="10">
        <f>SUMIFS(Transactions_Manual!$E:$E,Transactions_Manual!$B:$B,B338,Transactions_Manual!$C:$C,A338)</f>
        <v>0</v>
      </c>
      <c r="F338" s="10">
        <f t="shared" si="24"/>
        <v>0</v>
      </c>
      <c r="G338" s="10">
        <f t="shared" si="23"/>
        <v>0</v>
      </c>
      <c r="H338" s="10" t="str">
        <f t="shared" si="25"/>
        <v/>
      </c>
      <c r="I338" s="28" t="str">
        <f t="shared" si="26"/>
        <v/>
      </c>
    </row>
    <row r="339" spans="1:9" x14ac:dyDescent="0.35">
      <c r="A339" s="5" t="s">
        <v>35</v>
      </c>
      <c r="B339" s="8">
        <v>46692</v>
      </c>
      <c r="C339" s="34">
        <f>SUMIFS(Month_End!$D:$D,Month_End!$A:$A,B339,Month_End!$B:$B,A339)</f>
        <v>0</v>
      </c>
      <c r="D339" s="10">
        <f>SUMIFS(Transactions_PAC!$H:$H,Transactions_PAC!$B:$B,B339,Transactions_PAC!$C:$C,A339)</f>
        <v>0</v>
      </c>
      <c r="E339" s="10">
        <f>SUMIFS(Transactions_Manual!$E:$E,Transactions_Manual!$B:$B,B339,Transactions_Manual!$C:$C,A339)</f>
        <v>0</v>
      </c>
      <c r="F339" s="10">
        <f t="shared" si="24"/>
        <v>0</v>
      </c>
      <c r="G339" s="10">
        <f t="shared" si="23"/>
        <v>0</v>
      </c>
      <c r="H339" s="10" t="str">
        <f t="shared" si="25"/>
        <v/>
      </c>
      <c r="I339" s="28" t="str">
        <f t="shared" si="26"/>
        <v/>
      </c>
    </row>
    <row r="340" spans="1:9" x14ac:dyDescent="0.35">
      <c r="A340" s="5" t="s">
        <v>35</v>
      </c>
      <c r="B340" s="8">
        <v>46722</v>
      </c>
      <c r="C340" s="34">
        <f>SUMIFS(Month_End!$D:$D,Month_End!$A:$A,B340,Month_End!$B:$B,A340)</f>
        <v>0</v>
      </c>
      <c r="D340" s="10">
        <f>SUMIFS(Transactions_PAC!$H:$H,Transactions_PAC!$B:$B,B340,Transactions_PAC!$C:$C,A340)</f>
        <v>0</v>
      </c>
      <c r="E340" s="10">
        <f>SUMIFS(Transactions_Manual!$E:$E,Transactions_Manual!$B:$B,B340,Transactions_Manual!$C:$C,A340)</f>
        <v>0</v>
      </c>
      <c r="F340" s="10">
        <f t="shared" si="24"/>
        <v>0</v>
      </c>
      <c r="G340" s="10">
        <f t="shared" si="23"/>
        <v>0</v>
      </c>
      <c r="H340" s="10" t="str">
        <f t="shared" si="25"/>
        <v/>
      </c>
      <c r="I340" s="28" t="str">
        <f t="shared" si="26"/>
        <v/>
      </c>
    </row>
    <row r="341" spans="1:9" x14ac:dyDescent="0.35">
      <c r="A341" s="5" t="s">
        <v>35</v>
      </c>
      <c r="B341" s="8">
        <v>46753</v>
      </c>
      <c r="C341" s="34">
        <f>SUMIFS(Month_End!$D:$D,Month_End!$A:$A,B341,Month_End!$B:$B,A341)</f>
        <v>0</v>
      </c>
      <c r="D341" s="10">
        <f>SUMIFS(Transactions_PAC!$H:$H,Transactions_PAC!$B:$B,B341,Transactions_PAC!$C:$C,A341)</f>
        <v>0</v>
      </c>
      <c r="E341" s="10">
        <f>SUMIFS(Transactions_Manual!$E:$E,Transactions_Manual!$B:$B,B341,Transactions_Manual!$C:$C,A341)</f>
        <v>0</v>
      </c>
      <c r="F341" s="10">
        <f t="shared" si="24"/>
        <v>0</v>
      </c>
      <c r="G341" s="10">
        <f t="shared" si="23"/>
        <v>0</v>
      </c>
      <c r="H341" s="10" t="str">
        <f t="shared" si="25"/>
        <v/>
      </c>
      <c r="I341" s="28" t="str">
        <f t="shared" si="26"/>
        <v/>
      </c>
    </row>
    <row r="342" spans="1:9" x14ac:dyDescent="0.35">
      <c r="A342" s="5" t="s">
        <v>35</v>
      </c>
      <c r="B342" s="8">
        <v>46784</v>
      </c>
      <c r="C342" s="34">
        <f>SUMIFS(Month_End!$D:$D,Month_End!$A:$A,B342,Month_End!$B:$B,A342)</f>
        <v>0</v>
      </c>
      <c r="D342" s="10">
        <f>SUMIFS(Transactions_PAC!$H:$H,Transactions_PAC!$B:$B,B342,Transactions_PAC!$C:$C,A342)</f>
        <v>0</v>
      </c>
      <c r="E342" s="10">
        <f>SUMIFS(Transactions_Manual!$E:$E,Transactions_Manual!$B:$B,B342,Transactions_Manual!$C:$C,A342)</f>
        <v>0</v>
      </c>
      <c r="F342" s="10">
        <f t="shared" si="24"/>
        <v>0</v>
      </c>
      <c r="G342" s="10">
        <f t="shared" si="23"/>
        <v>0</v>
      </c>
      <c r="H342" s="10" t="str">
        <f t="shared" si="25"/>
        <v/>
      </c>
      <c r="I342" s="28" t="str">
        <f t="shared" si="26"/>
        <v/>
      </c>
    </row>
    <row r="343" spans="1:9" x14ac:dyDescent="0.35">
      <c r="A343" s="5" t="s">
        <v>35</v>
      </c>
      <c r="B343" s="8">
        <v>46813</v>
      </c>
      <c r="C343" s="34">
        <f>SUMIFS(Month_End!$D:$D,Month_End!$A:$A,B343,Month_End!$B:$B,A343)</f>
        <v>0</v>
      </c>
      <c r="D343" s="10">
        <f>SUMIFS(Transactions_PAC!$H:$H,Transactions_PAC!$B:$B,B343,Transactions_PAC!$C:$C,A343)</f>
        <v>0</v>
      </c>
      <c r="E343" s="10">
        <f>SUMIFS(Transactions_Manual!$E:$E,Transactions_Manual!$B:$B,B343,Transactions_Manual!$C:$C,A343)</f>
        <v>0</v>
      </c>
      <c r="F343" s="10">
        <f t="shared" si="24"/>
        <v>0</v>
      </c>
      <c r="G343" s="10">
        <f t="shared" si="23"/>
        <v>0</v>
      </c>
      <c r="H343" s="10" t="str">
        <f t="shared" si="25"/>
        <v/>
      </c>
      <c r="I343" s="28" t="str">
        <f t="shared" si="26"/>
        <v/>
      </c>
    </row>
    <row r="344" spans="1:9" x14ac:dyDescent="0.35">
      <c r="A344" s="5" t="s">
        <v>35</v>
      </c>
      <c r="B344" s="8">
        <v>46844</v>
      </c>
      <c r="C344" s="34">
        <f>SUMIFS(Month_End!$D:$D,Month_End!$A:$A,B344,Month_End!$B:$B,A344)</f>
        <v>0</v>
      </c>
      <c r="D344" s="10">
        <f>SUMIFS(Transactions_PAC!$H:$H,Transactions_PAC!$B:$B,B344,Transactions_PAC!$C:$C,A344)</f>
        <v>0</v>
      </c>
      <c r="E344" s="10">
        <f>SUMIFS(Transactions_Manual!$E:$E,Transactions_Manual!$B:$B,B344,Transactions_Manual!$C:$C,A344)</f>
        <v>0</v>
      </c>
      <c r="F344" s="10">
        <f t="shared" si="24"/>
        <v>0</v>
      </c>
      <c r="G344" s="10">
        <f t="shared" si="23"/>
        <v>0</v>
      </c>
      <c r="H344" s="10" t="str">
        <f t="shared" si="25"/>
        <v/>
      </c>
      <c r="I344" s="28" t="str">
        <f t="shared" si="26"/>
        <v/>
      </c>
    </row>
    <row r="345" spans="1:9" x14ac:dyDescent="0.35">
      <c r="A345" s="5" t="s">
        <v>35</v>
      </c>
      <c r="B345" s="8">
        <v>46874</v>
      </c>
      <c r="C345" s="34">
        <f>SUMIFS(Month_End!$D:$D,Month_End!$A:$A,B345,Month_End!$B:$B,A345)</f>
        <v>0</v>
      </c>
      <c r="D345" s="10">
        <f>SUMIFS(Transactions_PAC!$H:$H,Transactions_PAC!$B:$B,B345,Transactions_PAC!$C:$C,A345)</f>
        <v>0</v>
      </c>
      <c r="E345" s="10">
        <f>SUMIFS(Transactions_Manual!$E:$E,Transactions_Manual!$B:$B,B345,Transactions_Manual!$C:$C,A345)</f>
        <v>0</v>
      </c>
      <c r="F345" s="10">
        <f t="shared" si="24"/>
        <v>0</v>
      </c>
      <c r="G345" s="10">
        <f t="shared" si="23"/>
        <v>0</v>
      </c>
      <c r="H345" s="10" t="str">
        <f t="shared" si="25"/>
        <v/>
      </c>
      <c r="I345" s="28" t="str">
        <f t="shared" si="26"/>
        <v/>
      </c>
    </row>
    <row r="346" spans="1:9" x14ac:dyDescent="0.35">
      <c r="A346" s="5" t="s">
        <v>35</v>
      </c>
      <c r="B346" s="8">
        <v>46905</v>
      </c>
      <c r="C346" s="34">
        <f>SUMIFS(Month_End!$D:$D,Month_End!$A:$A,B346,Month_End!$B:$B,A346)</f>
        <v>0</v>
      </c>
      <c r="D346" s="10">
        <f>SUMIFS(Transactions_PAC!$H:$H,Transactions_PAC!$B:$B,B346,Transactions_PAC!$C:$C,A346)</f>
        <v>0</v>
      </c>
      <c r="E346" s="10">
        <f>SUMIFS(Transactions_Manual!$E:$E,Transactions_Manual!$B:$B,B346,Transactions_Manual!$C:$C,A346)</f>
        <v>0</v>
      </c>
      <c r="F346" s="10">
        <f t="shared" si="24"/>
        <v>0</v>
      </c>
      <c r="G346" s="10">
        <f t="shared" si="23"/>
        <v>0</v>
      </c>
      <c r="H346" s="10" t="str">
        <f t="shared" si="25"/>
        <v/>
      </c>
      <c r="I346" s="28" t="str">
        <f t="shared" si="26"/>
        <v/>
      </c>
    </row>
    <row r="347" spans="1:9" x14ac:dyDescent="0.35">
      <c r="A347" s="5" t="s">
        <v>35</v>
      </c>
      <c r="B347" s="8">
        <v>46935</v>
      </c>
      <c r="C347" s="34">
        <f>SUMIFS(Month_End!$D:$D,Month_End!$A:$A,B347,Month_End!$B:$B,A347)</f>
        <v>0</v>
      </c>
      <c r="D347" s="10">
        <f>SUMIFS(Transactions_PAC!$H:$H,Transactions_PAC!$B:$B,B347,Transactions_PAC!$C:$C,A347)</f>
        <v>0</v>
      </c>
      <c r="E347" s="10">
        <f>SUMIFS(Transactions_Manual!$E:$E,Transactions_Manual!$B:$B,B347,Transactions_Manual!$C:$C,A347)</f>
        <v>0</v>
      </c>
      <c r="F347" s="10">
        <f t="shared" si="24"/>
        <v>0</v>
      </c>
      <c r="G347" s="10">
        <f t="shared" si="23"/>
        <v>0</v>
      </c>
      <c r="H347" s="10" t="str">
        <f t="shared" si="25"/>
        <v/>
      </c>
      <c r="I347" s="28" t="str">
        <f t="shared" si="26"/>
        <v/>
      </c>
    </row>
    <row r="348" spans="1:9" x14ac:dyDescent="0.35">
      <c r="A348" s="5" t="s">
        <v>35</v>
      </c>
      <c r="B348" s="8">
        <v>46966</v>
      </c>
      <c r="C348" s="34">
        <f>SUMIFS(Month_End!$D:$D,Month_End!$A:$A,B348,Month_End!$B:$B,A348)</f>
        <v>0</v>
      </c>
      <c r="D348" s="10">
        <f>SUMIFS(Transactions_PAC!$H:$H,Transactions_PAC!$B:$B,B348,Transactions_PAC!$C:$C,A348)</f>
        <v>0</v>
      </c>
      <c r="E348" s="10">
        <f>SUMIFS(Transactions_Manual!$E:$E,Transactions_Manual!$B:$B,B348,Transactions_Manual!$C:$C,A348)</f>
        <v>0</v>
      </c>
      <c r="F348" s="10">
        <f t="shared" si="24"/>
        <v>0</v>
      </c>
      <c r="G348" s="10">
        <f t="shared" si="23"/>
        <v>0</v>
      </c>
      <c r="H348" s="10" t="str">
        <f t="shared" si="25"/>
        <v/>
      </c>
      <c r="I348" s="28" t="str">
        <f t="shared" si="26"/>
        <v/>
      </c>
    </row>
    <row r="349" spans="1:9" x14ac:dyDescent="0.35">
      <c r="A349" s="5" t="s">
        <v>35</v>
      </c>
      <c r="B349" s="8">
        <v>46997</v>
      </c>
      <c r="C349" s="34">
        <f>SUMIFS(Month_End!$D:$D,Month_End!$A:$A,B349,Month_End!$B:$B,A349)</f>
        <v>0</v>
      </c>
      <c r="D349" s="10">
        <f>SUMIFS(Transactions_PAC!$H:$H,Transactions_PAC!$B:$B,B349,Transactions_PAC!$C:$C,A349)</f>
        <v>0</v>
      </c>
      <c r="E349" s="10">
        <f>SUMIFS(Transactions_Manual!$E:$E,Transactions_Manual!$B:$B,B349,Transactions_Manual!$C:$C,A349)</f>
        <v>0</v>
      </c>
      <c r="F349" s="10">
        <f t="shared" si="24"/>
        <v>0</v>
      </c>
      <c r="G349" s="10">
        <f t="shared" si="23"/>
        <v>0</v>
      </c>
      <c r="H349" s="10" t="str">
        <f t="shared" si="25"/>
        <v/>
      </c>
      <c r="I349" s="28" t="str">
        <f t="shared" si="26"/>
        <v/>
      </c>
    </row>
    <row r="350" spans="1:9" x14ac:dyDescent="0.35">
      <c r="A350" s="5" t="s">
        <v>35</v>
      </c>
      <c r="B350" s="8">
        <v>47027</v>
      </c>
      <c r="C350" s="34">
        <f>SUMIFS(Month_End!$D:$D,Month_End!$A:$A,B350,Month_End!$B:$B,A350)</f>
        <v>0</v>
      </c>
      <c r="D350" s="10">
        <f>SUMIFS(Transactions_PAC!$H:$H,Transactions_PAC!$B:$B,B350,Transactions_PAC!$C:$C,A350)</f>
        <v>0</v>
      </c>
      <c r="E350" s="10">
        <f>SUMIFS(Transactions_Manual!$E:$E,Transactions_Manual!$B:$B,B350,Transactions_Manual!$C:$C,A350)</f>
        <v>0</v>
      </c>
      <c r="F350" s="10">
        <f t="shared" si="24"/>
        <v>0</v>
      </c>
      <c r="G350" s="10">
        <f t="shared" si="23"/>
        <v>0</v>
      </c>
      <c r="H350" s="10" t="str">
        <f t="shared" si="25"/>
        <v/>
      </c>
      <c r="I350" s="28" t="str">
        <f t="shared" si="26"/>
        <v/>
      </c>
    </row>
    <row r="351" spans="1:9" x14ac:dyDescent="0.35">
      <c r="A351" s="5" t="s">
        <v>35</v>
      </c>
      <c r="B351" s="8">
        <v>47058</v>
      </c>
      <c r="C351" s="34">
        <f>SUMIFS(Month_End!$D:$D,Month_End!$A:$A,B351,Month_End!$B:$B,A351)</f>
        <v>0</v>
      </c>
      <c r="D351" s="10">
        <f>SUMIFS(Transactions_PAC!$H:$H,Transactions_PAC!$B:$B,B351,Transactions_PAC!$C:$C,A351)</f>
        <v>0</v>
      </c>
      <c r="E351" s="10">
        <f>SUMIFS(Transactions_Manual!$E:$E,Transactions_Manual!$B:$B,B351,Transactions_Manual!$C:$C,A351)</f>
        <v>0</v>
      </c>
      <c r="F351" s="10">
        <f t="shared" si="24"/>
        <v>0</v>
      </c>
      <c r="G351" s="10">
        <f t="shared" si="23"/>
        <v>0</v>
      </c>
      <c r="H351" s="10" t="str">
        <f t="shared" si="25"/>
        <v/>
      </c>
      <c r="I351" s="28" t="str">
        <f t="shared" si="26"/>
        <v/>
      </c>
    </row>
    <row r="352" spans="1:9" x14ac:dyDescent="0.35">
      <c r="A352" s="5" t="s">
        <v>35</v>
      </c>
      <c r="B352" s="8">
        <v>47088</v>
      </c>
      <c r="C352" s="34">
        <f>SUMIFS(Month_End!$D:$D,Month_End!$A:$A,B352,Month_End!$B:$B,A352)</f>
        <v>0</v>
      </c>
      <c r="D352" s="10">
        <f>SUMIFS(Transactions_PAC!$H:$H,Transactions_PAC!$B:$B,B352,Transactions_PAC!$C:$C,A352)</f>
        <v>0</v>
      </c>
      <c r="E352" s="10">
        <f>SUMIFS(Transactions_Manual!$E:$E,Transactions_Manual!$B:$B,B352,Transactions_Manual!$C:$C,A352)</f>
        <v>0</v>
      </c>
      <c r="F352" s="10">
        <f t="shared" si="24"/>
        <v>0</v>
      </c>
      <c r="G352" s="10">
        <f t="shared" si="23"/>
        <v>0</v>
      </c>
      <c r="H352" s="10" t="str">
        <f t="shared" si="25"/>
        <v/>
      </c>
      <c r="I352" s="28" t="str">
        <f t="shared" si="26"/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7"/>
  <sheetViews>
    <sheetView showGridLines="0" tabSelected="1" workbookViewId="0">
      <pane ySplit="4" topLeftCell="A5" activePane="bottomLeft" state="frozen"/>
      <selection pane="bottomLeft" activeCell="D2" sqref="D2"/>
    </sheetView>
  </sheetViews>
  <sheetFormatPr defaultRowHeight="14.5" x14ac:dyDescent="0.35"/>
  <cols>
    <col min="1" max="1" width="24" customWidth="1"/>
    <col min="2" max="3" width="14" customWidth="1"/>
    <col min="4" max="4" width="10" customWidth="1"/>
    <col min="5" max="5" width="18" customWidth="1"/>
    <col min="6" max="6" width="14" customWidth="1"/>
    <col min="7" max="7" width="3" customWidth="1"/>
    <col min="8" max="8" width="10" customWidth="1"/>
    <col min="9" max="9" width="12" customWidth="1"/>
    <col min="10" max="10" width="10" hidden="1" customWidth="1"/>
    <col min="11" max="12" width="14" hidden="1" customWidth="1"/>
    <col min="13" max="13" width="16" hidden="1" customWidth="1"/>
    <col min="14" max="15" width="14" hidden="1" customWidth="1"/>
  </cols>
  <sheetData>
    <row r="1" spans="1:15" ht="21" x14ac:dyDescent="0.5">
      <c r="A1" s="14" t="s">
        <v>57</v>
      </c>
      <c r="J1" s="7" t="s">
        <v>37</v>
      </c>
      <c r="K1" s="7" t="s">
        <v>58</v>
      </c>
      <c r="L1" s="7" t="s">
        <v>35</v>
      </c>
      <c r="M1" s="7" t="s">
        <v>59</v>
      </c>
      <c r="N1" s="7" t="s">
        <v>60</v>
      </c>
      <c r="O1" s="7" t="s">
        <v>61</v>
      </c>
    </row>
    <row r="2" spans="1:15" x14ac:dyDescent="0.35">
      <c r="J2" s="29">
        <v>45931</v>
      </c>
      <c r="K2" s="15">
        <f>SUMIFS(Summary!$C:$C,Summary!$B:$B,$J2,Summary!$A:$A,"&lt;&gt;Savings")</f>
        <v>22182.2</v>
      </c>
      <c r="L2" s="15">
        <f>SUMIFS(Summary!$C:$C,Summary!$B:$B,$J2,Summary!$A:$A,"Savings")</f>
        <v>34010.01</v>
      </c>
      <c r="M2" s="15">
        <f t="shared" ref="M2:M37" si="0">K2+L2</f>
        <v>56192.210000000006</v>
      </c>
      <c r="N2" s="15">
        <f>SUMIFS(Summary!$F:$F,Summary!$B:$B,$J2,Summary!$A:$A,"&lt;&gt;Savings")</f>
        <v>1208.3899999999999</v>
      </c>
      <c r="O2" s="15">
        <f>SUMIFS(Summary!$H:$H,Summary!$B:$B,$J2,Summary!$A:$A,"&lt;&gt;Savings")</f>
        <v>0</v>
      </c>
    </row>
    <row r="3" spans="1:15" x14ac:dyDescent="0.35">
      <c r="A3" s="16" t="s">
        <v>62</v>
      </c>
      <c r="B3" s="30">
        <v>46082</v>
      </c>
      <c r="J3" s="29">
        <v>45962</v>
      </c>
      <c r="K3" s="15">
        <f>SUMIFS(Summary!$C:$C,Summary!$B:$B,$J3,Summary!$A:$A,"&lt;&gt;Savings")</f>
        <v>22410.76</v>
      </c>
      <c r="L3" s="15">
        <f>SUMIFS(Summary!$C:$C,Summary!$B:$B,$J3,Summary!$A:$A,"Savings")</f>
        <v>35690.22</v>
      </c>
      <c r="M3" s="15">
        <f t="shared" si="0"/>
        <v>58100.979999999996</v>
      </c>
      <c r="N3" s="15">
        <f>SUMIFS(Summary!$F:$F,Summary!$B:$B,$J3,Summary!$A:$A,"&lt;&gt;Savings")</f>
        <v>802</v>
      </c>
      <c r="O3" s="15">
        <f>SUMIFS(Summary!$H:$H,Summary!$B:$B,$J3,Summary!$A:$A,"&lt;&gt;Savings")</f>
        <v>-573.44000000000005</v>
      </c>
    </row>
    <row r="4" spans="1:15" x14ac:dyDescent="0.35">
      <c r="J4" s="29">
        <v>45992</v>
      </c>
      <c r="K4" s="15">
        <f>SUMIFS(Summary!$C:$C,Summary!$B:$B,$J4,Summary!$A:$A,"&lt;&gt;Savings")</f>
        <v>23563.89</v>
      </c>
      <c r="L4" s="15">
        <f>SUMIFS(Summary!$C:$C,Summary!$B:$B,$J4,Summary!$A:$A,"Savings")</f>
        <v>37889.160000000003</v>
      </c>
      <c r="M4" s="15">
        <f t="shared" si="0"/>
        <v>61453.05</v>
      </c>
      <c r="N4" s="15">
        <f>SUMIFS(Summary!$F:$F,Summary!$B:$B,$J4,Summary!$A:$A,"&lt;&gt;Savings")</f>
        <v>802</v>
      </c>
      <c r="O4" s="15">
        <f>SUMIFS(Summary!$H:$H,Summary!$B:$B,$J4,Summary!$A:$A,"&lt;&gt;Savings")</f>
        <v>351.13</v>
      </c>
    </row>
    <row r="5" spans="1:15" x14ac:dyDescent="0.35">
      <c r="A5" s="17" t="s">
        <v>13</v>
      </c>
      <c r="B5" s="17" t="s">
        <v>50</v>
      </c>
      <c r="C5" s="17" t="s">
        <v>63</v>
      </c>
      <c r="D5" s="17" t="s">
        <v>56</v>
      </c>
      <c r="E5" s="18" t="s">
        <v>58</v>
      </c>
      <c r="F5" s="19">
        <f>SUM(B6:B13)</f>
        <v>27581.71</v>
      </c>
      <c r="J5" s="29">
        <v>46023</v>
      </c>
      <c r="K5" s="15">
        <f>SUMIFS(Summary!$C:$C,Summary!$B:$B,$J5,Summary!$A:$A,"&lt;&gt;Savings")</f>
        <v>24649.33</v>
      </c>
      <c r="L5" s="15">
        <f>SUMIFS(Summary!$C:$C,Summary!$B:$B,$J5,Summary!$A:$A,"Savings")</f>
        <v>38095</v>
      </c>
      <c r="M5" s="15">
        <f t="shared" si="0"/>
        <v>62744.33</v>
      </c>
      <c r="N5" s="15">
        <f>SUMIFS(Summary!$F:$F,Summary!$B:$B,$J5,Summary!$A:$A,"&lt;&gt;Savings")</f>
        <v>802</v>
      </c>
      <c r="O5" s="15">
        <f>SUMIFS(Summary!$H:$H,Summary!$B:$B,$J5,Summary!$A:$A,"&lt;&gt;Savings")</f>
        <v>283.44</v>
      </c>
    </row>
    <row r="6" spans="1:15" x14ac:dyDescent="0.35">
      <c r="A6" s="20" t="s">
        <v>20</v>
      </c>
      <c r="B6" s="21">
        <f>SUMIFS(Summary!$C:$C,Summary!$A:$A,$A6,Summary!$B:$B,$B$3)</f>
        <v>13914</v>
      </c>
      <c r="C6" s="21">
        <f>SUMIFS(Summary!$F:$F,Summary!$A:$A,$A6,Summary!$B:$B,$B$3)</f>
        <v>1539.76</v>
      </c>
      <c r="D6" s="22">
        <f>SUMIFS(Summary!$I:$I,Summary!$A:$A,$A6,Summary!$B:$B,$B$3)</f>
        <v>-4.5513431240414556E-2</v>
      </c>
      <c r="E6" s="18" t="s">
        <v>35</v>
      </c>
      <c r="F6" s="19">
        <f>B14</f>
        <v>39883</v>
      </c>
      <c r="J6" s="29">
        <v>46054</v>
      </c>
      <c r="K6" s="15">
        <f>SUMIFS(Summary!$C:$C,Summary!$B:$B,$J6,Summary!$A:$A,"&lt;&gt;Savings")</f>
        <v>25939.32</v>
      </c>
      <c r="L6" s="15">
        <f>SUMIFS(Summary!$C:$C,Summary!$B:$B,$J6,Summary!$A:$A,"Savings")</f>
        <v>37801</v>
      </c>
      <c r="M6" s="15">
        <f t="shared" si="0"/>
        <v>63740.32</v>
      </c>
      <c r="N6" s="15">
        <f>SUMIFS(Summary!$F:$F,Summary!$B:$B,$J6,Summary!$A:$A,"&lt;&gt;Savings")</f>
        <v>802</v>
      </c>
      <c r="O6" s="15">
        <f>SUMIFS(Summary!$H:$H,Summary!$B:$B,$J6,Summary!$A:$A,"&lt;&gt;Savings")</f>
        <v>487.99</v>
      </c>
    </row>
    <row r="7" spans="1:15" x14ac:dyDescent="0.35">
      <c r="A7" s="20" t="s">
        <v>25</v>
      </c>
      <c r="B7" s="21">
        <f>SUMIFS(Summary!$C:$C,Summary!$A:$A,$A7,Summary!$B:$B,$B$3)</f>
        <v>2970</v>
      </c>
      <c r="C7" s="21">
        <f>SUMIFS(Summary!$F:$F,Summary!$A:$A,$A7,Summary!$B:$B,$B$3)</f>
        <v>0</v>
      </c>
      <c r="D7" s="22">
        <f>SUMIFS(Summary!$I:$I,Summary!$A:$A,$A7,Summary!$B:$B,$B$3)</f>
        <v>-4.4401544401544403E-2</v>
      </c>
      <c r="E7" s="18" t="s">
        <v>59</v>
      </c>
      <c r="F7" s="19">
        <f>F5+F6</f>
        <v>67464.709999999992</v>
      </c>
      <c r="J7" s="29">
        <v>46082</v>
      </c>
      <c r="K7" s="15">
        <f>SUMIFS(Summary!$C:$C,Summary!$B:$B,$J7,Summary!$A:$A,"&lt;&gt;Savings")</f>
        <v>27581.71</v>
      </c>
      <c r="L7" s="15">
        <f>SUMIFS(Summary!$C:$C,Summary!$B:$B,$J7,Summary!$A:$A,"Savings")</f>
        <v>39883</v>
      </c>
      <c r="M7" s="15">
        <f t="shared" si="0"/>
        <v>67464.709999999992</v>
      </c>
      <c r="N7" s="15">
        <f>SUMIFS(Summary!$F:$F,Summary!$B:$B,$J7,Summary!$A:$A,"&lt;&gt;Savings")</f>
        <v>3009.74</v>
      </c>
      <c r="O7" s="15">
        <f>SUMIFS(Summary!$H:$H,Summary!$B:$B,$J7,Summary!$A:$A,"&lt;&gt;Savings")</f>
        <v>-1367.35</v>
      </c>
    </row>
    <row r="8" spans="1:15" x14ac:dyDescent="0.35">
      <c r="A8" s="20" t="s">
        <v>26</v>
      </c>
      <c r="B8" s="21">
        <f>SUMIFS(Summary!$C:$C,Summary!$A:$A,$A8,Summary!$B:$B,$B$3)</f>
        <v>2493</v>
      </c>
      <c r="C8" s="21">
        <f>SUMIFS(Summary!$F:$F,Summary!$A:$A,$A8,Summary!$B:$B,$B$3)</f>
        <v>220.99</v>
      </c>
      <c r="D8" s="22">
        <f>SUMIFS(Summary!$I:$I,Summary!$A:$A,$A8,Summary!$B:$B,$B$3)</f>
        <v>-0.10110941541108359</v>
      </c>
      <c r="E8" s="18" t="s">
        <v>64</v>
      </c>
      <c r="F8" s="23">
        <f>IF(F7=0,0,F5/F7)</f>
        <v>0.40883166917933839</v>
      </c>
      <c r="J8" s="29">
        <v>46113</v>
      </c>
      <c r="K8" s="15">
        <f>SUMIFS(Summary!$C:$C,Summary!$B:$B,$J8,Summary!$A:$A,"&lt;&gt;Savings")</f>
        <v>0</v>
      </c>
      <c r="L8" s="15">
        <f>SUMIFS(Summary!$C:$C,Summary!$B:$B,$J8,Summary!$A:$A,"Savings")</f>
        <v>0</v>
      </c>
      <c r="M8" s="15">
        <f t="shared" si="0"/>
        <v>0</v>
      </c>
      <c r="N8" s="15">
        <f>SUMIFS(Summary!$F:$F,Summary!$B:$B,$J8,Summary!$A:$A,"&lt;&gt;Savings")</f>
        <v>1500</v>
      </c>
      <c r="O8" s="15">
        <f>SUMIFS(Summary!$H:$H,Summary!$B:$B,$J8,Summary!$A:$A,"&lt;&gt;Savings")</f>
        <v>0</v>
      </c>
    </row>
    <row r="9" spans="1:15" x14ac:dyDescent="0.35">
      <c r="A9" s="20" t="s">
        <v>29</v>
      </c>
      <c r="B9" s="21">
        <f>SUMIFS(Summary!$C:$C,Summary!$A:$A,$A9,Summary!$B:$B,$B$3)</f>
        <v>1666</v>
      </c>
      <c r="C9" s="21">
        <f>SUMIFS(Summary!$F:$F,Summary!$A:$A,$A9,Summary!$B:$B,$B$3)</f>
        <v>52</v>
      </c>
      <c r="D9" s="22">
        <f>SUMIFS(Summary!$I:$I,Summary!$A:$A,$A9,Summary!$B:$B,$B$3)</f>
        <v>-1.5606242496998799E-2</v>
      </c>
      <c r="E9" s="18" t="s">
        <v>65</v>
      </c>
      <c r="F9" s="23">
        <f>IF(F7=0,0,F6/F7)</f>
        <v>0.59116833082066167</v>
      </c>
      <c r="J9" s="29">
        <v>46143</v>
      </c>
      <c r="K9" s="15">
        <f>SUMIFS(Summary!$C:$C,Summary!$B:$B,$J9,Summary!$A:$A,"&lt;&gt;Savings")</f>
        <v>0</v>
      </c>
      <c r="L9" s="15">
        <f>SUMIFS(Summary!$C:$C,Summary!$B:$B,$J9,Summary!$A:$A,"Savings")</f>
        <v>0</v>
      </c>
      <c r="M9" s="15">
        <f t="shared" si="0"/>
        <v>0</v>
      </c>
      <c r="N9" s="15">
        <f>SUMIFS(Summary!$F:$F,Summary!$B:$B,$J9,Summary!$A:$A,"&lt;&gt;Savings")</f>
        <v>1500</v>
      </c>
      <c r="O9" s="15">
        <f>SUMIFS(Summary!$H:$H,Summary!$B:$B,$J9,Summary!$A:$A,"&lt;&gt;Savings")</f>
        <v>0</v>
      </c>
    </row>
    <row r="10" spans="1:15" x14ac:dyDescent="0.35">
      <c r="A10" s="20" t="s">
        <v>31</v>
      </c>
      <c r="B10" s="21">
        <f>SUMIFS(Summary!$C:$C,Summary!$A:$A,$A10,Summary!$B:$B,$B$3)</f>
        <v>1679</v>
      </c>
      <c r="C10" s="21">
        <f>SUMIFS(Summary!$F:$F,Summary!$A:$A,$A10,Summary!$B:$B,$B$3)</f>
        <v>54</v>
      </c>
      <c r="D10" s="22">
        <f>SUMIFS(Summary!$I:$I,Summary!$A:$A,$A10,Summary!$B:$B,$B$3)</f>
        <v>-1.4319809069212411E-2</v>
      </c>
      <c r="E10" s="18" t="s">
        <v>66</v>
      </c>
      <c r="F10" s="19">
        <f>SUM(C6:C13)</f>
        <v>3009.74</v>
      </c>
      <c r="J10" s="29">
        <v>46174</v>
      </c>
      <c r="K10" s="15">
        <f>SUMIFS(Summary!$C:$C,Summary!$B:$B,$J10,Summary!$A:$A,"&lt;&gt;Savings")</f>
        <v>0</v>
      </c>
      <c r="L10" s="15">
        <f>SUMIFS(Summary!$C:$C,Summary!$B:$B,$J10,Summary!$A:$A,"Savings")</f>
        <v>0</v>
      </c>
      <c r="M10" s="15">
        <f t="shared" si="0"/>
        <v>0</v>
      </c>
      <c r="N10" s="15">
        <f>SUMIFS(Summary!$F:$F,Summary!$B:$B,$J10,Summary!$A:$A,"&lt;&gt;Savings")</f>
        <v>1500</v>
      </c>
      <c r="O10" s="15">
        <f>SUMIFS(Summary!$H:$H,Summary!$B:$B,$J10,Summary!$A:$A,"&lt;&gt;Savings")</f>
        <v>0</v>
      </c>
    </row>
    <row r="11" spans="1:15" x14ac:dyDescent="0.35">
      <c r="A11" s="20" t="s">
        <v>32</v>
      </c>
      <c r="B11" s="21">
        <f>SUMIFS(Summary!$C:$C,Summary!$A:$A,$A11,Summary!$B:$B,$B$3)</f>
        <v>2387</v>
      </c>
      <c r="C11" s="21">
        <f>SUMIFS(Summary!$F:$F,Summary!$A:$A,$A11,Summary!$B:$B,$B$3)</f>
        <v>497</v>
      </c>
      <c r="D11" s="22">
        <f>SUMIFS(Summary!$I:$I,Summary!$A:$A,$A11,Summary!$B:$B,$B$3)</f>
        <v>-5.1873198847262249E-2</v>
      </c>
      <c r="E11" s="18" t="s">
        <v>67</v>
      </c>
      <c r="F11" s="19">
        <f>SUMIFS(Summary!$H:$H,Summary!$B:$B,$B$3,Summary!$A:$A,"&lt;&gt;Savings")</f>
        <v>-1367.35</v>
      </c>
      <c r="J11" s="29">
        <v>46204</v>
      </c>
      <c r="K11" s="15">
        <f>SUMIFS(Summary!$C:$C,Summary!$B:$B,$J11,Summary!$A:$A,"&lt;&gt;Savings")</f>
        <v>0</v>
      </c>
      <c r="L11" s="15">
        <f>SUMIFS(Summary!$C:$C,Summary!$B:$B,$J11,Summary!$A:$A,"Savings")</f>
        <v>0</v>
      </c>
      <c r="M11" s="15">
        <f t="shared" si="0"/>
        <v>0</v>
      </c>
      <c r="N11" s="15">
        <f>SUMIFS(Summary!$F:$F,Summary!$B:$B,$J11,Summary!$A:$A,"&lt;&gt;Savings")</f>
        <v>1500</v>
      </c>
      <c r="O11" s="15">
        <f>SUMIFS(Summary!$H:$H,Summary!$B:$B,$J11,Summary!$A:$A,"&lt;&gt;Savings")</f>
        <v>0</v>
      </c>
    </row>
    <row r="12" spans="1:15" x14ac:dyDescent="0.35">
      <c r="A12" s="20" t="s">
        <v>33</v>
      </c>
      <c r="B12" s="21">
        <f>SUMIFS(Summary!$C:$C,Summary!$A:$A,$A12,Summary!$B:$B,$B$3)</f>
        <v>2033</v>
      </c>
      <c r="C12" s="21">
        <f>SUMIFS(Summary!$F:$F,Summary!$A:$A,$A12,Summary!$B:$B,$B$3)</f>
        <v>645.99</v>
      </c>
      <c r="D12" s="22">
        <f>SUMIFS(Summary!$I:$I,Summary!$A:$A,$A12,Summary!$B:$B,$B$3)</f>
        <v>-8.4086995412414073E-2</v>
      </c>
      <c r="H12" t="s">
        <v>21</v>
      </c>
      <c r="I12">
        <f>F5</f>
        <v>27581.71</v>
      </c>
      <c r="J12" s="29">
        <v>46235</v>
      </c>
      <c r="K12" s="15">
        <f>SUMIFS(Summary!$C:$C,Summary!$B:$B,$J12,Summary!$A:$A,"&lt;&gt;Savings")</f>
        <v>0</v>
      </c>
      <c r="L12" s="15">
        <f>SUMIFS(Summary!$C:$C,Summary!$B:$B,$J12,Summary!$A:$A,"Savings")</f>
        <v>0</v>
      </c>
      <c r="M12" s="15">
        <f t="shared" si="0"/>
        <v>0</v>
      </c>
      <c r="N12" s="15">
        <f>SUMIFS(Summary!$F:$F,Summary!$B:$B,$J12,Summary!$A:$A,"&lt;&gt;Savings")</f>
        <v>1500</v>
      </c>
      <c r="O12" s="15">
        <f>SUMIFS(Summary!$H:$H,Summary!$B:$B,$J12,Summary!$A:$A,"&lt;&gt;Savings")</f>
        <v>0</v>
      </c>
    </row>
    <row r="13" spans="1:15" x14ac:dyDescent="0.35">
      <c r="A13" s="20" t="s">
        <v>34</v>
      </c>
      <c r="B13" s="21">
        <f>SUMIFS(Summary!$C:$C,Summary!$A:$A,$A13,Summary!$B:$B,$B$3)</f>
        <v>439.71</v>
      </c>
      <c r="C13" s="21">
        <f>SUMIFS(Summary!$F:$F,Summary!$A:$A,$A13,Summary!$B:$B,$B$3)</f>
        <v>0</v>
      </c>
      <c r="D13" s="22">
        <f>SUMIFS(Summary!$I:$I,Summary!$A:$A,$A13,Summary!$B:$B,$B$3)</f>
        <v>-2.35610232723397E-2</v>
      </c>
      <c r="H13" t="s">
        <v>35</v>
      </c>
      <c r="I13">
        <f>F6</f>
        <v>39883</v>
      </c>
      <c r="J13" s="29">
        <v>46266</v>
      </c>
      <c r="K13" s="15">
        <f>SUMIFS(Summary!$C:$C,Summary!$B:$B,$J13,Summary!$A:$A,"&lt;&gt;Savings")</f>
        <v>0</v>
      </c>
      <c r="L13" s="15">
        <f>SUMIFS(Summary!$C:$C,Summary!$B:$B,$J13,Summary!$A:$A,"Savings")</f>
        <v>0</v>
      </c>
      <c r="M13" s="15">
        <f t="shared" si="0"/>
        <v>0</v>
      </c>
      <c r="N13" s="15">
        <f>SUMIFS(Summary!$F:$F,Summary!$B:$B,$J13,Summary!$A:$A,"&lt;&gt;Savings")</f>
        <v>1500</v>
      </c>
      <c r="O13" s="15">
        <f>SUMIFS(Summary!$H:$H,Summary!$B:$B,$J13,Summary!$A:$A,"&lt;&gt;Savings")</f>
        <v>0</v>
      </c>
    </row>
    <row r="14" spans="1:15" x14ac:dyDescent="0.35">
      <c r="A14" s="20" t="s">
        <v>35</v>
      </c>
      <c r="B14" s="21">
        <f>SUMIFS(Summary!$C:$C,Summary!$A:$A,$A14,Summary!$B:$B,$B$3)</f>
        <v>39883</v>
      </c>
      <c r="C14" s="21">
        <f>SUMIFS(Summary!$F:$F,Summary!$A:$A,$A14,Summary!$B:$B,$B$3)</f>
        <v>0</v>
      </c>
      <c r="D14" s="22">
        <f>SUMIFS(Summary!$I:$I,Summary!$A:$A,$A14,Summary!$B:$B,$B$3)</f>
        <v>5.5077907991852068E-2</v>
      </c>
      <c r="J14" s="29">
        <v>46296</v>
      </c>
      <c r="K14" s="15">
        <f>SUMIFS(Summary!$C:$C,Summary!$B:$B,$J14,Summary!$A:$A,"&lt;&gt;Savings")</f>
        <v>0</v>
      </c>
      <c r="L14" s="15">
        <f>SUMIFS(Summary!$C:$C,Summary!$B:$B,$J14,Summary!$A:$A,"Savings")</f>
        <v>0</v>
      </c>
      <c r="M14" s="15">
        <f t="shared" si="0"/>
        <v>0</v>
      </c>
      <c r="N14" s="15">
        <f>SUMIFS(Summary!$F:$F,Summary!$B:$B,$J14,Summary!$A:$A,"&lt;&gt;Savings")</f>
        <v>1500</v>
      </c>
      <c r="O14" s="15">
        <f>SUMIFS(Summary!$H:$H,Summary!$B:$B,$J14,Summary!$A:$A,"&lt;&gt;Savings")</f>
        <v>0</v>
      </c>
    </row>
    <row r="15" spans="1:15" x14ac:dyDescent="0.35">
      <c r="J15" s="29">
        <v>46327</v>
      </c>
      <c r="K15" s="15">
        <f>SUMIFS(Summary!$C:$C,Summary!$B:$B,$J15,Summary!$A:$A,"&lt;&gt;Savings")</f>
        <v>0</v>
      </c>
      <c r="L15" s="15">
        <f>SUMIFS(Summary!$C:$C,Summary!$B:$B,$J15,Summary!$A:$A,"Savings")</f>
        <v>0</v>
      </c>
      <c r="M15" s="15">
        <f t="shared" si="0"/>
        <v>0</v>
      </c>
      <c r="N15" s="15">
        <f>SUMIFS(Summary!$F:$F,Summary!$B:$B,$J15,Summary!$A:$A,"&lt;&gt;Savings")</f>
        <v>1500</v>
      </c>
      <c r="O15" s="15">
        <f>SUMIFS(Summary!$H:$H,Summary!$B:$B,$J15,Summary!$A:$A,"&lt;&gt;Savings")</f>
        <v>0</v>
      </c>
    </row>
    <row r="16" spans="1:15" x14ac:dyDescent="0.35">
      <c r="A16" s="31" t="s">
        <v>68</v>
      </c>
      <c r="J16" s="29">
        <v>46357</v>
      </c>
      <c r="K16" s="15">
        <f>SUMIFS(Summary!$C:$C,Summary!$B:$B,$J16,Summary!$A:$A,"&lt;&gt;Savings")</f>
        <v>0</v>
      </c>
      <c r="L16" s="15">
        <f>SUMIFS(Summary!$C:$C,Summary!$B:$B,$J16,Summary!$A:$A,"Savings")</f>
        <v>0</v>
      </c>
      <c r="M16" s="15">
        <f t="shared" si="0"/>
        <v>0</v>
      </c>
      <c r="N16" s="15">
        <f>SUMIFS(Summary!$F:$F,Summary!$B:$B,$J16,Summary!$A:$A,"&lt;&gt;Savings")</f>
        <v>1500</v>
      </c>
      <c r="O16" s="15">
        <f>SUMIFS(Summary!$H:$H,Summary!$B:$B,$J16,Summary!$A:$A,"&lt;&gt;Savings")</f>
        <v>0</v>
      </c>
    </row>
    <row r="17" spans="10:15" x14ac:dyDescent="0.35">
      <c r="J17" s="29">
        <v>46388</v>
      </c>
      <c r="K17" s="15">
        <f>SUMIFS(Summary!$C:$C,Summary!$B:$B,$J17,Summary!$A:$A,"&lt;&gt;Savings")</f>
        <v>0</v>
      </c>
      <c r="L17" s="15">
        <f>SUMIFS(Summary!$C:$C,Summary!$B:$B,$J17,Summary!$A:$A,"Savings")</f>
        <v>0</v>
      </c>
      <c r="M17" s="15">
        <f t="shared" si="0"/>
        <v>0</v>
      </c>
      <c r="N17" s="15">
        <f>SUMIFS(Summary!$F:$F,Summary!$B:$B,$J17,Summary!$A:$A,"&lt;&gt;Savings")</f>
        <v>1500</v>
      </c>
      <c r="O17" s="15">
        <f>SUMIFS(Summary!$H:$H,Summary!$B:$B,$J17,Summary!$A:$A,"&lt;&gt;Savings")</f>
        <v>0</v>
      </c>
    </row>
    <row r="18" spans="10:15" x14ac:dyDescent="0.35">
      <c r="J18" s="29">
        <v>46419</v>
      </c>
      <c r="K18" s="15">
        <f>SUMIFS(Summary!$C:$C,Summary!$B:$B,$J18,Summary!$A:$A,"&lt;&gt;Savings")</f>
        <v>0</v>
      </c>
      <c r="L18" s="15">
        <f>SUMIFS(Summary!$C:$C,Summary!$B:$B,$J18,Summary!$A:$A,"Savings")</f>
        <v>0</v>
      </c>
      <c r="M18" s="15">
        <f t="shared" si="0"/>
        <v>0</v>
      </c>
      <c r="N18" s="15">
        <f>SUMIFS(Summary!$F:$F,Summary!$B:$B,$J18,Summary!$A:$A,"&lt;&gt;Savings")</f>
        <v>1500</v>
      </c>
      <c r="O18" s="15">
        <f>SUMIFS(Summary!$H:$H,Summary!$B:$B,$J18,Summary!$A:$A,"&lt;&gt;Savings")</f>
        <v>0</v>
      </c>
    </row>
    <row r="19" spans="10:15" x14ac:dyDescent="0.35">
      <c r="J19" s="29">
        <v>46447</v>
      </c>
      <c r="K19" s="15">
        <f>SUMIFS(Summary!$C:$C,Summary!$B:$B,$J19,Summary!$A:$A,"&lt;&gt;Savings")</f>
        <v>0</v>
      </c>
      <c r="L19" s="15">
        <f>SUMIFS(Summary!$C:$C,Summary!$B:$B,$J19,Summary!$A:$A,"Savings")</f>
        <v>0</v>
      </c>
      <c r="M19" s="15">
        <f t="shared" si="0"/>
        <v>0</v>
      </c>
      <c r="N19" s="15">
        <f>SUMIFS(Summary!$F:$F,Summary!$B:$B,$J19,Summary!$A:$A,"&lt;&gt;Savings")</f>
        <v>1500</v>
      </c>
      <c r="O19" s="15">
        <f>SUMIFS(Summary!$H:$H,Summary!$B:$B,$J19,Summary!$A:$A,"&lt;&gt;Savings")</f>
        <v>0</v>
      </c>
    </row>
    <row r="20" spans="10:15" x14ac:dyDescent="0.35">
      <c r="J20" s="29">
        <v>46478</v>
      </c>
      <c r="K20" s="15">
        <f>SUMIFS(Summary!$C:$C,Summary!$B:$B,$J20,Summary!$A:$A,"&lt;&gt;Savings")</f>
        <v>0</v>
      </c>
      <c r="L20" s="15">
        <f>SUMIFS(Summary!$C:$C,Summary!$B:$B,$J20,Summary!$A:$A,"Savings")</f>
        <v>0</v>
      </c>
      <c r="M20" s="15">
        <f t="shared" si="0"/>
        <v>0</v>
      </c>
      <c r="N20" s="15">
        <f>SUMIFS(Summary!$F:$F,Summary!$B:$B,$J20,Summary!$A:$A,"&lt;&gt;Savings")</f>
        <v>1500</v>
      </c>
      <c r="O20" s="15">
        <f>SUMIFS(Summary!$H:$H,Summary!$B:$B,$J20,Summary!$A:$A,"&lt;&gt;Savings")</f>
        <v>0</v>
      </c>
    </row>
    <row r="21" spans="10:15" x14ac:dyDescent="0.35">
      <c r="J21" s="29">
        <v>46508</v>
      </c>
      <c r="K21" s="15">
        <f>SUMIFS(Summary!$C:$C,Summary!$B:$B,$J21,Summary!$A:$A,"&lt;&gt;Savings")</f>
        <v>0</v>
      </c>
      <c r="L21" s="15">
        <f>SUMIFS(Summary!$C:$C,Summary!$B:$B,$J21,Summary!$A:$A,"Savings")</f>
        <v>0</v>
      </c>
      <c r="M21" s="15">
        <f t="shared" si="0"/>
        <v>0</v>
      </c>
      <c r="N21" s="15">
        <f>SUMIFS(Summary!$F:$F,Summary!$B:$B,$J21,Summary!$A:$A,"&lt;&gt;Savings")</f>
        <v>1500</v>
      </c>
      <c r="O21" s="15">
        <f>SUMIFS(Summary!$H:$H,Summary!$B:$B,$J21,Summary!$A:$A,"&lt;&gt;Savings")</f>
        <v>0</v>
      </c>
    </row>
    <row r="22" spans="10:15" x14ac:dyDescent="0.35">
      <c r="J22" s="29">
        <v>46539</v>
      </c>
      <c r="K22" s="15">
        <f>SUMIFS(Summary!$C:$C,Summary!$B:$B,$J22,Summary!$A:$A,"&lt;&gt;Savings")</f>
        <v>0</v>
      </c>
      <c r="L22" s="15">
        <f>SUMIFS(Summary!$C:$C,Summary!$B:$B,$J22,Summary!$A:$A,"Savings")</f>
        <v>0</v>
      </c>
      <c r="M22" s="15">
        <f t="shared" si="0"/>
        <v>0</v>
      </c>
      <c r="N22" s="15">
        <f>SUMIFS(Summary!$F:$F,Summary!$B:$B,$J22,Summary!$A:$A,"&lt;&gt;Savings")</f>
        <v>1500</v>
      </c>
      <c r="O22" s="15">
        <f>SUMIFS(Summary!$H:$H,Summary!$B:$B,$J22,Summary!$A:$A,"&lt;&gt;Savings")</f>
        <v>0</v>
      </c>
    </row>
    <row r="23" spans="10:15" x14ac:dyDescent="0.35">
      <c r="J23" s="29">
        <v>46569</v>
      </c>
      <c r="K23" s="15">
        <f>SUMIFS(Summary!$C:$C,Summary!$B:$B,$J23,Summary!$A:$A,"&lt;&gt;Savings")</f>
        <v>0</v>
      </c>
      <c r="L23" s="15">
        <f>SUMIFS(Summary!$C:$C,Summary!$B:$B,$J23,Summary!$A:$A,"Savings")</f>
        <v>0</v>
      </c>
      <c r="M23" s="15">
        <f t="shared" si="0"/>
        <v>0</v>
      </c>
      <c r="N23" s="15">
        <f>SUMIFS(Summary!$F:$F,Summary!$B:$B,$J23,Summary!$A:$A,"&lt;&gt;Savings")</f>
        <v>1500</v>
      </c>
      <c r="O23" s="15">
        <f>SUMIFS(Summary!$H:$H,Summary!$B:$B,$J23,Summary!$A:$A,"&lt;&gt;Savings")</f>
        <v>0</v>
      </c>
    </row>
    <row r="24" spans="10:15" x14ac:dyDescent="0.35">
      <c r="J24" s="29">
        <v>46600</v>
      </c>
      <c r="K24" s="15">
        <f>SUMIFS(Summary!$C:$C,Summary!$B:$B,$J24,Summary!$A:$A,"&lt;&gt;Savings")</f>
        <v>0</v>
      </c>
      <c r="L24" s="15">
        <f>SUMIFS(Summary!$C:$C,Summary!$B:$B,$J24,Summary!$A:$A,"Savings")</f>
        <v>0</v>
      </c>
      <c r="M24" s="15">
        <f t="shared" si="0"/>
        <v>0</v>
      </c>
      <c r="N24" s="15">
        <f>SUMIFS(Summary!$F:$F,Summary!$B:$B,$J24,Summary!$A:$A,"&lt;&gt;Savings")</f>
        <v>1500</v>
      </c>
      <c r="O24" s="15">
        <f>SUMIFS(Summary!$H:$H,Summary!$B:$B,$J24,Summary!$A:$A,"&lt;&gt;Savings")</f>
        <v>0</v>
      </c>
    </row>
    <row r="25" spans="10:15" x14ac:dyDescent="0.35">
      <c r="J25" s="29">
        <v>46631</v>
      </c>
      <c r="K25" s="15">
        <f>SUMIFS(Summary!$C:$C,Summary!$B:$B,$J25,Summary!$A:$A,"&lt;&gt;Savings")</f>
        <v>0</v>
      </c>
      <c r="L25" s="15">
        <f>SUMIFS(Summary!$C:$C,Summary!$B:$B,$J25,Summary!$A:$A,"Savings")</f>
        <v>0</v>
      </c>
      <c r="M25" s="15">
        <f t="shared" si="0"/>
        <v>0</v>
      </c>
      <c r="N25" s="15">
        <f>SUMIFS(Summary!$F:$F,Summary!$B:$B,$J25,Summary!$A:$A,"&lt;&gt;Savings")</f>
        <v>1500</v>
      </c>
      <c r="O25" s="15">
        <f>SUMIFS(Summary!$H:$H,Summary!$B:$B,$J25,Summary!$A:$A,"&lt;&gt;Savings")</f>
        <v>0</v>
      </c>
    </row>
    <row r="26" spans="10:15" x14ac:dyDescent="0.35">
      <c r="J26" s="29">
        <v>46661</v>
      </c>
      <c r="K26" s="15">
        <f>SUMIFS(Summary!$C:$C,Summary!$B:$B,$J26,Summary!$A:$A,"&lt;&gt;Savings")</f>
        <v>0</v>
      </c>
      <c r="L26" s="15">
        <f>SUMIFS(Summary!$C:$C,Summary!$B:$B,$J26,Summary!$A:$A,"Savings")</f>
        <v>0</v>
      </c>
      <c r="M26" s="15">
        <f t="shared" si="0"/>
        <v>0</v>
      </c>
      <c r="N26" s="15">
        <f>SUMIFS(Summary!$F:$F,Summary!$B:$B,$J26,Summary!$A:$A,"&lt;&gt;Savings")</f>
        <v>1500</v>
      </c>
      <c r="O26" s="15">
        <f>SUMIFS(Summary!$H:$H,Summary!$B:$B,$J26,Summary!$A:$A,"&lt;&gt;Savings")</f>
        <v>0</v>
      </c>
    </row>
    <row r="27" spans="10:15" x14ac:dyDescent="0.35">
      <c r="J27" s="29">
        <v>46692</v>
      </c>
      <c r="K27" s="15">
        <f>SUMIFS(Summary!$C:$C,Summary!$B:$B,$J27,Summary!$A:$A,"&lt;&gt;Savings")</f>
        <v>0</v>
      </c>
      <c r="L27" s="15">
        <f>SUMIFS(Summary!$C:$C,Summary!$B:$B,$J27,Summary!$A:$A,"Savings")</f>
        <v>0</v>
      </c>
      <c r="M27" s="15">
        <f t="shared" si="0"/>
        <v>0</v>
      </c>
      <c r="N27" s="15">
        <f>SUMIFS(Summary!$F:$F,Summary!$B:$B,$J27,Summary!$A:$A,"&lt;&gt;Savings")</f>
        <v>1500</v>
      </c>
      <c r="O27" s="15">
        <f>SUMIFS(Summary!$H:$H,Summary!$B:$B,$J27,Summary!$A:$A,"&lt;&gt;Savings")</f>
        <v>0</v>
      </c>
    </row>
    <row r="28" spans="10:15" x14ac:dyDescent="0.35">
      <c r="J28" s="29">
        <v>46722</v>
      </c>
      <c r="K28" s="15">
        <f>SUMIFS(Summary!$C:$C,Summary!$B:$B,$J28,Summary!$A:$A,"&lt;&gt;Savings")</f>
        <v>0</v>
      </c>
      <c r="L28" s="15">
        <f>SUMIFS(Summary!$C:$C,Summary!$B:$B,$J28,Summary!$A:$A,"Savings")</f>
        <v>0</v>
      </c>
      <c r="M28" s="15">
        <f t="shared" si="0"/>
        <v>0</v>
      </c>
      <c r="N28" s="15">
        <f>SUMIFS(Summary!$F:$F,Summary!$B:$B,$J28,Summary!$A:$A,"&lt;&gt;Savings")</f>
        <v>1500</v>
      </c>
      <c r="O28" s="15">
        <f>SUMIFS(Summary!$H:$H,Summary!$B:$B,$J28,Summary!$A:$A,"&lt;&gt;Savings")</f>
        <v>0</v>
      </c>
    </row>
    <row r="29" spans="10:15" x14ac:dyDescent="0.35">
      <c r="J29" s="29">
        <v>46753</v>
      </c>
      <c r="K29" s="15">
        <f>SUMIFS(Summary!$C:$C,Summary!$B:$B,$J29,Summary!$A:$A,"&lt;&gt;Savings")</f>
        <v>0</v>
      </c>
      <c r="L29" s="15">
        <f>SUMIFS(Summary!$C:$C,Summary!$B:$B,$J29,Summary!$A:$A,"Savings")</f>
        <v>0</v>
      </c>
      <c r="M29" s="15">
        <f t="shared" si="0"/>
        <v>0</v>
      </c>
      <c r="N29" s="15">
        <f>SUMIFS(Summary!$F:$F,Summary!$B:$B,$J29,Summary!$A:$A,"&lt;&gt;Savings")</f>
        <v>1500</v>
      </c>
      <c r="O29" s="15">
        <f>SUMIFS(Summary!$H:$H,Summary!$B:$B,$J29,Summary!$A:$A,"&lt;&gt;Savings")</f>
        <v>0</v>
      </c>
    </row>
    <row r="30" spans="10:15" x14ac:dyDescent="0.35">
      <c r="J30" s="29">
        <v>46784</v>
      </c>
      <c r="K30" s="15">
        <f>SUMIFS(Summary!$C:$C,Summary!$B:$B,$J30,Summary!$A:$A,"&lt;&gt;Savings")</f>
        <v>0</v>
      </c>
      <c r="L30" s="15">
        <f>SUMIFS(Summary!$C:$C,Summary!$B:$B,$J30,Summary!$A:$A,"Savings")</f>
        <v>0</v>
      </c>
      <c r="M30" s="15">
        <f t="shared" si="0"/>
        <v>0</v>
      </c>
      <c r="N30" s="15">
        <f>SUMIFS(Summary!$F:$F,Summary!$B:$B,$J30,Summary!$A:$A,"&lt;&gt;Savings")</f>
        <v>1500</v>
      </c>
      <c r="O30" s="15">
        <f>SUMIFS(Summary!$H:$H,Summary!$B:$B,$J30,Summary!$A:$A,"&lt;&gt;Savings")</f>
        <v>0</v>
      </c>
    </row>
    <row r="31" spans="10:15" x14ac:dyDescent="0.35">
      <c r="J31" s="29">
        <v>46813</v>
      </c>
      <c r="K31" s="15">
        <f>SUMIFS(Summary!$C:$C,Summary!$B:$B,$J31,Summary!$A:$A,"&lt;&gt;Savings")</f>
        <v>0</v>
      </c>
      <c r="L31" s="15">
        <f>SUMIFS(Summary!$C:$C,Summary!$B:$B,$J31,Summary!$A:$A,"Savings")</f>
        <v>0</v>
      </c>
      <c r="M31" s="15">
        <f t="shared" si="0"/>
        <v>0</v>
      </c>
      <c r="N31" s="15">
        <f>SUMIFS(Summary!$F:$F,Summary!$B:$B,$J31,Summary!$A:$A,"&lt;&gt;Savings")</f>
        <v>1500</v>
      </c>
      <c r="O31" s="15">
        <f>SUMIFS(Summary!$H:$H,Summary!$B:$B,$J31,Summary!$A:$A,"&lt;&gt;Savings")</f>
        <v>0</v>
      </c>
    </row>
    <row r="32" spans="10:15" x14ac:dyDescent="0.35">
      <c r="J32" s="29">
        <v>46844</v>
      </c>
      <c r="K32" s="15">
        <f>SUMIFS(Summary!$C:$C,Summary!$B:$B,$J32,Summary!$A:$A,"&lt;&gt;Savings")</f>
        <v>0</v>
      </c>
      <c r="L32" s="15">
        <f>SUMIFS(Summary!$C:$C,Summary!$B:$B,$J32,Summary!$A:$A,"Savings")</f>
        <v>0</v>
      </c>
      <c r="M32" s="15">
        <f t="shared" si="0"/>
        <v>0</v>
      </c>
      <c r="N32" s="15">
        <f>SUMIFS(Summary!$F:$F,Summary!$B:$B,$J32,Summary!$A:$A,"&lt;&gt;Savings")</f>
        <v>1500</v>
      </c>
      <c r="O32" s="15">
        <f>SUMIFS(Summary!$H:$H,Summary!$B:$B,$J32,Summary!$A:$A,"&lt;&gt;Savings")</f>
        <v>0</v>
      </c>
    </row>
    <row r="33" spans="10:15" x14ac:dyDescent="0.35">
      <c r="J33" s="29">
        <v>46874</v>
      </c>
      <c r="K33" s="15">
        <f>SUMIFS(Summary!$C:$C,Summary!$B:$B,$J33,Summary!$A:$A,"&lt;&gt;Savings")</f>
        <v>0</v>
      </c>
      <c r="L33" s="15">
        <f>SUMIFS(Summary!$C:$C,Summary!$B:$B,$J33,Summary!$A:$A,"Savings")</f>
        <v>0</v>
      </c>
      <c r="M33" s="15">
        <f t="shared" si="0"/>
        <v>0</v>
      </c>
      <c r="N33" s="15">
        <f>SUMIFS(Summary!$F:$F,Summary!$B:$B,$J33,Summary!$A:$A,"&lt;&gt;Savings")</f>
        <v>1500</v>
      </c>
      <c r="O33" s="15">
        <f>SUMIFS(Summary!$H:$H,Summary!$B:$B,$J33,Summary!$A:$A,"&lt;&gt;Savings")</f>
        <v>0</v>
      </c>
    </row>
    <row r="34" spans="10:15" x14ac:dyDescent="0.35">
      <c r="J34" s="29">
        <v>46905</v>
      </c>
      <c r="K34" s="15">
        <f>SUMIFS(Summary!$C:$C,Summary!$B:$B,$J34,Summary!$A:$A,"&lt;&gt;Savings")</f>
        <v>0</v>
      </c>
      <c r="L34" s="15">
        <f>SUMIFS(Summary!$C:$C,Summary!$B:$B,$J34,Summary!$A:$A,"Savings")</f>
        <v>0</v>
      </c>
      <c r="M34" s="15">
        <f t="shared" si="0"/>
        <v>0</v>
      </c>
      <c r="N34" s="15">
        <f>SUMIFS(Summary!$F:$F,Summary!$B:$B,$J34,Summary!$A:$A,"&lt;&gt;Savings")</f>
        <v>1500</v>
      </c>
      <c r="O34" s="15">
        <f>SUMIFS(Summary!$H:$H,Summary!$B:$B,$J34,Summary!$A:$A,"&lt;&gt;Savings")</f>
        <v>0</v>
      </c>
    </row>
    <row r="35" spans="10:15" x14ac:dyDescent="0.35">
      <c r="J35" s="29">
        <v>46935</v>
      </c>
      <c r="K35" s="15">
        <f>SUMIFS(Summary!$C:$C,Summary!$B:$B,$J35,Summary!$A:$A,"&lt;&gt;Savings")</f>
        <v>0</v>
      </c>
      <c r="L35" s="15">
        <f>SUMIFS(Summary!$C:$C,Summary!$B:$B,$J35,Summary!$A:$A,"Savings")</f>
        <v>0</v>
      </c>
      <c r="M35" s="15">
        <f t="shared" si="0"/>
        <v>0</v>
      </c>
      <c r="N35" s="15">
        <f>SUMIFS(Summary!$F:$F,Summary!$B:$B,$J35,Summary!$A:$A,"&lt;&gt;Savings")</f>
        <v>1500</v>
      </c>
      <c r="O35" s="15">
        <f>SUMIFS(Summary!$H:$H,Summary!$B:$B,$J35,Summary!$A:$A,"&lt;&gt;Savings")</f>
        <v>0</v>
      </c>
    </row>
    <row r="36" spans="10:15" x14ac:dyDescent="0.35">
      <c r="J36" s="29">
        <v>46966</v>
      </c>
      <c r="K36" s="15">
        <f>SUMIFS(Summary!$C:$C,Summary!$B:$B,$J36,Summary!$A:$A,"&lt;&gt;Savings")</f>
        <v>0</v>
      </c>
      <c r="L36" s="15">
        <f>SUMIFS(Summary!$C:$C,Summary!$B:$B,$J36,Summary!$A:$A,"Savings")</f>
        <v>0</v>
      </c>
      <c r="M36" s="15">
        <f t="shared" si="0"/>
        <v>0</v>
      </c>
      <c r="N36" s="15">
        <f>SUMIFS(Summary!$F:$F,Summary!$B:$B,$J36,Summary!$A:$A,"&lt;&gt;Savings")</f>
        <v>1500</v>
      </c>
      <c r="O36" s="15">
        <f>SUMIFS(Summary!$H:$H,Summary!$B:$B,$J36,Summary!$A:$A,"&lt;&gt;Savings")</f>
        <v>0</v>
      </c>
    </row>
    <row r="37" spans="10:15" x14ac:dyDescent="0.35">
      <c r="J37" s="29">
        <v>46997</v>
      </c>
      <c r="K37" s="15">
        <f>SUMIFS(Summary!$C:$C,Summary!$B:$B,$J37,Summary!$A:$A,"&lt;&gt;Savings")</f>
        <v>0</v>
      </c>
      <c r="L37" s="15">
        <f>SUMIFS(Summary!$C:$C,Summary!$B:$B,$J37,Summary!$A:$A,"Savings")</f>
        <v>0</v>
      </c>
      <c r="M37" s="15">
        <f t="shared" si="0"/>
        <v>0</v>
      </c>
      <c r="N37" s="15">
        <f>SUMIFS(Summary!$F:$F,Summary!$B:$B,$J37,Summary!$A:$A,"&lt;&gt;Savings")</f>
        <v>1500</v>
      </c>
      <c r="O37" s="15">
        <f>SUMIFS(Summary!$H:$H,Summary!$B:$B,$J37,Summary!$A:$A,"&lt;&gt;Savings")</f>
        <v>0</v>
      </c>
    </row>
  </sheetData>
  <dataValidations count="1">
    <dataValidation type="list" sqref="B3" xr:uid="{00000000-0002-0000-0600-000000000000}">
      <formula1>$J$2:$J$37</formula1>
    </dataValidation>
  </dataValidation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Assets</vt:lpstr>
      <vt:lpstr>Transactions_PAC</vt:lpstr>
      <vt:lpstr>Transactions_Manual</vt:lpstr>
      <vt:lpstr>Month_End</vt:lpstr>
      <vt:lpstr>Summary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Alessandro Silvestri</cp:lastModifiedBy>
  <dcterms:created xsi:type="dcterms:W3CDTF">2026-04-07T16:05:03Z</dcterms:created>
  <dcterms:modified xsi:type="dcterms:W3CDTF">2026-04-07T19:48:38Z</dcterms:modified>
</cp:coreProperties>
</file>